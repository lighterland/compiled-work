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New folder\college\sem2\digital skills\"/>
    </mc:Choice>
  </mc:AlternateContent>
  <xr:revisionPtr revIDLastSave="0" documentId="13_ncr:1_{1D5A92BC-D45D-4751-B380-0F107C956A90}" xr6:coauthVersionLast="47" xr6:coauthVersionMax="47" xr10:uidLastSave="{00000000-0000-0000-0000-000000000000}"/>
  <bookViews>
    <workbookView xWindow="-110" yWindow="-110" windowWidth="29020" windowHeight="17500" activeTab="3" xr2:uid="{A8CAD3CC-3052-BE4A-9709-F07259017695}"/>
  </bookViews>
  <sheets>
    <sheet name="данные по продажам" sheetId="1" r:id="rId1"/>
    <sheet name="зарплата" sheetId="2" r:id="rId2"/>
    <sheet name="Специальная вставка" sheetId="3" r:id="rId3"/>
    <sheet name="Транспонирование" sheetId="4" r:id="rId4"/>
    <sheet name="Аналитическая панель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6" l="1"/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2" i="6"/>
  <c r="G7" i="2"/>
  <c r="G6" i="2"/>
  <c r="G5" i="2"/>
  <c r="G4" i="2"/>
  <c r="G3" i="2"/>
  <c r="G2" i="2"/>
  <c r="L8" i="6"/>
  <c r="L6" i="6"/>
  <c r="L5" i="6"/>
  <c r="L4" i="6"/>
  <c r="L3" i="6"/>
  <c r="L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H5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2" i="3"/>
  <c r="H41" i="1"/>
  <c r="H42" i="1"/>
  <c r="H43" i="1"/>
  <c r="H44" i="1"/>
  <c r="H45" i="1"/>
  <c r="H46" i="1"/>
  <c r="H47" i="1"/>
  <c r="H48" i="1"/>
  <c r="H49" i="1"/>
  <c r="H50" i="1"/>
  <c r="H5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52" i="6" l="1"/>
  <c r="H52" i="1"/>
</calcChain>
</file>

<file path=xl/sharedStrings.xml><?xml version="1.0" encoding="utf-8"?>
<sst xmlns="http://schemas.openxmlformats.org/spreadsheetml/2006/main" count="955" uniqueCount="102">
  <si>
    <t>Год</t>
  </si>
  <si>
    <t>Месяц</t>
  </si>
  <si>
    <t>Товар</t>
  </si>
  <si>
    <t>Продавец</t>
  </si>
  <si>
    <t>Регион</t>
  </si>
  <si>
    <t>Цена</t>
  </si>
  <si>
    <t>Сумма</t>
  </si>
  <si>
    <t>Январь</t>
  </si>
  <si>
    <t>Эклер</t>
  </si>
  <si>
    <t>Орлова</t>
  </si>
  <si>
    <t>Юг</t>
  </si>
  <si>
    <t>Смирнов</t>
  </si>
  <si>
    <t>Северо-Запад</t>
  </si>
  <si>
    <t>Матча</t>
  </si>
  <si>
    <t>Пирог</t>
  </si>
  <si>
    <t>Павлов</t>
  </si>
  <si>
    <t>Урал</t>
  </si>
  <si>
    <t>Егоров</t>
  </si>
  <si>
    <t>Сибирь</t>
  </si>
  <si>
    <t>Маффин</t>
  </si>
  <si>
    <t>Латте</t>
  </si>
  <si>
    <t>Соколов</t>
  </si>
  <si>
    <t>Центр</t>
  </si>
  <si>
    <t>Февраль</t>
  </si>
  <si>
    <t>Капучино</t>
  </si>
  <si>
    <t>Март</t>
  </si>
  <si>
    <t>Апрель</t>
  </si>
  <si>
    <t>Май</t>
  </si>
  <si>
    <t>Количество</t>
  </si>
  <si>
    <t>Итого</t>
  </si>
  <si>
    <t>Отдел</t>
  </si>
  <si>
    <t>Сотрудник</t>
  </si>
  <si>
    <t xml:space="preserve">Зарплата, руб. </t>
  </si>
  <si>
    <t>Результат</t>
  </si>
  <si>
    <t>Продажи</t>
  </si>
  <si>
    <t>Агалец Артем Андреевич</t>
  </si>
  <si>
    <t>Пятая наибольшая зарплата</t>
  </si>
  <si>
    <t>Акназаров Константин Евгеньевич</t>
  </si>
  <si>
    <t>Третья наибольшая зарплата</t>
  </si>
  <si>
    <t>Бухгалтерия</t>
  </si>
  <si>
    <t>Алексеичев Кирилл Вячеславович</t>
  </si>
  <si>
    <t>Четвертая наименьшая зарплата</t>
  </si>
  <si>
    <t>Алешинцев Данил Владимирович</t>
  </si>
  <si>
    <t>Вторая наименьшая зарплата</t>
  </si>
  <si>
    <t>Аналитика</t>
  </si>
  <si>
    <t>Анкидинов Ян Никитович</t>
  </si>
  <si>
    <t>Самая маленькая зарплата</t>
  </si>
  <si>
    <t>Арзуманян Тимофей Тимурович</t>
  </si>
  <si>
    <t>Самая большая зарплата</t>
  </si>
  <si>
    <t>Армишева Эльвира Игоревна</t>
  </si>
  <si>
    <t>Ассорова Светлана Павловна</t>
  </si>
  <si>
    <t>Логистика</t>
  </si>
  <si>
    <t>Ашурмамадов Радик Витальевич</t>
  </si>
  <si>
    <t>Бабич Станислав Викторович</t>
  </si>
  <si>
    <t>Беланюк Георгий Алексеевич</t>
  </si>
  <si>
    <t>Беляевский Михаил Георгиевич</t>
  </si>
  <si>
    <t>Беспалов Петр Григорьевич</t>
  </si>
  <si>
    <t>Биякова Маргарита Робертовна</t>
  </si>
  <si>
    <t>Богородская Александра Эдуардовна</t>
  </si>
  <si>
    <t>Богумил Ефим Альбертович</t>
  </si>
  <si>
    <t>Бондаровский Станислав Ярославович</t>
  </si>
  <si>
    <t>Бравок Филипп Дмитриевич</t>
  </si>
  <si>
    <t>Братанов Егор Романович</t>
  </si>
  <si>
    <t>Бродович Артур Никитович</t>
  </si>
  <si>
    <t>Быцань Ефим Марселевич</t>
  </si>
  <si>
    <t>Войкин Эдуард Вячеславович</t>
  </si>
  <si>
    <t>Волнухин Василий Степанович</t>
  </si>
  <si>
    <t>ВорАналитикаов Степан Тимурович</t>
  </si>
  <si>
    <t>Гельман Вячеслав Максимович</t>
  </si>
  <si>
    <t>Гирева Виктория Андреевна</t>
  </si>
  <si>
    <t>Головков Альберт Николаевич</t>
  </si>
  <si>
    <t>Голошубова Алла Валентиновна</t>
  </si>
  <si>
    <t>Гусляров Аркадий Тимофеевич</t>
  </si>
  <si>
    <t>Дубнев Роберт Яковлев</t>
  </si>
  <si>
    <t>Ендогурова Лидия Михаиловна</t>
  </si>
  <si>
    <t>Зайчиков Леонид Эдуардович</t>
  </si>
  <si>
    <t>Засурская Маргарита Георгиевна</t>
  </si>
  <si>
    <t>Илюхина Ольга Владимировна</t>
  </si>
  <si>
    <t>Казаченко Эльмира Ильдаровна</t>
  </si>
  <si>
    <t>Капинос Руслан Васильевич</t>
  </si>
  <si>
    <t>Катревич Алексей Александрович</t>
  </si>
  <si>
    <t>Корепанов Роман Семенович</t>
  </si>
  <si>
    <t>Кочумов Григорий Ринатович</t>
  </si>
  <si>
    <t>Кропачев Борис Геннадьевич</t>
  </si>
  <si>
    <t>Маляев Ян Сергеевич</t>
  </si>
  <si>
    <t>Пескарева Анастасия Владимировна</t>
  </si>
  <si>
    <t>Сорочкина Светлана Дамировна</t>
  </si>
  <si>
    <t>Стефаненко Екатерина Станиславовна</t>
  </si>
  <si>
    <t>Темирбулатова Антонина Романовна</t>
  </si>
  <si>
    <t>ТАналитикаих Денис Александрович</t>
  </si>
  <si>
    <t>Хлопин Герман Александрович</t>
  </si>
  <si>
    <t>Царев Никита Кириллович</t>
  </si>
  <si>
    <t>Цымбалист Виталий Тимофеевич</t>
  </si>
  <si>
    <t>Элькин Радик Георгиевич</t>
  </si>
  <si>
    <t>общая выручка</t>
  </si>
  <si>
    <t>средний чек</t>
  </si>
  <si>
    <t>средняя цена товара</t>
  </si>
  <si>
    <t>количество заказов</t>
  </si>
  <si>
    <t>медианная сумма продажи</t>
  </si>
  <si>
    <t>максимальная продажа</t>
  </si>
  <si>
    <t>минимальная продажа</t>
  </si>
  <si>
    <t>Доля в выручке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</si>
</sst>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#,##0\ &quot;₽&quot;"/>
    <numFmt numFmtId="165" formatCode="_-* #,##0\ [$₽-419]_-;\-* #,##0\ [$₽-419]_-;_-* &quot;-&quot;??\ [$₽-419]_-;_-@_-"/>
  </numFmts>
  <fonts count="12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2"/>
      <color theme="0"/>
      <name val="Aptos Narrow"/>
      <family val="2"/>
      <charset val="204"/>
      <scheme val="minor"/>
    </font>
    <font>
      <sz val="10"/>
      <name val="MS Sans Serif"/>
    </font>
    <font>
      <sz val="12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2"/>
      <color theme="0"/>
      <name val="Calibri"/>
      <family val="2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9999"/>
      </right>
      <top style="thin">
        <color rgb="FF009999"/>
      </top>
      <bottom style="thin">
        <color rgb="FF009999"/>
      </bottom>
      <diagonal/>
    </border>
    <border>
      <left/>
      <right style="thin">
        <color rgb="FF009999"/>
      </right>
      <top/>
      <bottom style="thin">
        <color rgb="FF009999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0" borderId="0"/>
    <xf numFmtId="8" fontId="3" fillId="0" borderId="0"/>
    <xf numFmtId="0" fontId="11" fillId="0" borderId="0"/>
  </cellStyleXfs>
  <cellXfs count="28">
    <xf numFmtId="0" fontId="0" fillId="0" borderId="0" xfId="0"/>
    <xf numFmtId="0" fontId="4" fillId="0" borderId="0" xfId="0" applyFont="1"/>
    <xf numFmtId="0" fontId="4" fillId="5" borderId="0" xfId="0" applyFont="1" applyFill="1"/>
    <xf numFmtId="10" fontId="4" fillId="0" borderId="0" xfId="1" applyNumberFormat="1" applyFont="1"/>
    <xf numFmtId="0" fontId="7" fillId="3" borderId="0" xfId="3" applyFont="1"/>
    <xf numFmtId="164" fontId="7" fillId="3" borderId="0" xfId="3" applyNumberFormat="1" applyFont="1"/>
    <xf numFmtId="0" fontId="8" fillId="2" borderId="1" xfId="2" applyFont="1" applyBorder="1" applyAlignment="1">
      <alignment horizontal="center" vertical="center"/>
    </xf>
    <xf numFmtId="0" fontId="9" fillId="0" borderId="0" xfId="0" applyFont="1"/>
    <xf numFmtId="0" fontId="10" fillId="0" borderId="2" xfId="0" applyFont="1" applyBorder="1"/>
    <xf numFmtId="14" fontId="10" fillId="0" borderId="2" xfId="0" applyNumberFormat="1" applyFont="1" applyBorder="1"/>
    <xf numFmtId="165" fontId="10" fillId="0" borderId="2" xfId="0" applyNumberFormat="1" applyFont="1" applyBorder="1"/>
    <xf numFmtId="0" fontId="9" fillId="0" borderId="1" xfId="7" applyFont="1" applyBorder="1" applyAlignment="1">
      <alignment horizontal="left"/>
    </xf>
    <xf numFmtId="164" fontId="9" fillId="4" borderId="1" xfId="4" applyNumberFormat="1" applyFont="1" applyBorder="1" applyAlignment="1">
      <alignment horizontal="center"/>
    </xf>
    <xf numFmtId="0" fontId="10" fillId="0" borderId="3" xfId="0" applyFont="1" applyBorder="1"/>
    <xf numFmtId="14" fontId="10" fillId="0" borderId="3" xfId="0" applyNumberFormat="1" applyFont="1" applyBorder="1"/>
    <xf numFmtId="165" fontId="10" fillId="0" borderId="3" xfId="0" applyNumberFormat="1" applyFont="1" applyBorder="1"/>
    <xf numFmtId="0" fontId="5" fillId="0" borderId="1" xfId="5" applyFont="1" applyBorder="1" applyAlignment="1">
      <alignment horizontal="center" vertical="center"/>
    </xf>
    <xf numFmtId="164" fontId="5" fillId="0" borderId="1" xfId="5" applyNumberFormat="1" applyFont="1" applyBorder="1" applyAlignment="1">
      <alignment horizontal="center" vertical="center"/>
    </xf>
    <xf numFmtId="1" fontId="5" fillId="0" borderId="1" xfId="6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2" fillId="3" borderId="0" xfId="3" applyBorder="1" applyAlignment="1">
      <alignment horizontal="center" vertical="center"/>
    </xf>
    <xf numFmtId="0" fontId="2" fillId="3" borderId="0" xfId="3" applyAlignment="1">
      <alignment horizontal="center" vertical="center"/>
    </xf>
    <xf numFmtId="0" fontId="2" fillId="3" borderId="1" xfId="3" applyBorder="1" applyAlignment="1">
      <alignment horizontal="center" vertical="center"/>
    </xf>
    <xf numFmtId="0" fontId="2" fillId="3" borderId="1" xfId="3" applyBorder="1"/>
    <xf numFmtId="0" fontId="4" fillId="0" borderId="1" xfId="0" applyFont="1" applyBorder="1"/>
    <xf numFmtId="164" fontId="4" fillId="0" borderId="1" xfId="0" applyNumberFormat="1" applyFont="1" applyBorder="1"/>
    <xf numFmtId="1" fontId="4" fillId="0" borderId="1" xfId="0" applyNumberFormat="1" applyFont="1" applyBorder="1"/>
    <xf numFmtId="10" fontId="6" fillId="0" borderId="1" xfId="1" applyNumberFormat="1" applyFont="1" applyBorder="1" applyAlignment="1">
      <alignment horizontal="center" vertical="center"/>
    </xf>
  </cellXfs>
  <cellStyles count="8">
    <cellStyle name="20% - Accent6" xfId="4" builtinId="50"/>
    <cellStyle name="Accent1" xfId="2" builtinId="29"/>
    <cellStyle name="Accent6" xfId="3" builtinId="49"/>
    <cellStyle name="Currency_EXCEL3-2" xfId="6" xr:uid="{CF3FB4D9-1E64-3E48-A9A7-B3D0C1FDCB00}"/>
    <cellStyle name="Normal" xfId="0" builtinId="0"/>
    <cellStyle name="Normal_EXCEL3-2" xfId="5" xr:uid="{5196D046-5097-B84C-98B7-462115711803}"/>
    <cellStyle name="Percent" xfId="1" builtinId="5"/>
    <cellStyle name="Обычный 3" xfId="7" xr:uid="{2D6E78E6-A0A8-564D-9276-6E727EAD2CE9}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36AB9-75A5-E44D-8F77-6D176DF654FE}">
  <dimension ref="A1:I149"/>
  <sheetViews>
    <sheetView zoomScale="75" workbookViewId="0">
      <selection activeCell="D30" sqref="A1:H52"/>
    </sheetView>
  </sheetViews>
  <sheetFormatPr defaultColWidth="10.83203125" defaultRowHeight="16" x14ac:dyDescent="0.4"/>
  <cols>
    <col min="1" max="4" width="10.83203125" style="1"/>
    <col min="5" max="5" width="15.33203125" style="1" customWidth="1"/>
    <col min="6" max="6" width="12.83203125" style="1" customWidth="1"/>
    <col min="7" max="7" width="11.1640625" style="1" bestFit="1" customWidth="1"/>
    <col min="8" max="8" width="18.6640625" style="1" customWidth="1"/>
    <col min="9" max="9" width="10.6640625" customWidth="1"/>
    <col min="10" max="16384" width="10.83203125" style="1"/>
  </cols>
  <sheetData>
    <row r="1" spans="1:9" ht="21" customHeight="1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28</v>
      </c>
      <c r="H1" s="21" t="s">
        <v>6</v>
      </c>
      <c r="I1" s="1"/>
    </row>
    <row r="2" spans="1:9" ht="15.5" x14ac:dyDescent="0.35">
      <c r="A2" s="16">
        <v>2025</v>
      </c>
      <c r="B2" s="16" t="s">
        <v>7</v>
      </c>
      <c r="C2" s="16" t="s">
        <v>8</v>
      </c>
      <c r="D2" s="16" t="s">
        <v>9</v>
      </c>
      <c r="E2" s="16" t="s">
        <v>10</v>
      </c>
      <c r="F2" s="17">
        <v>126</v>
      </c>
      <c r="G2" s="18">
        <v>80</v>
      </c>
      <c r="H2" s="19">
        <f t="shared" ref="H2:H33" si="0">G2*F2</f>
        <v>10080</v>
      </c>
      <c r="I2" s="3"/>
    </row>
    <row r="3" spans="1:9" ht="15.5" x14ac:dyDescent="0.35">
      <c r="A3" s="16">
        <v>2025</v>
      </c>
      <c r="B3" s="16" t="s">
        <v>7</v>
      </c>
      <c r="C3" s="16" t="s">
        <v>8</v>
      </c>
      <c r="D3" s="16" t="s">
        <v>11</v>
      </c>
      <c r="E3" s="16" t="s">
        <v>12</v>
      </c>
      <c r="F3" s="17">
        <v>126</v>
      </c>
      <c r="G3" s="18">
        <v>114</v>
      </c>
      <c r="H3" s="19">
        <f t="shared" si="0"/>
        <v>14364</v>
      </c>
      <c r="I3" s="3"/>
    </row>
    <row r="4" spans="1:9" ht="15.5" x14ac:dyDescent="0.35">
      <c r="A4" s="16">
        <v>2025</v>
      </c>
      <c r="B4" s="16" t="s">
        <v>7</v>
      </c>
      <c r="C4" s="16" t="s">
        <v>13</v>
      </c>
      <c r="D4" s="16" t="s">
        <v>11</v>
      </c>
      <c r="E4" s="16" t="s">
        <v>12</v>
      </c>
      <c r="F4" s="17">
        <v>175</v>
      </c>
      <c r="G4" s="18">
        <v>211</v>
      </c>
      <c r="H4" s="19">
        <f t="shared" si="0"/>
        <v>36925</v>
      </c>
      <c r="I4" s="3"/>
    </row>
    <row r="5" spans="1:9" ht="15.5" x14ac:dyDescent="0.35">
      <c r="A5" s="16">
        <v>2025</v>
      </c>
      <c r="B5" s="16" t="s">
        <v>7</v>
      </c>
      <c r="C5" s="16" t="s">
        <v>14</v>
      </c>
      <c r="D5" s="16" t="s">
        <v>15</v>
      </c>
      <c r="E5" s="16" t="s">
        <v>16</v>
      </c>
      <c r="F5" s="17">
        <v>69</v>
      </c>
      <c r="G5" s="18">
        <v>160</v>
      </c>
      <c r="H5" s="19">
        <f t="shared" si="0"/>
        <v>11040</v>
      </c>
      <c r="I5" s="3"/>
    </row>
    <row r="6" spans="1:9" ht="15.5" x14ac:dyDescent="0.35">
      <c r="A6" s="16">
        <v>2025</v>
      </c>
      <c r="B6" s="16" t="s">
        <v>7</v>
      </c>
      <c r="C6" s="16" t="s">
        <v>8</v>
      </c>
      <c r="D6" s="16" t="s">
        <v>11</v>
      </c>
      <c r="E6" s="16" t="s">
        <v>12</v>
      </c>
      <c r="F6" s="17">
        <v>126</v>
      </c>
      <c r="G6" s="18">
        <v>111</v>
      </c>
      <c r="H6" s="19">
        <f t="shared" si="0"/>
        <v>13986</v>
      </c>
      <c r="I6" s="3"/>
    </row>
    <row r="7" spans="1:9" ht="15.5" x14ac:dyDescent="0.35">
      <c r="A7" s="16">
        <v>2025</v>
      </c>
      <c r="B7" s="16" t="s">
        <v>7</v>
      </c>
      <c r="C7" s="16" t="s">
        <v>8</v>
      </c>
      <c r="D7" s="16" t="s">
        <v>17</v>
      </c>
      <c r="E7" s="16" t="s">
        <v>18</v>
      </c>
      <c r="F7" s="17">
        <v>126</v>
      </c>
      <c r="G7" s="18">
        <v>145</v>
      </c>
      <c r="H7" s="19">
        <f t="shared" si="0"/>
        <v>18270</v>
      </c>
      <c r="I7" s="3"/>
    </row>
    <row r="8" spans="1:9" ht="15.5" x14ac:dyDescent="0.35">
      <c r="A8" s="16">
        <v>2025</v>
      </c>
      <c r="B8" s="16" t="s">
        <v>7</v>
      </c>
      <c r="C8" s="16" t="s">
        <v>19</v>
      </c>
      <c r="D8" s="16" t="s">
        <v>11</v>
      </c>
      <c r="E8" s="16" t="s">
        <v>12</v>
      </c>
      <c r="F8" s="17">
        <v>117</v>
      </c>
      <c r="G8" s="18">
        <v>100</v>
      </c>
      <c r="H8" s="19">
        <f t="shared" si="0"/>
        <v>11700</v>
      </c>
      <c r="I8" s="3"/>
    </row>
    <row r="9" spans="1:9" ht="15.5" x14ac:dyDescent="0.35">
      <c r="A9" s="16">
        <v>2025</v>
      </c>
      <c r="B9" s="16" t="s">
        <v>7</v>
      </c>
      <c r="C9" s="16" t="s">
        <v>20</v>
      </c>
      <c r="D9" s="16" t="s">
        <v>21</v>
      </c>
      <c r="E9" s="16" t="s">
        <v>22</v>
      </c>
      <c r="F9" s="17">
        <v>177</v>
      </c>
      <c r="G9" s="18">
        <v>186</v>
      </c>
      <c r="H9" s="19">
        <f t="shared" si="0"/>
        <v>32922</v>
      </c>
      <c r="I9" s="3"/>
    </row>
    <row r="10" spans="1:9" ht="15.5" x14ac:dyDescent="0.35">
      <c r="A10" s="16">
        <v>2025</v>
      </c>
      <c r="B10" s="16" t="s">
        <v>7</v>
      </c>
      <c r="C10" s="16" t="s">
        <v>8</v>
      </c>
      <c r="D10" s="16" t="s">
        <v>15</v>
      </c>
      <c r="E10" s="16" t="s">
        <v>16</v>
      </c>
      <c r="F10" s="17">
        <v>126</v>
      </c>
      <c r="G10" s="18">
        <v>143</v>
      </c>
      <c r="H10" s="19">
        <f t="shared" si="0"/>
        <v>18018</v>
      </c>
      <c r="I10" s="3"/>
    </row>
    <row r="11" spans="1:9" ht="15.5" x14ac:dyDescent="0.35">
      <c r="A11" s="16">
        <v>2025</v>
      </c>
      <c r="B11" s="16" t="s">
        <v>7</v>
      </c>
      <c r="C11" s="16" t="s">
        <v>20</v>
      </c>
      <c r="D11" s="16" t="s">
        <v>21</v>
      </c>
      <c r="E11" s="16" t="s">
        <v>22</v>
      </c>
      <c r="F11" s="17">
        <v>177</v>
      </c>
      <c r="G11" s="18">
        <v>221</v>
      </c>
      <c r="H11" s="19">
        <f t="shared" si="0"/>
        <v>39117</v>
      </c>
      <c r="I11" s="3"/>
    </row>
    <row r="12" spans="1:9" ht="15.5" x14ac:dyDescent="0.35">
      <c r="A12" s="16">
        <v>2025</v>
      </c>
      <c r="B12" s="16" t="s">
        <v>7</v>
      </c>
      <c r="C12" s="16" t="s">
        <v>19</v>
      </c>
      <c r="D12" s="16" t="s">
        <v>21</v>
      </c>
      <c r="E12" s="16" t="s">
        <v>22</v>
      </c>
      <c r="F12" s="17">
        <v>117</v>
      </c>
      <c r="G12" s="18">
        <v>100</v>
      </c>
      <c r="H12" s="19">
        <f t="shared" si="0"/>
        <v>11700</v>
      </c>
      <c r="I12" s="3"/>
    </row>
    <row r="13" spans="1:9" ht="15.5" x14ac:dyDescent="0.35">
      <c r="A13" s="16">
        <v>2025</v>
      </c>
      <c r="B13" s="16" t="s">
        <v>7</v>
      </c>
      <c r="C13" s="16" t="s">
        <v>20</v>
      </c>
      <c r="D13" s="16" t="s">
        <v>21</v>
      </c>
      <c r="E13" s="16" t="s">
        <v>22</v>
      </c>
      <c r="F13" s="17">
        <v>177</v>
      </c>
      <c r="G13" s="18">
        <v>194</v>
      </c>
      <c r="H13" s="19">
        <f t="shared" si="0"/>
        <v>34338</v>
      </c>
      <c r="I13" s="3"/>
    </row>
    <row r="14" spans="1:9" ht="15.5" x14ac:dyDescent="0.35">
      <c r="A14" s="16">
        <v>2025</v>
      </c>
      <c r="B14" s="16" t="s">
        <v>23</v>
      </c>
      <c r="C14" s="16" t="s">
        <v>19</v>
      </c>
      <c r="D14" s="16" t="s">
        <v>11</v>
      </c>
      <c r="E14" s="16" t="s">
        <v>12</v>
      </c>
      <c r="F14" s="17">
        <v>117</v>
      </c>
      <c r="G14" s="18">
        <v>100</v>
      </c>
      <c r="H14" s="19">
        <f t="shared" si="0"/>
        <v>11700</v>
      </c>
      <c r="I14" s="3"/>
    </row>
    <row r="15" spans="1:9" ht="15.5" x14ac:dyDescent="0.35">
      <c r="A15" s="16">
        <v>2025</v>
      </c>
      <c r="B15" s="16" t="s">
        <v>23</v>
      </c>
      <c r="C15" s="16" t="s">
        <v>14</v>
      </c>
      <c r="D15" s="16" t="s">
        <v>17</v>
      </c>
      <c r="E15" s="16" t="s">
        <v>18</v>
      </c>
      <c r="F15" s="17">
        <v>69</v>
      </c>
      <c r="G15" s="18">
        <v>334</v>
      </c>
      <c r="H15" s="19">
        <f t="shared" si="0"/>
        <v>23046</v>
      </c>
      <c r="I15" s="3"/>
    </row>
    <row r="16" spans="1:9" ht="15.5" x14ac:dyDescent="0.35">
      <c r="A16" s="16">
        <v>2025</v>
      </c>
      <c r="B16" s="16" t="s">
        <v>23</v>
      </c>
      <c r="C16" s="16" t="s">
        <v>19</v>
      </c>
      <c r="D16" s="16" t="s">
        <v>9</v>
      </c>
      <c r="E16" s="16" t="s">
        <v>10</v>
      </c>
      <c r="F16" s="17">
        <v>117</v>
      </c>
      <c r="G16" s="18">
        <v>100</v>
      </c>
      <c r="H16" s="19">
        <f t="shared" si="0"/>
        <v>11700</v>
      </c>
      <c r="I16" s="3"/>
    </row>
    <row r="17" spans="1:9" ht="15.5" x14ac:dyDescent="0.35">
      <c r="A17" s="16">
        <v>2025</v>
      </c>
      <c r="B17" s="16" t="s">
        <v>23</v>
      </c>
      <c r="C17" s="16" t="s">
        <v>20</v>
      </c>
      <c r="D17" s="16" t="s">
        <v>15</v>
      </c>
      <c r="E17" s="16" t="s">
        <v>16</v>
      </c>
      <c r="F17" s="17">
        <v>177</v>
      </c>
      <c r="G17" s="18">
        <v>224</v>
      </c>
      <c r="H17" s="19">
        <f t="shared" si="0"/>
        <v>39648</v>
      </c>
      <c r="I17" s="3"/>
    </row>
    <row r="18" spans="1:9" ht="15.5" x14ac:dyDescent="0.35">
      <c r="A18" s="16">
        <v>2025</v>
      </c>
      <c r="B18" s="16" t="s">
        <v>23</v>
      </c>
      <c r="C18" s="16" t="s">
        <v>13</v>
      </c>
      <c r="D18" s="16" t="s">
        <v>11</v>
      </c>
      <c r="E18" s="16" t="s">
        <v>12</v>
      </c>
      <c r="F18" s="17">
        <v>175</v>
      </c>
      <c r="G18" s="18">
        <v>259</v>
      </c>
      <c r="H18" s="19">
        <f t="shared" si="0"/>
        <v>45325</v>
      </c>
      <c r="I18" s="3"/>
    </row>
    <row r="19" spans="1:9" ht="15.5" x14ac:dyDescent="0.35">
      <c r="A19" s="16">
        <v>2025</v>
      </c>
      <c r="B19" s="16" t="s">
        <v>23</v>
      </c>
      <c r="C19" s="16" t="s">
        <v>8</v>
      </c>
      <c r="D19" s="16" t="s">
        <v>11</v>
      </c>
      <c r="E19" s="16" t="s">
        <v>12</v>
      </c>
      <c r="F19" s="17">
        <v>126</v>
      </c>
      <c r="G19" s="18">
        <v>152</v>
      </c>
      <c r="H19" s="19">
        <f t="shared" si="0"/>
        <v>19152</v>
      </c>
      <c r="I19" s="3"/>
    </row>
    <row r="20" spans="1:9" ht="15.5" x14ac:dyDescent="0.35">
      <c r="A20" s="16">
        <v>2025</v>
      </c>
      <c r="B20" s="16" t="s">
        <v>23</v>
      </c>
      <c r="C20" s="16" t="s">
        <v>19</v>
      </c>
      <c r="D20" s="16" t="s">
        <v>17</v>
      </c>
      <c r="E20" s="16" t="s">
        <v>18</v>
      </c>
      <c r="F20" s="17">
        <v>117</v>
      </c>
      <c r="G20" s="18">
        <v>100</v>
      </c>
      <c r="H20" s="19">
        <f t="shared" si="0"/>
        <v>11700</v>
      </c>
      <c r="I20" s="3"/>
    </row>
    <row r="21" spans="1:9" ht="15.5" x14ac:dyDescent="0.35">
      <c r="A21" s="16">
        <v>2025</v>
      </c>
      <c r="B21" s="16" t="s">
        <v>23</v>
      </c>
      <c r="C21" s="16" t="s">
        <v>8</v>
      </c>
      <c r="D21" s="16" t="s">
        <v>21</v>
      </c>
      <c r="E21" s="16" t="s">
        <v>22</v>
      </c>
      <c r="F21" s="17">
        <v>126</v>
      </c>
      <c r="G21" s="18">
        <v>80</v>
      </c>
      <c r="H21" s="19">
        <f t="shared" si="0"/>
        <v>10080</v>
      </c>
      <c r="I21" s="3"/>
    </row>
    <row r="22" spans="1:9" ht="15.5" x14ac:dyDescent="0.35">
      <c r="A22" s="16">
        <v>2025</v>
      </c>
      <c r="B22" s="16" t="s">
        <v>23</v>
      </c>
      <c r="C22" s="16" t="s">
        <v>14</v>
      </c>
      <c r="D22" s="16" t="s">
        <v>17</v>
      </c>
      <c r="E22" s="16" t="s">
        <v>18</v>
      </c>
      <c r="F22" s="17">
        <v>69</v>
      </c>
      <c r="G22" s="18">
        <v>339</v>
      </c>
      <c r="H22" s="19">
        <f t="shared" si="0"/>
        <v>23391</v>
      </c>
      <c r="I22" s="3"/>
    </row>
    <row r="23" spans="1:9" ht="15.5" x14ac:dyDescent="0.35">
      <c r="A23" s="16">
        <v>2025</v>
      </c>
      <c r="B23" s="16" t="s">
        <v>23</v>
      </c>
      <c r="C23" s="16" t="s">
        <v>13</v>
      </c>
      <c r="D23" s="16" t="s">
        <v>9</v>
      </c>
      <c r="E23" s="16" t="s">
        <v>10</v>
      </c>
      <c r="F23" s="17">
        <v>175</v>
      </c>
      <c r="G23" s="18">
        <v>266</v>
      </c>
      <c r="H23" s="19">
        <f t="shared" si="0"/>
        <v>46550</v>
      </c>
      <c r="I23" s="3"/>
    </row>
    <row r="24" spans="1:9" ht="15.5" x14ac:dyDescent="0.35">
      <c r="A24" s="16">
        <v>2025</v>
      </c>
      <c r="B24" s="16" t="s">
        <v>23</v>
      </c>
      <c r="C24" s="16" t="s">
        <v>24</v>
      </c>
      <c r="D24" s="16" t="s">
        <v>21</v>
      </c>
      <c r="E24" s="16" t="s">
        <v>22</v>
      </c>
      <c r="F24" s="17">
        <v>180</v>
      </c>
      <c r="G24" s="18">
        <v>217</v>
      </c>
      <c r="H24" s="19">
        <f t="shared" si="0"/>
        <v>39060</v>
      </c>
      <c r="I24" s="3"/>
    </row>
    <row r="25" spans="1:9" ht="15.5" x14ac:dyDescent="0.35">
      <c r="A25" s="16">
        <v>2025</v>
      </c>
      <c r="B25" s="16" t="s">
        <v>23</v>
      </c>
      <c r="C25" s="16" t="s">
        <v>24</v>
      </c>
      <c r="D25" s="16" t="s">
        <v>9</v>
      </c>
      <c r="E25" s="16" t="s">
        <v>10</v>
      </c>
      <c r="F25" s="17">
        <v>180</v>
      </c>
      <c r="G25" s="18">
        <v>215</v>
      </c>
      <c r="H25" s="19">
        <f t="shared" si="0"/>
        <v>38700</v>
      </c>
      <c r="I25" s="3"/>
    </row>
    <row r="26" spans="1:9" ht="15.5" x14ac:dyDescent="0.35">
      <c r="A26" s="16">
        <v>2025</v>
      </c>
      <c r="B26" s="16" t="s">
        <v>25</v>
      </c>
      <c r="C26" s="16" t="s">
        <v>24</v>
      </c>
      <c r="D26" s="16" t="s">
        <v>11</v>
      </c>
      <c r="E26" s="16" t="s">
        <v>12</v>
      </c>
      <c r="F26" s="17">
        <v>180</v>
      </c>
      <c r="G26" s="18">
        <v>229</v>
      </c>
      <c r="H26" s="19">
        <f t="shared" si="0"/>
        <v>41220</v>
      </c>
      <c r="I26" s="3"/>
    </row>
    <row r="27" spans="1:9" ht="15.5" x14ac:dyDescent="0.35">
      <c r="A27" s="16">
        <v>2025</v>
      </c>
      <c r="B27" s="16" t="s">
        <v>25</v>
      </c>
      <c r="C27" s="16" t="s">
        <v>14</v>
      </c>
      <c r="D27" s="16" t="s">
        <v>21</v>
      </c>
      <c r="E27" s="16" t="s">
        <v>22</v>
      </c>
      <c r="F27" s="17">
        <v>69</v>
      </c>
      <c r="G27" s="18">
        <v>360</v>
      </c>
      <c r="H27" s="19">
        <f t="shared" si="0"/>
        <v>24840</v>
      </c>
      <c r="I27" s="3"/>
    </row>
    <row r="28" spans="1:9" ht="15.5" x14ac:dyDescent="0.35">
      <c r="A28" s="16">
        <v>2025</v>
      </c>
      <c r="B28" s="16" t="s">
        <v>25</v>
      </c>
      <c r="C28" s="16" t="s">
        <v>13</v>
      </c>
      <c r="D28" s="16" t="s">
        <v>9</v>
      </c>
      <c r="E28" s="16" t="s">
        <v>10</v>
      </c>
      <c r="F28" s="17">
        <v>175</v>
      </c>
      <c r="G28" s="18">
        <v>244</v>
      </c>
      <c r="H28" s="19">
        <f t="shared" si="0"/>
        <v>42700</v>
      </c>
      <c r="I28" s="3"/>
    </row>
    <row r="29" spans="1:9" ht="15.5" x14ac:dyDescent="0.35">
      <c r="A29" s="16">
        <v>2025</v>
      </c>
      <c r="B29" s="16" t="s">
        <v>25</v>
      </c>
      <c r="C29" s="16" t="s">
        <v>14</v>
      </c>
      <c r="D29" s="16" t="s">
        <v>15</v>
      </c>
      <c r="E29" s="16" t="s">
        <v>16</v>
      </c>
      <c r="F29" s="17">
        <v>69</v>
      </c>
      <c r="G29" s="18">
        <v>276</v>
      </c>
      <c r="H29" s="19">
        <f t="shared" si="0"/>
        <v>19044</v>
      </c>
      <c r="I29" s="3"/>
    </row>
    <row r="30" spans="1:9" ht="15.5" x14ac:dyDescent="0.35">
      <c r="A30" s="16">
        <v>2025</v>
      </c>
      <c r="B30" s="16" t="s">
        <v>25</v>
      </c>
      <c r="C30" s="16" t="s">
        <v>19</v>
      </c>
      <c r="D30" s="16" t="s">
        <v>9</v>
      </c>
      <c r="E30" s="16" t="s">
        <v>10</v>
      </c>
      <c r="F30" s="17">
        <v>117</v>
      </c>
      <c r="G30" s="18">
        <v>90</v>
      </c>
      <c r="H30" s="19">
        <f t="shared" si="0"/>
        <v>10530</v>
      </c>
      <c r="I30" s="3"/>
    </row>
    <row r="31" spans="1:9" ht="15.5" x14ac:dyDescent="0.35">
      <c r="A31" s="16">
        <v>2025</v>
      </c>
      <c r="B31" s="16" t="s">
        <v>25</v>
      </c>
      <c r="C31" s="16" t="s">
        <v>8</v>
      </c>
      <c r="D31" s="16" t="s">
        <v>17</v>
      </c>
      <c r="E31" s="16" t="s">
        <v>18</v>
      </c>
      <c r="F31" s="17">
        <v>126</v>
      </c>
      <c r="G31" s="18">
        <v>124</v>
      </c>
      <c r="H31" s="19">
        <f t="shared" si="0"/>
        <v>15624</v>
      </c>
      <c r="I31" s="3"/>
    </row>
    <row r="32" spans="1:9" ht="15.5" x14ac:dyDescent="0.35">
      <c r="A32" s="16">
        <v>2025</v>
      </c>
      <c r="B32" s="16" t="s">
        <v>25</v>
      </c>
      <c r="C32" s="16" t="s">
        <v>13</v>
      </c>
      <c r="D32" s="16" t="s">
        <v>11</v>
      </c>
      <c r="E32" s="16" t="s">
        <v>12</v>
      </c>
      <c r="F32" s="17">
        <v>175</v>
      </c>
      <c r="G32" s="18">
        <v>295</v>
      </c>
      <c r="H32" s="19">
        <f t="shared" si="0"/>
        <v>51625</v>
      </c>
      <c r="I32" s="3"/>
    </row>
    <row r="33" spans="1:9" ht="15.5" x14ac:dyDescent="0.35">
      <c r="A33" s="16">
        <v>2025</v>
      </c>
      <c r="B33" s="16" t="s">
        <v>25</v>
      </c>
      <c r="C33" s="16" t="s">
        <v>24</v>
      </c>
      <c r="D33" s="16" t="s">
        <v>15</v>
      </c>
      <c r="E33" s="16" t="s">
        <v>16</v>
      </c>
      <c r="F33" s="17">
        <v>180</v>
      </c>
      <c r="G33" s="18">
        <v>240</v>
      </c>
      <c r="H33" s="19">
        <f t="shared" si="0"/>
        <v>43200</v>
      </c>
      <c r="I33" s="3"/>
    </row>
    <row r="34" spans="1:9" ht="15.5" x14ac:dyDescent="0.35">
      <c r="A34" s="16">
        <v>2025</v>
      </c>
      <c r="B34" s="16" t="s">
        <v>25</v>
      </c>
      <c r="C34" s="16" t="s">
        <v>19</v>
      </c>
      <c r="D34" s="16" t="s">
        <v>15</v>
      </c>
      <c r="E34" s="16" t="s">
        <v>16</v>
      </c>
      <c r="F34" s="17">
        <v>117</v>
      </c>
      <c r="G34" s="18">
        <v>104</v>
      </c>
      <c r="H34" s="19">
        <f t="shared" ref="H34:H51" si="1">G34*F34</f>
        <v>12168</v>
      </c>
      <c r="I34" s="3"/>
    </row>
    <row r="35" spans="1:9" ht="15.5" x14ac:dyDescent="0.35">
      <c r="A35" s="16">
        <v>2025</v>
      </c>
      <c r="B35" s="16" t="s">
        <v>25</v>
      </c>
      <c r="C35" s="16" t="s">
        <v>24</v>
      </c>
      <c r="D35" s="16" t="s">
        <v>17</v>
      </c>
      <c r="E35" s="16" t="s">
        <v>18</v>
      </c>
      <c r="F35" s="17">
        <v>180</v>
      </c>
      <c r="G35" s="18">
        <v>207</v>
      </c>
      <c r="H35" s="19">
        <f t="shared" si="1"/>
        <v>37260</v>
      </c>
      <c r="I35" s="3"/>
    </row>
    <row r="36" spans="1:9" ht="15.5" x14ac:dyDescent="0.35">
      <c r="A36" s="16">
        <v>2025</v>
      </c>
      <c r="B36" s="16" t="s">
        <v>25</v>
      </c>
      <c r="C36" s="16" t="s">
        <v>8</v>
      </c>
      <c r="D36" s="16" t="s">
        <v>17</v>
      </c>
      <c r="E36" s="16" t="s">
        <v>18</v>
      </c>
      <c r="F36" s="17">
        <v>126</v>
      </c>
      <c r="G36" s="18">
        <v>90</v>
      </c>
      <c r="H36" s="19">
        <f t="shared" si="1"/>
        <v>11340</v>
      </c>
      <c r="I36" s="3"/>
    </row>
    <row r="37" spans="1:9" ht="15.5" x14ac:dyDescent="0.35">
      <c r="A37" s="16">
        <v>2025</v>
      </c>
      <c r="B37" s="16" t="s">
        <v>25</v>
      </c>
      <c r="C37" s="16" t="s">
        <v>8</v>
      </c>
      <c r="D37" s="16" t="s">
        <v>9</v>
      </c>
      <c r="E37" s="16" t="s">
        <v>10</v>
      </c>
      <c r="F37" s="17">
        <v>126</v>
      </c>
      <c r="G37" s="18">
        <v>95</v>
      </c>
      <c r="H37" s="19">
        <f t="shared" si="1"/>
        <v>11970</v>
      </c>
      <c r="I37" s="3"/>
    </row>
    <row r="38" spans="1:9" ht="15.5" x14ac:dyDescent="0.35">
      <c r="A38" s="16">
        <v>2025</v>
      </c>
      <c r="B38" s="16" t="s">
        <v>26</v>
      </c>
      <c r="C38" s="16" t="s">
        <v>19</v>
      </c>
      <c r="D38" s="16" t="s">
        <v>21</v>
      </c>
      <c r="E38" s="16" t="s">
        <v>22</v>
      </c>
      <c r="F38" s="17">
        <v>117</v>
      </c>
      <c r="G38" s="18">
        <v>89</v>
      </c>
      <c r="H38" s="19">
        <f t="shared" si="1"/>
        <v>10413</v>
      </c>
      <c r="I38" s="3"/>
    </row>
    <row r="39" spans="1:9" ht="15.5" x14ac:dyDescent="0.35">
      <c r="A39" s="16">
        <v>2025</v>
      </c>
      <c r="B39" s="16" t="s">
        <v>26</v>
      </c>
      <c r="C39" s="16" t="s">
        <v>13</v>
      </c>
      <c r="D39" s="16" t="s">
        <v>9</v>
      </c>
      <c r="E39" s="16" t="s">
        <v>10</v>
      </c>
      <c r="F39" s="17">
        <v>175</v>
      </c>
      <c r="G39" s="18">
        <v>234</v>
      </c>
      <c r="H39" s="19">
        <f t="shared" si="1"/>
        <v>40950</v>
      </c>
      <c r="I39" s="3"/>
    </row>
    <row r="40" spans="1:9" ht="15.5" x14ac:dyDescent="0.35">
      <c r="A40" s="16">
        <v>2025</v>
      </c>
      <c r="B40" s="16" t="s">
        <v>26</v>
      </c>
      <c r="C40" s="16" t="s">
        <v>14</v>
      </c>
      <c r="D40" s="16" t="s">
        <v>21</v>
      </c>
      <c r="E40" s="16" t="s">
        <v>22</v>
      </c>
      <c r="F40" s="17">
        <v>69</v>
      </c>
      <c r="G40" s="18">
        <v>39</v>
      </c>
      <c r="H40" s="19">
        <f t="shared" si="1"/>
        <v>2691</v>
      </c>
      <c r="I40" s="3"/>
    </row>
    <row r="41" spans="1:9" ht="15.5" x14ac:dyDescent="0.35">
      <c r="A41" s="16">
        <v>2025</v>
      </c>
      <c r="B41" s="16" t="s">
        <v>26</v>
      </c>
      <c r="C41" s="16" t="s">
        <v>19</v>
      </c>
      <c r="D41" s="16" t="s">
        <v>9</v>
      </c>
      <c r="E41" s="16" t="s">
        <v>10</v>
      </c>
      <c r="F41" s="17">
        <v>117</v>
      </c>
      <c r="G41" s="18">
        <v>100</v>
      </c>
      <c r="H41" s="19">
        <f t="shared" si="1"/>
        <v>11700</v>
      </c>
      <c r="I41" s="3"/>
    </row>
    <row r="42" spans="1:9" ht="15.5" x14ac:dyDescent="0.35">
      <c r="A42" s="16">
        <v>2025</v>
      </c>
      <c r="B42" s="16" t="s">
        <v>26</v>
      </c>
      <c r="C42" s="16" t="s">
        <v>24</v>
      </c>
      <c r="D42" s="16" t="s">
        <v>15</v>
      </c>
      <c r="E42" s="16" t="s">
        <v>16</v>
      </c>
      <c r="F42" s="17">
        <v>180</v>
      </c>
      <c r="G42" s="18">
        <v>235</v>
      </c>
      <c r="H42" s="19">
        <f t="shared" si="1"/>
        <v>42300</v>
      </c>
      <c r="I42" s="3"/>
    </row>
    <row r="43" spans="1:9" ht="15.5" x14ac:dyDescent="0.35">
      <c r="A43" s="16">
        <v>2025</v>
      </c>
      <c r="B43" s="16" t="s">
        <v>26</v>
      </c>
      <c r="C43" s="16" t="s">
        <v>24</v>
      </c>
      <c r="D43" s="16" t="s">
        <v>17</v>
      </c>
      <c r="E43" s="16" t="s">
        <v>18</v>
      </c>
      <c r="F43" s="17">
        <v>180</v>
      </c>
      <c r="G43" s="18">
        <v>191</v>
      </c>
      <c r="H43" s="19">
        <f t="shared" si="1"/>
        <v>34380</v>
      </c>
      <c r="I43" s="3"/>
    </row>
    <row r="44" spans="1:9" ht="15.5" x14ac:dyDescent="0.35">
      <c r="A44" s="16">
        <v>2025</v>
      </c>
      <c r="B44" s="16" t="s">
        <v>26</v>
      </c>
      <c r="C44" s="16" t="s">
        <v>8</v>
      </c>
      <c r="D44" s="16" t="s">
        <v>15</v>
      </c>
      <c r="E44" s="16" t="s">
        <v>16</v>
      </c>
      <c r="F44" s="17">
        <v>126</v>
      </c>
      <c r="G44" s="18">
        <v>90</v>
      </c>
      <c r="H44" s="19">
        <f t="shared" si="1"/>
        <v>11340</v>
      </c>
      <c r="I44" s="3"/>
    </row>
    <row r="45" spans="1:9" ht="15.5" x14ac:dyDescent="0.35">
      <c r="A45" s="16">
        <v>2025</v>
      </c>
      <c r="B45" s="16" t="s">
        <v>26</v>
      </c>
      <c r="C45" s="16" t="s">
        <v>14</v>
      </c>
      <c r="D45" s="16" t="s">
        <v>9</v>
      </c>
      <c r="E45" s="16" t="s">
        <v>10</v>
      </c>
      <c r="F45" s="17">
        <v>69</v>
      </c>
      <c r="G45" s="18">
        <v>309</v>
      </c>
      <c r="H45" s="19">
        <f t="shared" si="1"/>
        <v>21321</v>
      </c>
      <c r="I45" s="3"/>
    </row>
    <row r="46" spans="1:9" ht="15.5" x14ac:dyDescent="0.35">
      <c r="A46" s="16">
        <v>2025</v>
      </c>
      <c r="B46" s="16" t="s">
        <v>26</v>
      </c>
      <c r="C46" s="16" t="s">
        <v>14</v>
      </c>
      <c r="D46" s="16" t="s">
        <v>9</v>
      </c>
      <c r="E46" s="16" t="s">
        <v>10</v>
      </c>
      <c r="F46" s="17">
        <v>69</v>
      </c>
      <c r="G46" s="18">
        <v>257</v>
      </c>
      <c r="H46" s="19">
        <f t="shared" si="1"/>
        <v>17733</v>
      </c>
      <c r="I46" s="3"/>
    </row>
    <row r="47" spans="1:9" ht="15.5" x14ac:dyDescent="0.35">
      <c r="A47" s="16">
        <v>2025</v>
      </c>
      <c r="B47" s="16" t="s">
        <v>26</v>
      </c>
      <c r="C47" s="16" t="s">
        <v>14</v>
      </c>
      <c r="D47" s="16" t="s">
        <v>11</v>
      </c>
      <c r="E47" s="16" t="s">
        <v>12</v>
      </c>
      <c r="F47" s="17">
        <v>49</v>
      </c>
      <c r="G47" s="18">
        <v>100</v>
      </c>
      <c r="H47" s="19">
        <f t="shared" si="1"/>
        <v>4900</v>
      </c>
      <c r="I47" s="3"/>
    </row>
    <row r="48" spans="1:9" ht="15.5" x14ac:dyDescent="0.35">
      <c r="A48" s="16">
        <v>2025</v>
      </c>
      <c r="B48" s="16" t="s">
        <v>26</v>
      </c>
      <c r="C48" s="16" t="s">
        <v>13</v>
      </c>
      <c r="D48" s="16" t="s">
        <v>21</v>
      </c>
      <c r="E48" s="16" t="s">
        <v>22</v>
      </c>
      <c r="F48" s="17">
        <v>175</v>
      </c>
      <c r="G48" s="18">
        <v>276</v>
      </c>
      <c r="H48" s="19">
        <f t="shared" si="1"/>
        <v>48300</v>
      </c>
      <c r="I48" s="3"/>
    </row>
    <row r="49" spans="1:9" ht="15.5" x14ac:dyDescent="0.35">
      <c r="A49" s="16">
        <v>2025</v>
      </c>
      <c r="B49" s="16" t="s">
        <v>26</v>
      </c>
      <c r="C49" s="16" t="s">
        <v>14</v>
      </c>
      <c r="D49" s="16" t="s">
        <v>9</v>
      </c>
      <c r="E49" s="16" t="s">
        <v>10</v>
      </c>
      <c r="F49" s="17">
        <v>69</v>
      </c>
      <c r="G49" s="18">
        <v>368</v>
      </c>
      <c r="H49" s="19">
        <f t="shared" si="1"/>
        <v>25392</v>
      </c>
      <c r="I49" s="3"/>
    </row>
    <row r="50" spans="1:9" ht="15.5" x14ac:dyDescent="0.35">
      <c r="A50" s="16">
        <v>2025</v>
      </c>
      <c r="B50" s="16" t="s">
        <v>27</v>
      </c>
      <c r="C50" s="16" t="s">
        <v>19</v>
      </c>
      <c r="D50" s="16" t="s">
        <v>11</v>
      </c>
      <c r="E50" s="16" t="s">
        <v>12</v>
      </c>
      <c r="F50" s="17">
        <v>117</v>
      </c>
      <c r="G50" s="18">
        <v>94</v>
      </c>
      <c r="H50" s="19">
        <f t="shared" si="1"/>
        <v>10998</v>
      </c>
      <c r="I50" s="3"/>
    </row>
    <row r="51" spans="1:9" ht="15.5" x14ac:dyDescent="0.35">
      <c r="A51" s="16">
        <v>2025</v>
      </c>
      <c r="B51" s="16" t="s">
        <v>27</v>
      </c>
      <c r="C51" s="16" t="s">
        <v>14</v>
      </c>
      <c r="D51" s="16" t="s">
        <v>15</v>
      </c>
      <c r="E51" s="16" t="s">
        <v>16</v>
      </c>
      <c r="F51" s="17">
        <v>69</v>
      </c>
      <c r="G51" s="18">
        <v>150</v>
      </c>
      <c r="H51" s="19">
        <f t="shared" si="1"/>
        <v>10350</v>
      </c>
      <c r="I51" s="3"/>
    </row>
    <row r="52" spans="1:9" ht="15.5" x14ac:dyDescent="0.35">
      <c r="A52" s="4" t="s">
        <v>29</v>
      </c>
      <c r="B52" s="2"/>
      <c r="C52" s="2"/>
      <c r="D52" s="2"/>
      <c r="E52" s="2"/>
      <c r="F52" s="2"/>
      <c r="G52" s="2"/>
      <c r="H52" s="5">
        <f>SUM(H2:H51)</f>
        <v>1186801</v>
      </c>
      <c r="I52" s="1"/>
    </row>
    <row r="53" spans="1:9" ht="15.5" x14ac:dyDescent="0.35">
      <c r="I53" s="1"/>
    </row>
    <row r="54" spans="1:9" ht="15.5" x14ac:dyDescent="0.35">
      <c r="I54" s="1"/>
    </row>
    <row r="55" spans="1:9" ht="15.5" x14ac:dyDescent="0.35">
      <c r="I55" s="1"/>
    </row>
    <row r="56" spans="1:9" ht="15.5" x14ac:dyDescent="0.35">
      <c r="I56" s="1"/>
    </row>
    <row r="57" spans="1:9" ht="15.5" x14ac:dyDescent="0.35">
      <c r="I57" s="1"/>
    </row>
    <row r="58" spans="1:9" ht="15.5" x14ac:dyDescent="0.35">
      <c r="I58" s="1"/>
    </row>
    <row r="59" spans="1:9" ht="15.5" x14ac:dyDescent="0.35">
      <c r="I59" s="1"/>
    </row>
    <row r="60" spans="1:9" ht="15.5" x14ac:dyDescent="0.35">
      <c r="I60" s="1"/>
    </row>
    <row r="61" spans="1:9" ht="15.5" x14ac:dyDescent="0.35">
      <c r="I61" s="1"/>
    </row>
    <row r="62" spans="1:9" ht="15.5" x14ac:dyDescent="0.35">
      <c r="I62" s="1"/>
    </row>
    <row r="63" spans="1:9" ht="15.5" x14ac:dyDescent="0.35">
      <c r="I63" s="1"/>
    </row>
    <row r="64" spans="1:9" ht="15.5" x14ac:dyDescent="0.35">
      <c r="I64" s="1"/>
    </row>
    <row r="65" spans="9:9" ht="15.5" x14ac:dyDescent="0.35">
      <c r="I65" s="1"/>
    </row>
    <row r="66" spans="9:9" ht="15.5" x14ac:dyDescent="0.35">
      <c r="I66" s="1"/>
    </row>
    <row r="67" spans="9:9" ht="15.5" x14ac:dyDescent="0.35">
      <c r="I67" s="1"/>
    </row>
    <row r="68" spans="9:9" ht="15.5" x14ac:dyDescent="0.35">
      <c r="I68" s="1"/>
    </row>
    <row r="69" spans="9:9" ht="15.5" x14ac:dyDescent="0.35">
      <c r="I69" s="1"/>
    </row>
    <row r="70" spans="9:9" ht="15.5" x14ac:dyDescent="0.35">
      <c r="I70" s="1"/>
    </row>
    <row r="71" spans="9:9" ht="15.5" x14ac:dyDescent="0.35">
      <c r="I71" s="1"/>
    </row>
    <row r="72" spans="9:9" ht="15.5" x14ac:dyDescent="0.35">
      <c r="I72" s="1"/>
    </row>
    <row r="73" spans="9:9" ht="15.5" x14ac:dyDescent="0.35">
      <c r="I73" s="1"/>
    </row>
    <row r="74" spans="9:9" ht="15.5" x14ac:dyDescent="0.35">
      <c r="I74" s="1"/>
    </row>
    <row r="75" spans="9:9" ht="15.5" x14ac:dyDescent="0.35">
      <c r="I75" s="1"/>
    </row>
    <row r="76" spans="9:9" ht="15.5" x14ac:dyDescent="0.35">
      <c r="I76" s="1"/>
    </row>
    <row r="77" spans="9:9" ht="15.5" x14ac:dyDescent="0.35">
      <c r="I77" s="1"/>
    </row>
    <row r="78" spans="9:9" ht="15.5" x14ac:dyDescent="0.35">
      <c r="I78" s="1"/>
    </row>
    <row r="79" spans="9:9" ht="15.5" x14ac:dyDescent="0.35">
      <c r="I79" s="1"/>
    </row>
    <row r="80" spans="9:9" ht="15.5" x14ac:dyDescent="0.35">
      <c r="I80" s="1"/>
    </row>
    <row r="81" spans="9:9" ht="15.5" x14ac:dyDescent="0.35">
      <c r="I81" s="1"/>
    </row>
    <row r="82" spans="9:9" ht="15.5" x14ac:dyDescent="0.35">
      <c r="I82" s="1"/>
    </row>
    <row r="83" spans="9:9" ht="15.5" x14ac:dyDescent="0.35">
      <c r="I83" s="1"/>
    </row>
    <row r="84" spans="9:9" ht="15.5" x14ac:dyDescent="0.35">
      <c r="I84" s="1"/>
    </row>
    <row r="85" spans="9:9" ht="15.5" x14ac:dyDescent="0.35">
      <c r="I85" s="1"/>
    </row>
    <row r="86" spans="9:9" ht="15.5" x14ac:dyDescent="0.35">
      <c r="I86" s="1"/>
    </row>
    <row r="87" spans="9:9" ht="15.5" x14ac:dyDescent="0.35">
      <c r="I87" s="1"/>
    </row>
    <row r="88" spans="9:9" ht="15.5" x14ac:dyDescent="0.35">
      <c r="I88" s="1"/>
    </row>
    <row r="89" spans="9:9" ht="15.5" x14ac:dyDescent="0.35">
      <c r="I89" s="1"/>
    </row>
    <row r="90" spans="9:9" ht="15.5" x14ac:dyDescent="0.35">
      <c r="I90" s="1"/>
    </row>
    <row r="91" spans="9:9" ht="15.5" x14ac:dyDescent="0.35">
      <c r="I91" s="1"/>
    </row>
    <row r="92" spans="9:9" ht="15.5" x14ac:dyDescent="0.35">
      <c r="I92" s="1"/>
    </row>
    <row r="93" spans="9:9" ht="15.5" x14ac:dyDescent="0.35">
      <c r="I93" s="1"/>
    </row>
    <row r="94" spans="9:9" ht="15.5" x14ac:dyDescent="0.35">
      <c r="I94" s="1"/>
    </row>
    <row r="95" spans="9:9" ht="15.5" x14ac:dyDescent="0.35">
      <c r="I95" s="1"/>
    </row>
    <row r="96" spans="9:9" ht="15.5" x14ac:dyDescent="0.35">
      <c r="I96" s="1"/>
    </row>
    <row r="97" spans="9:9" ht="15.5" x14ac:dyDescent="0.35">
      <c r="I97" s="1"/>
    </row>
    <row r="98" spans="9:9" ht="15.5" x14ac:dyDescent="0.35">
      <c r="I98" s="1"/>
    </row>
    <row r="99" spans="9:9" ht="15.5" x14ac:dyDescent="0.35">
      <c r="I99" s="1"/>
    </row>
    <row r="100" spans="9:9" ht="15.5" x14ac:dyDescent="0.35">
      <c r="I100" s="1"/>
    </row>
    <row r="101" spans="9:9" ht="15.5" x14ac:dyDescent="0.35">
      <c r="I101" s="1"/>
    </row>
    <row r="102" spans="9:9" ht="15.5" x14ac:dyDescent="0.35">
      <c r="I102" s="1"/>
    </row>
    <row r="103" spans="9:9" ht="15.5" x14ac:dyDescent="0.35">
      <c r="I103" s="1"/>
    </row>
    <row r="104" spans="9:9" ht="15.5" x14ac:dyDescent="0.35">
      <c r="I104" s="1"/>
    </row>
    <row r="105" spans="9:9" ht="15.5" x14ac:dyDescent="0.35">
      <c r="I105" s="1"/>
    </row>
    <row r="106" spans="9:9" ht="15.5" x14ac:dyDescent="0.35">
      <c r="I106" s="1"/>
    </row>
    <row r="107" spans="9:9" ht="15.5" x14ac:dyDescent="0.35">
      <c r="I107" s="1"/>
    </row>
    <row r="108" spans="9:9" ht="15.5" x14ac:dyDescent="0.35">
      <c r="I108" s="1"/>
    </row>
    <row r="109" spans="9:9" ht="15.5" x14ac:dyDescent="0.35">
      <c r="I109" s="1"/>
    </row>
    <row r="110" spans="9:9" ht="15.5" x14ac:dyDescent="0.35">
      <c r="I110" s="1"/>
    </row>
    <row r="111" spans="9:9" ht="15.5" x14ac:dyDescent="0.35">
      <c r="I111" s="1"/>
    </row>
    <row r="112" spans="9:9" ht="15.5" x14ac:dyDescent="0.35">
      <c r="I112" s="1"/>
    </row>
    <row r="113" spans="9:9" ht="15.5" x14ac:dyDescent="0.35">
      <c r="I113" s="1"/>
    </row>
    <row r="114" spans="9:9" ht="15.5" x14ac:dyDescent="0.35">
      <c r="I114" s="1"/>
    </row>
    <row r="115" spans="9:9" ht="15.5" x14ac:dyDescent="0.35">
      <c r="I115" s="1"/>
    </row>
    <row r="116" spans="9:9" ht="15.5" x14ac:dyDescent="0.35">
      <c r="I116" s="1"/>
    </row>
    <row r="117" spans="9:9" ht="15.5" x14ac:dyDescent="0.35">
      <c r="I117" s="1"/>
    </row>
    <row r="118" spans="9:9" ht="15.5" x14ac:dyDescent="0.35">
      <c r="I118" s="1"/>
    </row>
    <row r="119" spans="9:9" ht="15.5" x14ac:dyDescent="0.35">
      <c r="I119" s="1"/>
    </row>
    <row r="120" spans="9:9" ht="15.5" x14ac:dyDescent="0.35">
      <c r="I120" s="1"/>
    </row>
    <row r="121" spans="9:9" ht="15.5" x14ac:dyDescent="0.35">
      <c r="I121" s="1"/>
    </row>
    <row r="122" spans="9:9" ht="15.5" x14ac:dyDescent="0.35">
      <c r="I122" s="1"/>
    </row>
    <row r="123" spans="9:9" ht="15.5" x14ac:dyDescent="0.35">
      <c r="I123" s="1"/>
    </row>
    <row r="124" spans="9:9" ht="15.5" x14ac:dyDescent="0.35">
      <c r="I124" s="1"/>
    </row>
    <row r="125" spans="9:9" ht="15.5" x14ac:dyDescent="0.35">
      <c r="I125" s="1"/>
    </row>
    <row r="126" spans="9:9" ht="15.5" x14ac:dyDescent="0.35">
      <c r="I126" s="1"/>
    </row>
    <row r="127" spans="9:9" ht="15.5" x14ac:dyDescent="0.35">
      <c r="I127" s="1"/>
    </row>
    <row r="128" spans="9:9" ht="15.5" x14ac:dyDescent="0.35">
      <c r="I128" s="1"/>
    </row>
    <row r="129" spans="9:9" ht="15.5" x14ac:dyDescent="0.35">
      <c r="I129" s="1"/>
    </row>
    <row r="130" spans="9:9" ht="15.5" x14ac:dyDescent="0.35">
      <c r="I130" s="1"/>
    </row>
    <row r="131" spans="9:9" ht="15.5" x14ac:dyDescent="0.35">
      <c r="I131" s="1"/>
    </row>
    <row r="132" spans="9:9" ht="15.5" x14ac:dyDescent="0.35">
      <c r="I132" s="1"/>
    </row>
    <row r="133" spans="9:9" ht="15.5" x14ac:dyDescent="0.35">
      <c r="I133" s="1"/>
    </row>
    <row r="134" spans="9:9" ht="15.5" x14ac:dyDescent="0.35">
      <c r="I134" s="1"/>
    </row>
    <row r="135" spans="9:9" ht="15.5" x14ac:dyDescent="0.35">
      <c r="I135" s="1"/>
    </row>
    <row r="136" spans="9:9" ht="15.5" x14ac:dyDescent="0.35">
      <c r="I136" s="1"/>
    </row>
    <row r="137" spans="9:9" ht="15.5" x14ac:dyDescent="0.35">
      <c r="I137" s="1"/>
    </row>
    <row r="138" spans="9:9" ht="15.5" x14ac:dyDescent="0.35">
      <c r="I138" s="1"/>
    </row>
    <row r="139" spans="9:9" ht="15.5" x14ac:dyDescent="0.35">
      <c r="I139" s="1"/>
    </row>
    <row r="140" spans="9:9" ht="15.5" x14ac:dyDescent="0.35">
      <c r="I140" s="1"/>
    </row>
    <row r="141" spans="9:9" ht="15.5" x14ac:dyDescent="0.35">
      <c r="I141" s="1"/>
    </row>
    <row r="142" spans="9:9" ht="15.5" x14ac:dyDescent="0.35">
      <c r="I142" s="1"/>
    </row>
    <row r="143" spans="9:9" ht="15.5" x14ac:dyDescent="0.35">
      <c r="I143" s="1"/>
    </row>
    <row r="144" spans="9:9" ht="15.5" x14ac:dyDescent="0.35">
      <c r="I144" s="1"/>
    </row>
    <row r="145" spans="9:9" ht="15.5" x14ac:dyDescent="0.35">
      <c r="I145" s="1"/>
    </row>
    <row r="146" spans="9:9" ht="15.5" x14ac:dyDescent="0.35">
      <c r="I146" s="1"/>
    </row>
    <row r="147" spans="9:9" ht="15.5" x14ac:dyDescent="0.35">
      <c r="I147" s="1"/>
    </row>
    <row r="148" spans="9:9" ht="15.5" x14ac:dyDescent="0.35">
      <c r="I148" s="1"/>
    </row>
    <row r="149" spans="9:9" ht="15.5" x14ac:dyDescent="0.35">
      <c r="I14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EB267-04AB-8840-B889-BC08444C758C}">
  <dimension ref="A1:G51"/>
  <sheetViews>
    <sheetView zoomScale="75" workbookViewId="0">
      <selection activeCell="G8" sqref="G8"/>
    </sheetView>
  </sheetViews>
  <sheetFormatPr defaultColWidth="10.83203125" defaultRowHeight="16" x14ac:dyDescent="0.4"/>
  <cols>
    <col min="1" max="1" width="25.1640625" style="7" customWidth="1"/>
    <col min="2" max="2" width="38.5" style="7" customWidth="1"/>
    <col min="3" max="3" width="16.33203125" style="7" customWidth="1"/>
    <col min="4" max="5" width="10.83203125" style="7"/>
    <col min="6" max="6" width="30.33203125" style="7" bestFit="1" customWidth="1"/>
    <col min="7" max="7" width="21.1640625" style="7" customWidth="1"/>
    <col min="8" max="16384" width="10.83203125" style="7"/>
  </cols>
  <sheetData>
    <row r="1" spans="1:7" x14ac:dyDescent="0.4">
      <c r="A1" s="6" t="s">
        <v>30</v>
      </c>
      <c r="B1" s="6" t="s">
        <v>31</v>
      </c>
      <c r="C1" s="6" t="s">
        <v>32</v>
      </c>
      <c r="F1" s="6"/>
      <c r="G1" s="6" t="s">
        <v>33</v>
      </c>
    </row>
    <row r="2" spans="1:7" x14ac:dyDescent="0.4">
      <c r="A2" s="8" t="s">
        <v>34</v>
      </c>
      <c r="B2" s="9" t="s">
        <v>35</v>
      </c>
      <c r="C2" s="10">
        <v>73600</v>
      </c>
      <c r="F2" s="11" t="s">
        <v>36</v>
      </c>
      <c r="G2" s="12">
        <f>LARGE(C2:C51,5)</f>
        <v>251500</v>
      </c>
    </row>
    <row r="3" spans="1:7" x14ac:dyDescent="0.4">
      <c r="A3" s="13" t="s">
        <v>34</v>
      </c>
      <c r="B3" s="14" t="s">
        <v>37</v>
      </c>
      <c r="C3" s="15">
        <v>108800</v>
      </c>
      <c r="F3" s="11" t="s">
        <v>38</v>
      </c>
      <c r="G3" s="12">
        <f>LARGE(C2:C51,3)</f>
        <v>255000</v>
      </c>
    </row>
    <row r="4" spans="1:7" x14ac:dyDescent="0.4">
      <c r="A4" s="13" t="s">
        <v>39</v>
      </c>
      <c r="B4" s="14" t="s">
        <v>40</v>
      </c>
      <c r="C4" s="15">
        <v>90500</v>
      </c>
      <c r="F4" s="11" t="s">
        <v>41</v>
      </c>
      <c r="G4" s="12">
        <f>SMALL(C2:C51,4)</f>
        <v>30000</v>
      </c>
    </row>
    <row r="5" spans="1:7" x14ac:dyDescent="0.4">
      <c r="A5" s="13" t="s">
        <v>39</v>
      </c>
      <c r="B5" s="14" t="s">
        <v>42</v>
      </c>
      <c r="C5" s="15">
        <v>30600</v>
      </c>
      <c r="F5" s="11" t="s">
        <v>43</v>
      </c>
      <c r="G5" s="12">
        <f>SMALL(C2:C51,2)</f>
        <v>19000</v>
      </c>
    </row>
    <row r="6" spans="1:7" x14ac:dyDescent="0.4">
      <c r="A6" s="13" t="s">
        <v>44</v>
      </c>
      <c r="B6" s="14" t="s">
        <v>45</v>
      </c>
      <c r="C6" s="15">
        <v>40000</v>
      </c>
      <c r="F6" s="11" t="s">
        <v>46</v>
      </c>
      <c r="G6" s="12">
        <f>MIN(C2:C51)</f>
        <v>18000</v>
      </c>
    </row>
    <row r="7" spans="1:7" x14ac:dyDescent="0.4">
      <c r="A7" s="13" t="s">
        <v>34</v>
      </c>
      <c r="B7" s="14" t="s">
        <v>47</v>
      </c>
      <c r="C7" s="15">
        <v>64000</v>
      </c>
      <c r="F7" s="11" t="s">
        <v>48</v>
      </c>
      <c r="G7" s="12">
        <f>MAX(C2:C51)</f>
        <v>300000</v>
      </c>
    </row>
    <row r="8" spans="1:7" x14ac:dyDescent="0.4">
      <c r="A8" s="13" t="s">
        <v>34</v>
      </c>
      <c r="B8" s="14" t="s">
        <v>49</v>
      </c>
      <c r="C8" s="15">
        <v>108800</v>
      </c>
    </row>
    <row r="9" spans="1:7" x14ac:dyDescent="0.4">
      <c r="A9" s="13" t="s">
        <v>39</v>
      </c>
      <c r="B9" s="14" t="s">
        <v>50</v>
      </c>
      <c r="C9" s="15">
        <v>19000</v>
      </c>
    </row>
    <row r="10" spans="1:7" x14ac:dyDescent="0.4">
      <c r="A10" s="13" t="s">
        <v>51</v>
      </c>
      <c r="B10" s="14" t="s">
        <v>52</v>
      </c>
      <c r="C10" s="15">
        <v>46500</v>
      </c>
    </row>
    <row r="11" spans="1:7" x14ac:dyDescent="0.4">
      <c r="A11" s="13" t="s">
        <v>39</v>
      </c>
      <c r="B11" s="14" t="s">
        <v>53</v>
      </c>
      <c r="C11" s="15">
        <v>31000</v>
      </c>
    </row>
    <row r="12" spans="1:7" x14ac:dyDescent="0.4">
      <c r="A12" s="13" t="s">
        <v>39</v>
      </c>
      <c r="B12" s="14" t="s">
        <v>54</v>
      </c>
      <c r="C12" s="15">
        <v>180000</v>
      </c>
    </row>
    <row r="13" spans="1:7" x14ac:dyDescent="0.4">
      <c r="A13" s="13" t="s">
        <v>39</v>
      </c>
      <c r="B13" s="14" t="s">
        <v>55</v>
      </c>
      <c r="C13" s="15">
        <v>21000</v>
      </c>
    </row>
    <row r="14" spans="1:7" x14ac:dyDescent="0.4">
      <c r="A14" s="13" t="s">
        <v>51</v>
      </c>
      <c r="B14" s="14" t="s">
        <v>56</v>
      </c>
      <c r="C14" s="15">
        <v>34500</v>
      </c>
    </row>
    <row r="15" spans="1:7" x14ac:dyDescent="0.4">
      <c r="A15" s="13" t="s">
        <v>51</v>
      </c>
      <c r="B15" s="14" t="s">
        <v>57</v>
      </c>
      <c r="C15" s="15">
        <v>151000</v>
      </c>
    </row>
    <row r="16" spans="1:7" x14ac:dyDescent="0.4">
      <c r="A16" s="13" t="s">
        <v>51</v>
      </c>
      <c r="B16" s="14" t="s">
        <v>58</v>
      </c>
      <c r="C16" s="15">
        <v>46500</v>
      </c>
    </row>
    <row r="17" spans="1:3" x14ac:dyDescent="0.4">
      <c r="A17" s="13" t="s">
        <v>51</v>
      </c>
      <c r="B17" s="14" t="s">
        <v>59</v>
      </c>
      <c r="C17" s="15">
        <v>34500</v>
      </c>
    </row>
    <row r="18" spans="1:3" x14ac:dyDescent="0.4">
      <c r="A18" s="13" t="s">
        <v>44</v>
      </c>
      <c r="B18" s="14" t="s">
        <v>60</v>
      </c>
      <c r="C18" s="15">
        <v>251500</v>
      </c>
    </row>
    <row r="19" spans="1:3" x14ac:dyDescent="0.4">
      <c r="A19" s="13" t="s">
        <v>39</v>
      </c>
      <c r="B19" s="14" t="s">
        <v>61</v>
      </c>
      <c r="C19" s="15">
        <v>208000</v>
      </c>
    </row>
    <row r="20" spans="1:3" x14ac:dyDescent="0.4">
      <c r="A20" s="13" t="s">
        <v>44</v>
      </c>
      <c r="B20" s="14" t="s">
        <v>62</v>
      </c>
      <c r="C20" s="15">
        <v>57500</v>
      </c>
    </row>
    <row r="21" spans="1:3" x14ac:dyDescent="0.4">
      <c r="A21" s="13" t="s">
        <v>39</v>
      </c>
      <c r="B21" s="14" t="s">
        <v>63</v>
      </c>
      <c r="C21" s="15">
        <v>180000</v>
      </c>
    </row>
    <row r="22" spans="1:3" x14ac:dyDescent="0.4">
      <c r="A22" s="13" t="s">
        <v>44</v>
      </c>
      <c r="B22" s="14" t="s">
        <v>64</v>
      </c>
      <c r="C22" s="15">
        <v>57500</v>
      </c>
    </row>
    <row r="23" spans="1:3" x14ac:dyDescent="0.4">
      <c r="A23" s="13" t="s">
        <v>39</v>
      </c>
      <c r="B23" s="14" t="s">
        <v>65</v>
      </c>
      <c r="C23" s="15">
        <v>270000</v>
      </c>
    </row>
    <row r="24" spans="1:3" x14ac:dyDescent="0.4">
      <c r="A24" s="13" t="s">
        <v>44</v>
      </c>
      <c r="B24" s="14" t="s">
        <v>66</v>
      </c>
      <c r="C24" s="15">
        <v>85000</v>
      </c>
    </row>
    <row r="25" spans="1:3" x14ac:dyDescent="0.4">
      <c r="A25" s="13" t="s">
        <v>51</v>
      </c>
      <c r="B25" s="14" t="s">
        <v>67</v>
      </c>
      <c r="C25" s="15">
        <v>34800</v>
      </c>
    </row>
    <row r="26" spans="1:3" x14ac:dyDescent="0.4">
      <c r="A26" s="13" t="s">
        <v>51</v>
      </c>
      <c r="B26" s="14" t="s">
        <v>68</v>
      </c>
      <c r="C26" s="15">
        <v>34000</v>
      </c>
    </row>
    <row r="27" spans="1:3" x14ac:dyDescent="0.4">
      <c r="A27" s="13" t="s">
        <v>39</v>
      </c>
      <c r="B27" s="14" t="s">
        <v>69</v>
      </c>
      <c r="C27" s="15">
        <v>205000</v>
      </c>
    </row>
    <row r="28" spans="1:3" x14ac:dyDescent="0.4">
      <c r="A28" s="13" t="s">
        <v>39</v>
      </c>
      <c r="B28" s="14" t="s">
        <v>70</v>
      </c>
      <c r="C28" s="15">
        <v>180000</v>
      </c>
    </row>
    <row r="29" spans="1:3" x14ac:dyDescent="0.4">
      <c r="A29" s="13" t="s">
        <v>51</v>
      </c>
      <c r="B29" s="14" t="s">
        <v>71</v>
      </c>
      <c r="C29" s="15">
        <v>300000</v>
      </c>
    </row>
    <row r="30" spans="1:3" x14ac:dyDescent="0.4">
      <c r="A30" s="13" t="s">
        <v>39</v>
      </c>
      <c r="B30" s="14" t="s">
        <v>72</v>
      </c>
      <c r="C30" s="15">
        <v>180000</v>
      </c>
    </row>
    <row r="31" spans="1:3" x14ac:dyDescent="0.4">
      <c r="A31" s="13" t="s">
        <v>44</v>
      </c>
      <c r="B31" s="14" t="s">
        <v>73</v>
      </c>
      <c r="C31" s="15">
        <v>47500</v>
      </c>
    </row>
    <row r="32" spans="1:3" x14ac:dyDescent="0.4">
      <c r="A32" s="13" t="s">
        <v>51</v>
      </c>
      <c r="B32" s="14" t="s">
        <v>74</v>
      </c>
      <c r="C32" s="15">
        <v>255000</v>
      </c>
    </row>
    <row r="33" spans="1:3" x14ac:dyDescent="0.4">
      <c r="A33" s="13" t="s">
        <v>34</v>
      </c>
      <c r="B33" s="14" t="s">
        <v>75</v>
      </c>
      <c r="C33" s="15">
        <v>73600</v>
      </c>
    </row>
    <row r="34" spans="1:3" x14ac:dyDescent="0.4">
      <c r="A34" s="13" t="s">
        <v>39</v>
      </c>
      <c r="B34" s="14" t="s">
        <v>76</v>
      </c>
      <c r="C34" s="15">
        <v>207000</v>
      </c>
    </row>
    <row r="35" spans="1:3" x14ac:dyDescent="0.4">
      <c r="A35" s="13" t="s">
        <v>51</v>
      </c>
      <c r="B35" s="14" t="s">
        <v>77</v>
      </c>
      <c r="C35" s="15">
        <v>255000</v>
      </c>
    </row>
    <row r="36" spans="1:3" x14ac:dyDescent="0.4">
      <c r="A36" s="13" t="s">
        <v>44</v>
      </c>
      <c r="B36" s="14" t="s">
        <v>78</v>
      </c>
      <c r="C36" s="15">
        <v>50000</v>
      </c>
    </row>
    <row r="37" spans="1:3" x14ac:dyDescent="0.4">
      <c r="A37" s="13" t="s">
        <v>34</v>
      </c>
      <c r="B37" s="14" t="s">
        <v>79</v>
      </c>
      <c r="C37" s="15">
        <v>36000</v>
      </c>
    </row>
    <row r="38" spans="1:3" x14ac:dyDescent="0.4">
      <c r="A38" s="13" t="s">
        <v>34</v>
      </c>
      <c r="B38" s="14" t="s">
        <v>80</v>
      </c>
      <c r="C38" s="15">
        <v>54400</v>
      </c>
    </row>
    <row r="39" spans="1:3" x14ac:dyDescent="0.4">
      <c r="A39" s="13" t="s">
        <v>51</v>
      </c>
      <c r="B39" s="14" t="s">
        <v>81</v>
      </c>
      <c r="C39" s="15">
        <v>36000</v>
      </c>
    </row>
    <row r="40" spans="1:3" x14ac:dyDescent="0.4">
      <c r="A40" s="13" t="s">
        <v>51</v>
      </c>
      <c r="B40" s="14" t="s">
        <v>82</v>
      </c>
      <c r="C40" s="15">
        <v>30000</v>
      </c>
    </row>
    <row r="41" spans="1:3" x14ac:dyDescent="0.4">
      <c r="A41" s="13" t="s">
        <v>39</v>
      </c>
      <c r="B41" s="14" t="s">
        <v>83</v>
      </c>
      <c r="C41" s="15">
        <v>207000</v>
      </c>
    </row>
    <row r="42" spans="1:3" x14ac:dyDescent="0.4">
      <c r="A42" s="13" t="s">
        <v>51</v>
      </c>
      <c r="B42" s="14" t="s">
        <v>84</v>
      </c>
      <c r="C42" s="15">
        <v>240000</v>
      </c>
    </row>
    <row r="43" spans="1:3" x14ac:dyDescent="0.4">
      <c r="A43" s="13" t="s">
        <v>39</v>
      </c>
      <c r="B43" s="14" t="s">
        <v>85</v>
      </c>
      <c r="C43" s="15">
        <v>30600</v>
      </c>
    </row>
    <row r="44" spans="1:3" x14ac:dyDescent="0.4">
      <c r="A44" s="13" t="s">
        <v>39</v>
      </c>
      <c r="B44" s="14" t="s">
        <v>86</v>
      </c>
      <c r="C44" s="15">
        <v>90000</v>
      </c>
    </row>
    <row r="45" spans="1:3" x14ac:dyDescent="0.4">
      <c r="A45" s="13" t="s">
        <v>34</v>
      </c>
      <c r="B45" s="14" t="s">
        <v>87</v>
      </c>
      <c r="C45" s="15">
        <v>51000</v>
      </c>
    </row>
    <row r="46" spans="1:3" x14ac:dyDescent="0.4">
      <c r="A46" s="13" t="s">
        <v>44</v>
      </c>
      <c r="B46" s="14" t="s">
        <v>88</v>
      </c>
      <c r="C46" s="15">
        <v>85000</v>
      </c>
    </row>
    <row r="47" spans="1:3" x14ac:dyDescent="0.4">
      <c r="A47" s="13" t="s">
        <v>44</v>
      </c>
      <c r="B47" s="14" t="s">
        <v>89</v>
      </c>
      <c r="C47" s="15">
        <v>50000</v>
      </c>
    </row>
    <row r="48" spans="1:3" x14ac:dyDescent="0.4">
      <c r="A48" s="13" t="s">
        <v>51</v>
      </c>
      <c r="B48" s="14" t="s">
        <v>90</v>
      </c>
      <c r="C48" s="15">
        <v>34500</v>
      </c>
    </row>
    <row r="49" spans="1:3" x14ac:dyDescent="0.4">
      <c r="A49" s="13" t="s">
        <v>39</v>
      </c>
      <c r="B49" s="14" t="s">
        <v>91</v>
      </c>
      <c r="C49" s="15">
        <v>18000</v>
      </c>
    </row>
    <row r="50" spans="1:3" x14ac:dyDescent="0.4">
      <c r="A50" s="13" t="s">
        <v>34</v>
      </c>
      <c r="B50" s="14" t="s">
        <v>92</v>
      </c>
      <c r="C50" s="15">
        <v>73600</v>
      </c>
    </row>
    <row r="51" spans="1:3" x14ac:dyDescent="0.4">
      <c r="A51" s="13" t="s">
        <v>44</v>
      </c>
      <c r="B51" s="14" t="s">
        <v>93</v>
      </c>
      <c r="C51" s="15">
        <v>85000</v>
      </c>
    </row>
  </sheetData>
  <conditionalFormatting sqref="C3:C11">
    <cfRule type="containsText" dxfId="2" priority="1" operator="containsText" text="Попробуйте">
      <formula>NOT(ISERROR(SEARCH("Попробуйте",C3)))</formula>
    </cfRule>
    <cfRule type="cellIs" dxfId="1" priority="2" operator="equal">
      <formula>"Правильно!"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B35E-62C5-4F72-8369-DFF9E047AEFE}">
  <sheetPr>
    <tabColor rgb="FFFFFF00"/>
  </sheetPr>
  <dimension ref="A1:H52"/>
  <sheetViews>
    <sheetView zoomScale="75" workbookViewId="0">
      <selection activeCell="H52" sqref="H52"/>
    </sheetView>
  </sheetViews>
  <sheetFormatPr defaultRowHeight="16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</v>
      </c>
      <c r="H1" t="s">
        <v>6</v>
      </c>
    </row>
    <row r="2" spans="1:8" x14ac:dyDescent="0.4">
      <c r="A2">
        <v>2025</v>
      </c>
      <c r="B2" t="s">
        <v>7</v>
      </c>
      <c r="C2" t="s">
        <v>8</v>
      </c>
      <c r="D2" t="s">
        <v>9</v>
      </c>
      <c r="E2" t="s">
        <v>10</v>
      </c>
      <c r="F2">
        <v>126</v>
      </c>
      <c r="G2">
        <v>80</v>
      </c>
      <c r="H2">
        <f>F2*G2</f>
        <v>10080</v>
      </c>
    </row>
    <row r="3" spans="1:8" x14ac:dyDescent="0.4">
      <c r="A3">
        <v>2025</v>
      </c>
      <c r="B3" t="s">
        <v>7</v>
      </c>
      <c r="C3" t="s">
        <v>8</v>
      </c>
      <c r="D3" t="s">
        <v>11</v>
      </c>
      <c r="E3" t="s">
        <v>12</v>
      </c>
      <c r="F3">
        <v>126</v>
      </c>
      <c r="G3">
        <v>114</v>
      </c>
      <c r="H3">
        <f t="shared" ref="H3:H51" si="0">F3*G3</f>
        <v>14364</v>
      </c>
    </row>
    <row r="4" spans="1:8" x14ac:dyDescent="0.4">
      <c r="A4">
        <v>2025</v>
      </c>
      <c r="B4" t="s">
        <v>7</v>
      </c>
      <c r="C4" t="s">
        <v>13</v>
      </c>
      <c r="D4" t="s">
        <v>11</v>
      </c>
      <c r="E4" t="s">
        <v>12</v>
      </c>
      <c r="F4">
        <v>175</v>
      </c>
      <c r="G4">
        <v>211</v>
      </c>
      <c r="H4">
        <f t="shared" si="0"/>
        <v>36925</v>
      </c>
    </row>
    <row r="5" spans="1:8" x14ac:dyDescent="0.4">
      <c r="A5">
        <v>2025</v>
      </c>
      <c r="B5" t="s">
        <v>7</v>
      </c>
      <c r="C5" t="s">
        <v>14</v>
      </c>
      <c r="D5" t="s">
        <v>15</v>
      </c>
      <c r="E5" t="s">
        <v>16</v>
      </c>
      <c r="F5">
        <v>69</v>
      </c>
      <c r="G5">
        <v>160</v>
      </c>
      <c r="H5">
        <f t="shared" si="0"/>
        <v>11040</v>
      </c>
    </row>
    <row r="6" spans="1:8" x14ac:dyDescent="0.4">
      <c r="A6">
        <v>2025</v>
      </c>
      <c r="B6" t="s">
        <v>7</v>
      </c>
      <c r="C6" t="s">
        <v>8</v>
      </c>
      <c r="D6" t="s">
        <v>11</v>
      </c>
      <c r="E6" t="s">
        <v>12</v>
      </c>
      <c r="F6">
        <v>126</v>
      </c>
      <c r="G6">
        <v>111</v>
      </c>
      <c r="H6">
        <f t="shared" si="0"/>
        <v>13986</v>
      </c>
    </row>
    <row r="7" spans="1:8" x14ac:dyDescent="0.4">
      <c r="A7">
        <v>2025</v>
      </c>
      <c r="B7" t="s">
        <v>7</v>
      </c>
      <c r="C7" t="s">
        <v>8</v>
      </c>
      <c r="D7" t="s">
        <v>17</v>
      </c>
      <c r="E7" t="s">
        <v>18</v>
      </c>
      <c r="F7">
        <v>126</v>
      </c>
      <c r="G7">
        <v>145</v>
      </c>
      <c r="H7">
        <f t="shared" si="0"/>
        <v>18270</v>
      </c>
    </row>
    <row r="8" spans="1:8" x14ac:dyDescent="0.4">
      <c r="A8">
        <v>2025</v>
      </c>
      <c r="B8" t="s">
        <v>7</v>
      </c>
      <c r="C8" t="s">
        <v>19</v>
      </c>
      <c r="D8" t="s">
        <v>11</v>
      </c>
      <c r="E8" t="s">
        <v>12</v>
      </c>
      <c r="F8">
        <v>117</v>
      </c>
      <c r="G8">
        <v>100</v>
      </c>
      <c r="H8">
        <f t="shared" si="0"/>
        <v>11700</v>
      </c>
    </row>
    <row r="9" spans="1:8" x14ac:dyDescent="0.4">
      <c r="A9">
        <v>2025</v>
      </c>
      <c r="B9" t="s">
        <v>7</v>
      </c>
      <c r="C9" t="s">
        <v>20</v>
      </c>
      <c r="D9" t="s">
        <v>21</v>
      </c>
      <c r="E9" t="s">
        <v>22</v>
      </c>
      <c r="F9">
        <v>177</v>
      </c>
      <c r="G9">
        <v>186</v>
      </c>
      <c r="H9">
        <f t="shared" si="0"/>
        <v>32922</v>
      </c>
    </row>
    <row r="10" spans="1:8" x14ac:dyDescent="0.4">
      <c r="A10">
        <v>2025</v>
      </c>
      <c r="B10" t="s">
        <v>7</v>
      </c>
      <c r="C10" t="s">
        <v>8</v>
      </c>
      <c r="D10" t="s">
        <v>15</v>
      </c>
      <c r="E10" t="s">
        <v>16</v>
      </c>
      <c r="F10">
        <v>126</v>
      </c>
      <c r="G10">
        <v>143</v>
      </c>
      <c r="H10">
        <f t="shared" si="0"/>
        <v>18018</v>
      </c>
    </row>
    <row r="11" spans="1:8" x14ac:dyDescent="0.4">
      <c r="A11">
        <v>2025</v>
      </c>
      <c r="B11" t="s">
        <v>7</v>
      </c>
      <c r="C11" t="s">
        <v>20</v>
      </c>
      <c r="D11" t="s">
        <v>21</v>
      </c>
      <c r="E11" t="s">
        <v>22</v>
      </c>
      <c r="F11">
        <v>177</v>
      </c>
      <c r="G11">
        <v>221</v>
      </c>
      <c r="H11">
        <f t="shared" si="0"/>
        <v>39117</v>
      </c>
    </row>
    <row r="12" spans="1:8" x14ac:dyDescent="0.4">
      <c r="A12">
        <v>2025</v>
      </c>
      <c r="B12" t="s">
        <v>7</v>
      </c>
      <c r="C12" t="s">
        <v>19</v>
      </c>
      <c r="D12" t="s">
        <v>21</v>
      </c>
      <c r="E12" t="s">
        <v>22</v>
      </c>
      <c r="F12">
        <v>117</v>
      </c>
      <c r="G12">
        <v>100</v>
      </c>
      <c r="H12">
        <f t="shared" si="0"/>
        <v>11700</v>
      </c>
    </row>
    <row r="13" spans="1:8" x14ac:dyDescent="0.4">
      <c r="A13">
        <v>2025</v>
      </c>
      <c r="B13" t="s">
        <v>7</v>
      </c>
      <c r="C13" t="s">
        <v>20</v>
      </c>
      <c r="D13" t="s">
        <v>21</v>
      </c>
      <c r="E13" t="s">
        <v>22</v>
      </c>
      <c r="F13">
        <v>177</v>
      </c>
      <c r="G13">
        <v>194</v>
      </c>
      <c r="H13">
        <f t="shared" si="0"/>
        <v>34338</v>
      </c>
    </row>
    <row r="14" spans="1:8" x14ac:dyDescent="0.4">
      <c r="A14">
        <v>2025</v>
      </c>
      <c r="B14" t="s">
        <v>23</v>
      </c>
      <c r="C14" t="s">
        <v>19</v>
      </c>
      <c r="D14" t="s">
        <v>11</v>
      </c>
      <c r="E14" t="s">
        <v>12</v>
      </c>
      <c r="F14">
        <v>117</v>
      </c>
      <c r="G14">
        <v>100</v>
      </c>
      <c r="H14">
        <f t="shared" si="0"/>
        <v>11700</v>
      </c>
    </row>
    <row r="15" spans="1:8" x14ac:dyDescent="0.4">
      <c r="A15">
        <v>2025</v>
      </c>
      <c r="B15" t="s">
        <v>23</v>
      </c>
      <c r="C15" t="s">
        <v>14</v>
      </c>
      <c r="D15" t="s">
        <v>17</v>
      </c>
      <c r="E15" t="s">
        <v>18</v>
      </c>
      <c r="F15">
        <v>69</v>
      </c>
      <c r="G15">
        <v>334</v>
      </c>
      <c r="H15">
        <f t="shared" si="0"/>
        <v>23046</v>
      </c>
    </row>
    <row r="16" spans="1:8" x14ac:dyDescent="0.4">
      <c r="A16">
        <v>2025</v>
      </c>
      <c r="B16" t="s">
        <v>23</v>
      </c>
      <c r="C16" t="s">
        <v>19</v>
      </c>
      <c r="D16" t="s">
        <v>9</v>
      </c>
      <c r="E16" t="s">
        <v>10</v>
      </c>
      <c r="F16">
        <v>117</v>
      </c>
      <c r="G16">
        <v>100</v>
      </c>
      <c r="H16">
        <f t="shared" si="0"/>
        <v>11700</v>
      </c>
    </row>
    <row r="17" spans="1:8" x14ac:dyDescent="0.4">
      <c r="A17">
        <v>2025</v>
      </c>
      <c r="B17" t="s">
        <v>23</v>
      </c>
      <c r="C17" t="s">
        <v>20</v>
      </c>
      <c r="D17" t="s">
        <v>15</v>
      </c>
      <c r="E17" t="s">
        <v>16</v>
      </c>
      <c r="F17">
        <v>177</v>
      </c>
      <c r="G17">
        <v>224</v>
      </c>
      <c r="H17">
        <f t="shared" si="0"/>
        <v>39648</v>
      </c>
    </row>
    <row r="18" spans="1:8" x14ac:dyDescent="0.4">
      <c r="A18">
        <v>2025</v>
      </c>
      <c r="B18" t="s">
        <v>23</v>
      </c>
      <c r="C18" t="s">
        <v>13</v>
      </c>
      <c r="D18" t="s">
        <v>11</v>
      </c>
      <c r="E18" t="s">
        <v>12</v>
      </c>
      <c r="F18">
        <v>175</v>
      </c>
      <c r="G18">
        <v>259</v>
      </c>
      <c r="H18">
        <f t="shared" si="0"/>
        <v>45325</v>
      </c>
    </row>
    <row r="19" spans="1:8" x14ac:dyDescent="0.4">
      <c r="A19">
        <v>2025</v>
      </c>
      <c r="B19" t="s">
        <v>23</v>
      </c>
      <c r="C19" t="s">
        <v>8</v>
      </c>
      <c r="D19" t="s">
        <v>11</v>
      </c>
      <c r="E19" t="s">
        <v>12</v>
      </c>
      <c r="F19">
        <v>126</v>
      </c>
      <c r="G19">
        <v>152</v>
      </c>
      <c r="H19">
        <f t="shared" si="0"/>
        <v>19152</v>
      </c>
    </row>
    <row r="20" spans="1:8" x14ac:dyDescent="0.4">
      <c r="A20">
        <v>2025</v>
      </c>
      <c r="B20" t="s">
        <v>23</v>
      </c>
      <c r="C20" t="s">
        <v>19</v>
      </c>
      <c r="D20" t="s">
        <v>17</v>
      </c>
      <c r="E20" t="s">
        <v>18</v>
      </c>
      <c r="F20">
        <v>117</v>
      </c>
      <c r="G20">
        <v>100</v>
      </c>
      <c r="H20">
        <f t="shared" si="0"/>
        <v>11700</v>
      </c>
    </row>
    <row r="21" spans="1:8" x14ac:dyDescent="0.4">
      <c r="A21">
        <v>2025</v>
      </c>
      <c r="B21" t="s">
        <v>23</v>
      </c>
      <c r="C21" t="s">
        <v>8</v>
      </c>
      <c r="D21" t="s">
        <v>21</v>
      </c>
      <c r="E21" t="s">
        <v>22</v>
      </c>
      <c r="F21">
        <v>126</v>
      </c>
      <c r="G21">
        <v>80</v>
      </c>
      <c r="H21">
        <f t="shared" si="0"/>
        <v>10080</v>
      </c>
    </row>
    <row r="22" spans="1:8" x14ac:dyDescent="0.4">
      <c r="A22">
        <v>2025</v>
      </c>
      <c r="B22" t="s">
        <v>23</v>
      </c>
      <c r="C22" t="s">
        <v>14</v>
      </c>
      <c r="D22" t="s">
        <v>17</v>
      </c>
      <c r="E22" t="s">
        <v>18</v>
      </c>
      <c r="F22">
        <v>69</v>
      </c>
      <c r="G22">
        <v>339</v>
      </c>
      <c r="H22">
        <f t="shared" si="0"/>
        <v>23391</v>
      </c>
    </row>
    <row r="23" spans="1:8" x14ac:dyDescent="0.4">
      <c r="A23">
        <v>2025</v>
      </c>
      <c r="B23" t="s">
        <v>23</v>
      </c>
      <c r="C23" t="s">
        <v>13</v>
      </c>
      <c r="D23" t="s">
        <v>9</v>
      </c>
      <c r="E23" t="s">
        <v>10</v>
      </c>
      <c r="F23">
        <v>175</v>
      </c>
      <c r="G23">
        <v>266</v>
      </c>
      <c r="H23">
        <f t="shared" si="0"/>
        <v>46550</v>
      </c>
    </row>
    <row r="24" spans="1:8" x14ac:dyDescent="0.4">
      <c r="A24">
        <v>2025</v>
      </c>
      <c r="B24" t="s">
        <v>23</v>
      </c>
      <c r="C24" t="s">
        <v>24</v>
      </c>
      <c r="D24" t="s">
        <v>21</v>
      </c>
      <c r="E24" t="s">
        <v>22</v>
      </c>
      <c r="F24">
        <v>180</v>
      </c>
      <c r="G24">
        <v>217</v>
      </c>
      <c r="H24">
        <f t="shared" si="0"/>
        <v>39060</v>
      </c>
    </row>
    <row r="25" spans="1:8" x14ac:dyDescent="0.4">
      <c r="A25">
        <v>2025</v>
      </c>
      <c r="B25" t="s">
        <v>23</v>
      </c>
      <c r="C25" t="s">
        <v>24</v>
      </c>
      <c r="D25" t="s">
        <v>9</v>
      </c>
      <c r="E25" t="s">
        <v>10</v>
      </c>
      <c r="F25">
        <v>180</v>
      </c>
      <c r="G25">
        <v>215</v>
      </c>
      <c r="H25">
        <f t="shared" si="0"/>
        <v>38700</v>
      </c>
    </row>
    <row r="26" spans="1:8" x14ac:dyDescent="0.4">
      <c r="A26">
        <v>2025</v>
      </c>
      <c r="B26" t="s">
        <v>25</v>
      </c>
      <c r="C26" t="s">
        <v>24</v>
      </c>
      <c r="D26" t="s">
        <v>11</v>
      </c>
      <c r="E26" t="s">
        <v>12</v>
      </c>
      <c r="F26">
        <v>180</v>
      </c>
      <c r="G26">
        <v>229</v>
      </c>
      <c r="H26">
        <f t="shared" si="0"/>
        <v>41220</v>
      </c>
    </row>
    <row r="27" spans="1:8" x14ac:dyDescent="0.4">
      <c r="A27">
        <v>2025</v>
      </c>
      <c r="B27" t="s">
        <v>25</v>
      </c>
      <c r="C27" t="s">
        <v>14</v>
      </c>
      <c r="D27" t="s">
        <v>21</v>
      </c>
      <c r="E27" t="s">
        <v>22</v>
      </c>
      <c r="F27">
        <v>69</v>
      </c>
      <c r="G27">
        <v>360</v>
      </c>
      <c r="H27">
        <f t="shared" si="0"/>
        <v>24840</v>
      </c>
    </row>
    <row r="28" spans="1:8" x14ac:dyDescent="0.4">
      <c r="A28">
        <v>2025</v>
      </c>
      <c r="B28" t="s">
        <v>25</v>
      </c>
      <c r="C28" t="s">
        <v>13</v>
      </c>
      <c r="D28" t="s">
        <v>9</v>
      </c>
      <c r="E28" t="s">
        <v>10</v>
      </c>
      <c r="F28">
        <v>175</v>
      </c>
      <c r="G28">
        <v>244</v>
      </c>
      <c r="H28">
        <f t="shared" si="0"/>
        <v>42700</v>
      </c>
    </row>
    <row r="29" spans="1:8" x14ac:dyDescent="0.4">
      <c r="A29">
        <v>2025</v>
      </c>
      <c r="B29" t="s">
        <v>25</v>
      </c>
      <c r="C29" t="s">
        <v>14</v>
      </c>
      <c r="D29" t="s">
        <v>15</v>
      </c>
      <c r="E29" t="s">
        <v>16</v>
      </c>
      <c r="F29">
        <v>69</v>
      </c>
      <c r="G29">
        <v>276</v>
      </c>
      <c r="H29">
        <f t="shared" si="0"/>
        <v>19044</v>
      </c>
    </row>
    <row r="30" spans="1:8" x14ac:dyDescent="0.4">
      <c r="A30">
        <v>2025</v>
      </c>
      <c r="B30" t="s">
        <v>25</v>
      </c>
      <c r="C30" t="s">
        <v>19</v>
      </c>
      <c r="D30" t="s">
        <v>9</v>
      </c>
      <c r="E30" t="s">
        <v>10</v>
      </c>
      <c r="F30">
        <v>117</v>
      </c>
      <c r="G30">
        <v>90</v>
      </c>
      <c r="H30">
        <f t="shared" si="0"/>
        <v>10530</v>
      </c>
    </row>
    <row r="31" spans="1:8" x14ac:dyDescent="0.4">
      <c r="A31">
        <v>2025</v>
      </c>
      <c r="B31" t="s">
        <v>25</v>
      </c>
      <c r="C31" t="s">
        <v>8</v>
      </c>
      <c r="D31" t="s">
        <v>17</v>
      </c>
      <c r="E31" t="s">
        <v>18</v>
      </c>
      <c r="F31">
        <v>126</v>
      </c>
      <c r="G31">
        <v>124</v>
      </c>
      <c r="H31">
        <f t="shared" si="0"/>
        <v>15624</v>
      </c>
    </row>
    <row r="32" spans="1:8" x14ac:dyDescent="0.4">
      <c r="A32">
        <v>2025</v>
      </c>
      <c r="B32" t="s">
        <v>25</v>
      </c>
      <c r="C32" t="s">
        <v>13</v>
      </c>
      <c r="D32" t="s">
        <v>11</v>
      </c>
      <c r="E32" t="s">
        <v>12</v>
      </c>
      <c r="F32">
        <v>175</v>
      </c>
      <c r="G32">
        <v>295</v>
      </c>
      <c r="H32">
        <f t="shared" si="0"/>
        <v>51625</v>
      </c>
    </row>
    <row r="33" spans="1:8" x14ac:dyDescent="0.4">
      <c r="A33">
        <v>2025</v>
      </c>
      <c r="B33" t="s">
        <v>25</v>
      </c>
      <c r="C33" t="s">
        <v>24</v>
      </c>
      <c r="D33" t="s">
        <v>15</v>
      </c>
      <c r="E33" t="s">
        <v>16</v>
      </c>
      <c r="F33">
        <v>180</v>
      </c>
      <c r="G33">
        <v>240</v>
      </c>
      <c r="H33">
        <f t="shared" si="0"/>
        <v>43200</v>
      </c>
    </row>
    <row r="34" spans="1:8" x14ac:dyDescent="0.4">
      <c r="A34">
        <v>2025</v>
      </c>
      <c r="B34" t="s">
        <v>25</v>
      </c>
      <c r="C34" t="s">
        <v>19</v>
      </c>
      <c r="D34" t="s">
        <v>15</v>
      </c>
      <c r="E34" t="s">
        <v>16</v>
      </c>
      <c r="F34">
        <v>117</v>
      </c>
      <c r="G34">
        <v>104</v>
      </c>
      <c r="H34">
        <f t="shared" si="0"/>
        <v>12168</v>
      </c>
    </row>
    <row r="35" spans="1:8" x14ac:dyDescent="0.4">
      <c r="A35">
        <v>2025</v>
      </c>
      <c r="B35" t="s">
        <v>25</v>
      </c>
      <c r="C35" t="s">
        <v>24</v>
      </c>
      <c r="D35" t="s">
        <v>17</v>
      </c>
      <c r="E35" t="s">
        <v>18</v>
      </c>
      <c r="F35">
        <v>180</v>
      </c>
      <c r="G35">
        <v>207</v>
      </c>
      <c r="H35">
        <f t="shared" si="0"/>
        <v>37260</v>
      </c>
    </row>
    <row r="36" spans="1:8" x14ac:dyDescent="0.4">
      <c r="A36">
        <v>2025</v>
      </c>
      <c r="B36" t="s">
        <v>25</v>
      </c>
      <c r="C36" t="s">
        <v>8</v>
      </c>
      <c r="D36" t="s">
        <v>17</v>
      </c>
      <c r="E36" t="s">
        <v>18</v>
      </c>
      <c r="F36">
        <v>126</v>
      </c>
      <c r="G36">
        <v>90</v>
      </c>
      <c r="H36">
        <f t="shared" si="0"/>
        <v>11340</v>
      </c>
    </row>
    <row r="37" spans="1:8" x14ac:dyDescent="0.4">
      <c r="A37">
        <v>2025</v>
      </c>
      <c r="B37" t="s">
        <v>25</v>
      </c>
      <c r="C37" t="s">
        <v>8</v>
      </c>
      <c r="D37" t="s">
        <v>9</v>
      </c>
      <c r="E37" t="s">
        <v>10</v>
      </c>
      <c r="F37">
        <v>126</v>
      </c>
      <c r="G37">
        <v>95</v>
      </c>
      <c r="H37">
        <f t="shared" si="0"/>
        <v>11970</v>
      </c>
    </row>
    <row r="38" spans="1:8" x14ac:dyDescent="0.4">
      <c r="A38">
        <v>2025</v>
      </c>
      <c r="B38" t="s">
        <v>26</v>
      </c>
      <c r="C38" t="s">
        <v>19</v>
      </c>
      <c r="D38" t="s">
        <v>21</v>
      </c>
      <c r="E38" t="s">
        <v>22</v>
      </c>
      <c r="F38">
        <v>117</v>
      </c>
      <c r="G38">
        <v>89</v>
      </c>
      <c r="H38">
        <f t="shared" si="0"/>
        <v>10413</v>
      </c>
    </row>
    <row r="39" spans="1:8" x14ac:dyDescent="0.4">
      <c r="A39">
        <v>2025</v>
      </c>
      <c r="B39" t="s">
        <v>26</v>
      </c>
      <c r="C39" t="s">
        <v>13</v>
      </c>
      <c r="D39" t="s">
        <v>9</v>
      </c>
      <c r="E39" t="s">
        <v>10</v>
      </c>
      <c r="F39">
        <v>175</v>
      </c>
      <c r="G39">
        <v>234</v>
      </c>
      <c r="H39">
        <f t="shared" si="0"/>
        <v>40950</v>
      </c>
    </row>
    <row r="40" spans="1:8" x14ac:dyDescent="0.4">
      <c r="A40">
        <v>2025</v>
      </c>
      <c r="B40" t="s">
        <v>26</v>
      </c>
      <c r="C40" t="s">
        <v>14</v>
      </c>
      <c r="D40" t="s">
        <v>21</v>
      </c>
      <c r="E40" t="s">
        <v>22</v>
      </c>
      <c r="F40">
        <v>69</v>
      </c>
      <c r="G40">
        <v>39</v>
      </c>
      <c r="H40">
        <f t="shared" si="0"/>
        <v>2691</v>
      </c>
    </row>
    <row r="41" spans="1:8" x14ac:dyDescent="0.4">
      <c r="A41">
        <v>2025</v>
      </c>
      <c r="B41" t="s">
        <v>26</v>
      </c>
      <c r="C41" t="s">
        <v>19</v>
      </c>
      <c r="D41" t="s">
        <v>9</v>
      </c>
      <c r="E41" t="s">
        <v>10</v>
      </c>
      <c r="F41">
        <v>117</v>
      </c>
      <c r="G41">
        <v>100</v>
      </c>
      <c r="H41">
        <f t="shared" si="0"/>
        <v>11700</v>
      </c>
    </row>
    <row r="42" spans="1:8" x14ac:dyDescent="0.4">
      <c r="A42">
        <v>2025</v>
      </c>
      <c r="B42" t="s">
        <v>26</v>
      </c>
      <c r="C42" t="s">
        <v>24</v>
      </c>
      <c r="D42" t="s">
        <v>15</v>
      </c>
      <c r="E42" t="s">
        <v>16</v>
      </c>
      <c r="F42">
        <v>180</v>
      </c>
      <c r="G42">
        <v>235</v>
      </c>
      <c r="H42">
        <f t="shared" si="0"/>
        <v>42300</v>
      </c>
    </row>
    <row r="43" spans="1:8" x14ac:dyDescent="0.4">
      <c r="A43">
        <v>2025</v>
      </c>
      <c r="B43" t="s">
        <v>26</v>
      </c>
      <c r="C43" t="s">
        <v>24</v>
      </c>
      <c r="D43" t="s">
        <v>17</v>
      </c>
      <c r="E43" t="s">
        <v>18</v>
      </c>
      <c r="F43">
        <v>180</v>
      </c>
      <c r="G43">
        <v>191</v>
      </c>
      <c r="H43">
        <f t="shared" si="0"/>
        <v>34380</v>
      </c>
    </row>
    <row r="44" spans="1:8" x14ac:dyDescent="0.4">
      <c r="A44">
        <v>2025</v>
      </c>
      <c r="B44" t="s">
        <v>26</v>
      </c>
      <c r="C44" t="s">
        <v>8</v>
      </c>
      <c r="D44" t="s">
        <v>15</v>
      </c>
      <c r="E44" t="s">
        <v>16</v>
      </c>
      <c r="F44">
        <v>126</v>
      </c>
      <c r="G44">
        <v>90</v>
      </c>
      <c r="H44">
        <f t="shared" si="0"/>
        <v>11340</v>
      </c>
    </row>
    <row r="45" spans="1:8" x14ac:dyDescent="0.4">
      <c r="A45">
        <v>2025</v>
      </c>
      <c r="B45" t="s">
        <v>26</v>
      </c>
      <c r="C45" t="s">
        <v>14</v>
      </c>
      <c r="D45" t="s">
        <v>9</v>
      </c>
      <c r="E45" t="s">
        <v>10</v>
      </c>
      <c r="F45">
        <v>69</v>
      </c>
      <c r="G45">
        <v>309</v>
      </c>
      <c r="H45">
        <f t="shared" si="0"/>
        <v>21321</v>
      </c>
    </row>
    <row r="46" spans="1:8" x14ac:dyDescent="0.4">
      <c r="A46">
        <v>2025</v>
      </c>
      <c r="B46" t="s">
        <v>26</v>
      </c>
      <c r="C46" t="s">
        <v>14</v>
      </c>
      <c r="D46" t="s">
        <v>9</v>
      </c>
      <c r="E46" t="s">
        <v>10</v>
      </c>
      <c r="F46">
        <v>69</v>
      </c>
      <c r="G46">
        <v>257</v>
      </c>
      <c r="H46">
        <f t="shared" si="0"/>
        <v>17733</v>
      </c>
    </row>
    <row r="47" spans="1:8" x14ac:dyDescent="0.4">
      <c r="A47">
        <v>2025</v>
      </c>
      <c r="B47" t="s">
        <v>26</v>
      </c>
      <c r="C47" t="s">
        <v>14</v>
      </c>
      <c r="D47" t="s">
        <v>11</v>
      </c>
      <c r="E47" t="s">
        <v>12</v>
      </c>
      <c r="F47">
        <v>49</v>
      </c>
      <c r="G47">
        <v>100</v>
      </c>
      <c r="H47">
        <f t="shared" si="0"/>
        <v>4900</v>
      </c>
    </row>
    <row r="48" spans="1:8" x14ac:dyDescent="0.4">
      <c r="A48">
        <v>2025</v>
      </c>
      <c r="B48" t="s">
        <v>26</v>
      </c>
      <c r="C48" t="s">
        <v>13</v>
      </c>
      <c r="D48" t="s">
        <v>21</v>
      </c>
      <c r="E48" t="s">
        <v>22</v>
      </c>
      <c r="F48">
        <v>175</v>
      </c>
      <c r="G48">
        <v>276</v>
      </c>
      <c r="H48">
        <f t="shared" si="0"/>
        <v>48300</v>
      </c>
    </row>
    <row r="49" spans="1:8" x14ac:dyDescent="0.4">
      <c r="A49">
        <v>2025</v>
      </c>
      <c r="B49" t="s">
        <v>26</v>
      </c>
      <c r="C49" t="s">
        <v>14</v>
      </c>
      <c r="D49" t="s">
        <v>9</v>
      </c>
      <c r="E49" t="s">
        <v>10</v>
      </c>
      <c r="F49">
        <v>69</v>
      </c>
      <c r="G49">
        <v>368</v>
      </c>
      <c r="H49">
        <f t="shared" si="0"/>
        <v>25392</v>
      </c>
    </row>
    <row r="50" spans="1:8" x14ac:dyDescent="0.4">
      <c r="A50">
        <v>2025</v>
      </c>
      <c r="B50" t="s">
        <v>27</v>
      </c>
      <c r="C50" t="s">
        <v>19</v>
      </c>
      <c r="D50" t="s">
        <v>11</v>
      </c>
      <c r="E50" t="s">
        <v>12</v>
      </c>
      <c r="F50">
        <v>117</v>
      </c>
      <c r="G50">
        <v>94</v>
      </c>
      <c r="H50">
        <f t="shared" si="0"/>
        <v>10998</v>
      </c>
    </row>
    <row r="51" spans="1:8" x14ac:dyDescent="0.4">
      <c r="A51">
        <v>2025</v>
      </c>
      <c r="B51" t="s">
        <v>27</v>
      </c>
      <c r="C51" t="s">
        <v>14</v>
      </c>
      <c r="D51" t="s">
        <v>15</v>
      </c>
      <c r="E51" t="s">
        <v>16</v>
      </c>
      <c r="F51">
        <v>69</v>
      </c>
      <c r="G51">
        <v>150</v>
      </c>
      <c r="H51">
        <f t="shared" si="0"/>
        <v>10350</v>
      </c>
    </row>
    <row r="52" spans="1:8" x14ac:dyDescent="0.4">
      <c r="A52" t="s">
        <v>29</v>
      </c>
      <c r="H52">
        <f>SUM(H2:H51)</f>
        <v>1186801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134C-4572-4801-9BFB-CF2663147E4E}">
  <sheetPr>
    <tabColor rgb="FFFFFF00"/>
  </sheetPr>
  <dimension ref="A1:AZ8"/>
  <sheetViews>
    <sheetView tabSelected="1" topLeftCell="AB1" workbookViewId="0">
      <selection activeCell="AY5" sqref="AY5"/>
    </sheetView>
  </sheetViews>
  <sheetFormatPr defaultRowHeight="16" x14ac:dyDescent="0.4"/>
  <cols>
    <col min="52" max="52" width="10.1640625" bestFit="1" customWidth="1"/>
  </cols>
  <sheetData>
    <row r="1" spans="1:52" x14ac:dyDescent="0.4">
      <c r="A1" s="20" t="s">
        <v>0</v>
      </c>
      <c r="B1" s="16">
        <v>2025</v>
      </c>
      <c r="C1" s="16">
        <v>2025</v>
      </c>
      <c r="D1" s="16">
        <v>2025</v>
      </c>
      <c r="E1" s="16">
        <v>2025</v>
      </c>
      <c r="F1" s="16">
        <v>2025</v>
      </c>
      <c r="G1" s="16">
        <v>2025</v>
      </c>
      <c r="H1" s="16">
        <v>2025</v>
      </c>
      <c r="I1" s="16">
        <v>2025</v>
      </c>
      <c r="J1" s="16">
        <v>2025</v>
      </c>
      <c r="K1" s="16">
        <v>2025</v>
      </c>
      <c r="L1" s="16">
        <v>2025</v>
      </c>
      <c r="M1" s="16">
        <v>2025</v>
      </c>
      <c r="N1" s="16">
        <v>2025</v>
      </c>
      <c r="O1" s="16">
        <v>2025</v>
      </c>
      <c r="P1" s="16">
        <v>2025</v>
      </c>
      <c r="Q1" s="16">
        <v>2025</v>
      </c>
      <c r="R1" s="16">
        <v>2025</v>
      </c>
      <c r="S1" s="16">
        <v>2025</v>
      </c>
      <c r="T1" s="16">
        <v>2025</v>
      </c>
      <c r="U1" s="16">
        <v>2025</v>
      </c>
      <c r="V1" s="16">
        <v>2025</v>
      </c>
      <c r="W1" s="16">
        <v>2025</v>
      </c>
      <c r="X1" s="16">
        <v>2025</v>
      </c>
      <c r="Y1" s="16">
        <v>2025</v>
      </c>
      <c r="Z1" s="16">
        <v>2025</v>
      </c>
      <c r="AA1" s="16">
        <v>2025</v>
      </c>
      <c r="AB1" s="16">
        <v>2025</v>
      </c>
      <c r="AC1" s="16">
        <v>2025</v>
      </c>
      <c r="AD1" s="16">
        <v>2025</v>
      </c>
      <c r="AE1" s="16">
        <v>2025</v>
      </c>
      <c r="AF1" s="16">
        <v>2025</v>
      </c>
      <c r="AG1" s="16">
        <v>2025</v>
      </c>
      <c r="AH1" s="16">
        <v>2025</v>
      </c>
      <c r="AI1" s="16">
        <v>2025</v>
      </c>
      <c r="AJ1" s="16">
        <v>2025</v>
      </c>
      <c r="AK1" s="16">
        <v>2025</v>
      </c>
      <c r="AL1" s="16">
        <v>2025</v>
      </c>
      <c r="AM1" s="16">
        <v>2025</v>
      </c>
      <c r="AN1" s="16">
        <v>2025</v>
      </c>
      <c r="AO1" s="16">
        <v>2025</v>
      </c>
      <c r="AP1" s="16">
        <v>2025</v>
      </c>
      <c r="AQ1" s="16">
        <v>2025</v>
      </c>
      <c r="AR1" s="16">
        <v>2025</v>
      </c>
      <c r="AS1" s="16">
        <v>2025</v>
      </c>
      <c r="AT1" s="16">
        <v>2025</v>
      </c>
      <c r="AU1" s="16">
        <v>2025</v>
      </c>
      <c r="AV1" s="16">
        <v>2025</v>
      </c>
      <c r="AW1" s="16">
        <v>2025</v>
      </c>
      <c r="AX1" s="16">
        <v>2025</v>
      </c>
      <c r="AY1" s="16">
        <v>2025</v>
      </c>
      <c r="AZ1" s="4" t="s">
        <v>29</v>
      </c>
    </row>
    <row r="2" spans="1:52" x14ac:dyDescent="0.4">
      <c r="A2" s="20" t="s">
        <v>1</v>
      </c>
      <c r="B2" s="16" t="s">
        <v>7</v>
      </c>
      <c r="C2" s="16" t="s">
        <v>7</v>
      </c>
      <c r="D2" s="16" t="s">
        <v>7</v>
      </c>
      <c r="E2" s="16" t="s">
        <v>7</v>
      </c>
      <c r="F2" s="16" t="s">
        <v>7</v>
      </c>
      <c r="G2" s="16" t="s">
        <v>7</v>
      </c>
      <c r="H2" s="16" t="s">
        <v>7</v>
      </c>
      <c r="I2" s="16" t="s">
        <v>7</v>
      </c>
      <c r="J2" s="16" t="s">
        <v>7</v>
      </c>
      <c r="K2" s="16" t="s">
        <v>7</v>
      </c>
      <c r="L2" s="16" t="s">
        <v>7</v>
      </c>
      <c r="M2" s="16" t="s">
        <v>7</v>
      </c>
      <c r="N2" s="16" t="s">
        <v>23</v>
      </c>
      <c r="O2" s="16" t="s">
        <v>23</v>
      </c>
      <c r="P2" s="16" t="s">
        <v>23</v>
      </c>
      <c r="Q2" s="16" t="s">
        <v>23</v>
      </c>
      <c r="R2" s="16" t="s">
        <v>23</v>
      </c>
      <c r="S2" s="16" t="s">
        <v>23</v>
      </c>
      <c r="T2" s="16" t="s">
        <v>23</v>
      </c>
      <c r="U2" s="16" t="s">
        <v>23</v>
      </c>
      <c r="V2" s="16" t="s">
        <v>23</v>
      </c>
      <c r="W2" s="16" t="s">
        <v>23</v>
      </c>
      <c r="X2" s="16" t="s">
        <v>23</v>
      </c>
      <c r="Y2" s="16" t="s">
        <v>23</v>
      </c>
      <c r="Z2" s="16" t="s">
        <v>25</v>
      </c>
      <c r="AA2" s="16" t="s">
        <v>25</v>
      </c>
      <c r="AB2" s="16" t="s">
        <v>25</v>
      </c>
      <c r="AC2" s="16" t="s">
        <v>25</v>
      </c>
      <c r="AD2" s="16" t="s">
        <v>25</v>
      </c>
      <c r="AE2" s="16" t="s">
        <v>25</v>
      </c>
      <c r="AF2" s="16" t="s">
        <v>25</v>
      </c>
      <c r="AG2" s="16" t="s">
        <v>25</v>
      </c>
      <c r="AH2" s="16" t="s">
        <v>25</v>
      </c>
      <c r="AI2" s="16" t="s">
        <v>25</v>
      </c>
      <c r="AJ2" s="16" t="s">
        <v>25</v>
      </c>
      <c r="AK2" s="16" t="s">
        <v>25</v>
      </c>
      <c r="AL2" s="16" t="s">
        <v>26</v>
      </c>
      <c r="AM2" s="16" t="s">
        <v>26</v>
      </c>
      <c r="AN2" s="16" t="s">
        <v>26</v>
      </c>
      <c r="AO2" s="16" t="s">
        <v>26</v>
      </c>
      <c r="AP2" s="16" t="s">
        <v>26</v>
      </c>
      <c r="AQ2" s="16" t="s">
        <v>26</v>
      </c>
      <c r="AR2" s="16" t="s">
        <v>26</v>
      </c>
      <c r="AS2" s="16" t="s">
        <v>26</v>
      </c>
      <c r="AT2" s="16" t="s">
        <v>26</v>
      </c>
      <c r="AU2" s="16" t="s">
        <v>26</v>
      </c>
      <c r="AV2" s="16" t="s">
        <v>26</v>
      </c>
      <c r="AW2" s="16" t="s">
        <v>26</v>
      </c>
      <c r="AX2" s="16" t="s">
        <v>27</v>
      </c>
      <c r="AY2" s="16" t="s">
        <v>27</v>
      </c>
      <c r="AZ2" s="2"/>
    </row>
    <row r="3" spans="1:52" x14ac:dyDescent="0.4">
      <c r="A3" s="20" t="s">
        <v>2</v>
      </c>
      <c r="B3" s="16" t="s">
        <v>8</v>
      </c>
      <c r="C3" s="16" t="s">
        <v>8</v>
      </c>
      <c r="D3" s="16" t="s">
        <v>13</v>
      </c>
      <c r="E3" s="16" t="s">
        <v>14</v>
      </c>
      <c r="F3" s="16" t="s">
        <v>8</v>
      </c>
      <c r="G3" s="16" t="s">
        <v>8</v>
      </c>
      <c r="H3" s="16" t="s">
        <v>19</v>
      </c>
      <c r="I3" s="16" t="s">
        <v>20</v>
      </c>
      <c r="J3" s="16" t="s">
        <v>8</v>
      </c>
      <c r="K3" s="16" t="s">
        <v>20</v>
      </c>
      <c r="L3" s="16" t="s">
        <v>19</v>
      </c>
      <c r="M3" s="16" t="s">
        <v>20</v>
      </c>
      <c r="N3" s="16" t="s">
        <v>19</v>
      </c>
      <c r="O3" s="16" t="s">
        <v>14</v>
      </c>
      <c r="P3" s="16" t="s">
        <v>19</v>
      </c>
      <c r="Q3" s="16" t="s">
        <v>20</v>
      </c>
      <c r="R3" s="16" t="s">
        <v>13</v>
      </c>
      <c r="S3" s="16" t="s">
        <v>8</v>
      </c>
      <c r="T3" s="16" t="s">
        <v>19</v>
      </c>
      <c r="U3" s="16" t="s">
        <v>8</v>
      </c>
      <c r="V3" s="16" t="s">
        <v>14</v>
      </c>
      <c r="W3" s="16" t="s">
        <v>13</v>
      </c>
      <c r="X3" s="16" t="s">
        <v>24</v>
      </c>
      <c r="Y3" s="16" t="s">
        <v>24</v>
      </c>
      <c r="Z3" s="16" t="s">
        <v>24</v>
      </c>
      <c r="AA3" s="16" t="s">
        <v>14</v>
      </c>
      <c r="AB3" s="16" t="s">
        <v>13</v>
      </c>
      <c r="AC3" s="16" t="s">
        <v>14</v>
      </c>
      <c r="AD3" s="16" t="s">
        <v>19</v>
      </c>
      <c r="AE3" s="16" t="s">
        <v>8</v>
      </c>
      <c r="AF3" s="16" t="s">
        <v>13</v>
      </c>
      <c r="AG3" s="16" t="s">
        <v>24</v>
      </c>
      <c r="AH3" s="16" t="s">
        <v>19</v>
      </c>
      <c r="AI3" s="16" t="s">
        <v>24</v>
      </c>
      <c r="AJ3" s="16" t="s">
        <v>8</v>
      </c>
      <c r="AK3" s="16" t="s">
        <v>8</v>
      </c>
      <c r="AL3" s="16" t="s">
        <v>19</v>
      </c>
      <c r="AM3" s="16" t="s">
        <v>13</v>
      </c>
      <c r="AN3" s="16" t="s">
        <v>14</v>
      </c>
      <c r="AO3" s="16" t="s">
        <v>19</v>
      </c>
      <c r="AP3" s="16" t="s">
        <v>24</v>
      </c>
      <c r="AQ3" s="16" t="s">
        <v>24</v>
      </c>
      <c r="AR3" s="16" t="s">
        <v>8</v>
      </c>
      <c r="AS3" s="16" t="s">
        <v>14</v>
      </c>
      <c r="AT3" s="16" t="s">
        <v>14</v>
      </c>
      <c r="AU3" s="16" t="s">
        <v>14</v>
      </c>
      <c r="AV3" s="16" t="s">
        <v>13</v>
      </c>
      <c r="AW3" s="16" t="s">
        <v>14</v>
      </c>
      <c r="AX3" s="16" t="s">
        <v>19</v>
      </c>
      <c r="AY3" s="16" t="s">
        <v>14</v>
      </c>
      <c r="AZ3" s="2"/>
    </row>
    <row r="4" spans="1:52" x14ac:dyDescent="0.4">
      <c r="A4" s="20" t="s">
        <v>3</v>
      </c>
      <c r="B4" s="16" t="s">
        <v>9</v>
      </c>
      <c r="C4" s="16" t="s">
        <v>11</v>
      </c>
      <c r="D4" s="16" t="s">
        <v>11</v>
      </c>
      <c r="E4" s="16" t="s">
        <v>15</v>
      </c>
      <c r="F4" s="16" t="s">
        <v>11</v>
      </c>
      <c r="G4" s="16" t="s">
        <v>17</v>
      </c>
      <c r="H4" s="16" t="s">
        <v>11</v>
      </c>
      <c r="I4" s="16" t="s">
        <v>21</v>
      </c>
      <c r="J4" s="16" t="s">
        <v>15</v>
      </c>
      <c r="K4" s="16" t="s">
        <v>21</v>
      </c>
      <c r="L4" s="16" t="s">
        <v>21</v>
      </c>
      <c r="M4" s="16" t="s">
        <v>21</v>
      </c>
      <c r="N4" s="16" t="s">
        <v>11</v>
      </c>
      <c r="O4" s="16" t="s">
        <v>17</v>
      </c>
      <c r="P4" s="16" t="s">
        <v>9</v>
      </c>
      <c r="Q4" s="16" t="s">
        <v>15</v>
      </c>
      <c r="R4" s="16" t="s">
        <v>11</v>
      </c>
      <c r="S4" s="16" t="s">
        <v>11</v>
      </c>
      <c r="T4" s="16" t="s">
        <v>17</v>
      </c>
      <c r="U4" s="16" t="s">
        <v>21</v>
      </c>
      <c r="V4" s="16" t="s">
        <v>17</v>
      </c>
      <c r="W4" s="16" t="s">
        <v>9</v>
      </c>
      <c r="X4" s="16" t="s">
        <v>21</v>
      </c>
      <c r="Y4" s="16" t="s">
        <v>9</v>
      </c>
      <c r="Z4" s="16" t="s">
        <v>11</v>
      </c>
      <c r="AA4" s="16" t="s">
        <v>21</v>
      </c>
      <c r="AB4" s="16" t="s">
        <v>9</v>
      </c>
      <c r="AC4" s="16" t="s">
        <v>15</v>
      </c>
      <c r="AD4" s="16" t="s">
        <v>9</v>
      </c>
      <c r="AE4" s="16" t="s">
        <v>17</v>
      </c>
      <c r="AF4" s="16" t="s">
        <v>11</v>
      </c>
      <c r="AG4" s="16" t="s">
        <v>15</v>
      </c>
      <c r="AH4" s="16" t="s">
        <v>15</v>
      </c>
      <c r="AI4" s="16" t="s">
        <v>17</v>
      </c>
      <c r="AJ4" s="16" t="s">
        <v>17</v>
      </c>
      <c r="AK4" s="16" t="s">
        <v>9</v>
      </c>
      <c r="AL4" s="16" t="s">
        <v>21</v>
      </c>
      <c r="AM4" s="16" t="s">
        <v>9</v>
      </c>
      <c r="AN4" s="16" t="s">
        <v>21</v>
      </c>
      <c r="AO4" s="16" t="s">
        <v>9</v>
      </c>
      <c r="AP4" s="16" t="s">
        <v>15</v>
      </c>
      <c r="AQ4" s="16" t="s">
        <v>17</v>
      </c>
      <c r="AR4" s="16" t="s">
        <v>15</v>
      </c>
      <c r="AS4" s="16" t="s">
        <v>9</v>
      </c>
      <c r="AT4" s="16" t="s">
        <v>9</v>
      </c>
      <c r="AU4" s="16" t="s">
        <v>11</v>
      </c>
      <c r="AV4" s="16" t="s">
        <v>21</v>
      </c>
      <c r="AW4" s="16" t="s">
        <v>9</v>
      </c>
      <c r="AX4" s="16" t="s">
        <v>11</v>
      </c>
      <c r="AY4" s="16" t="s">
        <v>15</v>
      </c>
      <c r="AZ4" s="2"/>
    </row>
    <row r="5" spans="1:52" x14ac:dyDescent="0.4">
      <c r="A5" s="20" t="s">
        <v>4</v>
      </c>
      <c r="B5" s="16" t="s">
        <v>10</v>
      </c>
      <c r="C5" s="16" t="s">
        <v>12</v>
      </c>
      <c r="D5" s="16" t="s">
        <v>12</v>
      </c>
      <c r="E5" s="16" t="s">
        <v>16</v>
      </c>
      <c r="F5" s="16" t="s">
        <v>12</v>
      </c>
      <c r="G5" s="16" t="s">
        <v>18</v>
      </c>
      <c r="H5" s="16" t="s">
        <v>12</v>
      </c>
      <c r="I5" s="16" t="s">
        <v>22</v>
      </c>
      <c r="J5" s="16" t="s">
        <v>16</v>
      </c>
      <c r="K5" s="16" t="s">
        <v>22</v>
      </c>
      <c r="L5" s="16" t="s">
        <v>22</v>
      </c>
      <c r="M5" s="16" t="s">
        <v>22</v>
      </c>
      <c r="N5" s="16" t="s">
        <v>12</v>
      </c>
      <c r="O5" s="16" t="s">
        <v>18</v>
      </c>
      <c r="P5" s="16" t="s">
        <v>10</v>
      </c>
      <c r="Q5" s="16" t="s">
        <v>16</v>
      </c>
      <c r="R5" s="16" t="s">
        <v>12</v>
      </c>
      <c r="S5" s="16" t="s">
        <v>12</v>
      </c>
      <c r="T5" s="16" t="s">
        <v>18</v>
      </c>
      <c r="U5" s="16" t="s">
        <v>22</v>
      </c>
      <c r="V5" s="16" t="s">
        <v>18</v>
      </c>
      <c r="W5" s="16" t="s">
        <v>10</v>
      </c>
      <c r="X5" s="16" t="s">
        <v>22</v>
      </c>
      <c r="Y5" s="16" t="s">
        <v>10</v>
      </c>
      <c r="Z5" s="16" t="s">
        <v>12</v>
      </c>
      <c r="AA5" s="16" t="s">
        <v>22</v>
      </c>
      <c r="AB5" s="16" t="s">
        <v>10</v>
      </c>
      <c r="AC5" s="16" t="s">
        <v>16</v>
      </c>
      <c r="AD5" s="16" t="s">
        <v>10</v>
      </c>
      <c r="AE5" s="16" t="s">
        <v>18</v>
      </c>
      <c r="AF5" s="16" t="s">
        <v>12</v>
      </c>
      <c r="AG5" s="16" t="s">
        <v>16</v>
      </c>
      <c r="AH5" s="16" t="s">
        <v>16</v>
      </c>
      <c r="AI5" s="16" t="s">
        <v>18</v>
      </c>
      <c r="AJ5" s="16" t="s">
        <v>18</v>
      </c>
      <c r="AK5" s="16" t="s">
        <v>10</v>
      </c>
      <c r="AL5" s="16" t="s">
        <v>22</v>
      </c>
      <c r="AM5" s="16" t="s">
        <v>10</v>
      </c>
      <c r="AN5" s="16" t="s">
        <v>22</v>
      </c>
      <c r="AO5" s="16" t="s">
        <v>10</v>
      </c>
      <c r="AP5" s="16" t="s">
        <v>16</v>
      </c>
      <c r="AQ5" s="16" t="s">
        <v>18</v>
      </c>
      <c r="AR5" s="16" t="s">
        <v>16</v>
      </c>
      <c r="AS5" s="16" t="s">
        <v>10</v>
      </c>
      <c r="AT5" s="16" t="s">
        <v>10</v>
      </c>
      <c r="AU5" s="16" t="s">
        <v>12</v>
      </c>
      <c r="AV5" s="16" t="s">
        <v>22</v>
      </c>
      <c r="AW5" s="16" t="s">
        <v>10</v>
      </c>
      <c r="AX5" s="16" t="s">
        <v>12</v>
      </c>
      <c r="AY5" s="16" t="s">
        <v>16</v>
      </c>
      <c r="AZ5" s="2"/>
    </row>
    <row r="6" spans="1:52" x14ac:dyDescent="0.4">
      <c r="A6" s="20" t="s">
        <v>5</v>
      </c>
      <c r="B6" s="17">
        <v>126</v>
      </c>
      <c r="C6" s="17">
        <v>126</v>
      </c>
      <c r="D6" s="17">
        <v>175</v>
      </c>
      <c r="E6" s="17">
        <v>69</v>
      </c>
      <c r="F6" s="17">
        <v>126</v>
      </c>
      <c r="G6" s="17">
        <v>126</v>
      </c>
      <c r="H6" s="17">
        <v>117</v>
      </c>
      <c r="I6" s="17">
        <v>177</v>
      </c>
      <c r="J6" s="17">
        <v>126</v>
      </c>
      <c r="K6" s="17">
        <v>177</v>
      </c>
      <c r="L6" s="17">
        <v>117</v>
      </c>
      <c r="M6" s="17">
        <v>177</v>
      </c>
      <c r="N6" s="17">
        <v>117</v>
      </c>
      <c r="O6" s="17">
        <v>69</v>
      </c>
      <c r="P6" s="17">
        <v>117</v>
      </c>
      <c r="Q6" s="17">
        <v>177</v>
      </c>
      <c r="R6" s="17">
        <v>175</v>
      </c>
      <c r="S6" s="17">
        <v>126</v>
      </c>
      <c r="T6" s="17">
        <v>117</v>
      </c>
      <c r="U6" s="17">
        <v>126</v>
      </c>
      <c r="V6" s="17">
        <v>69</v>
      </c>
      <c r="W6" s="17">
        <v>175</v>
      </c>
      <c r="X6" s="17">
        <v>180</v>
      </c>
      <c r="Y6" s="17">
        <v>180</v>
      </c>
      <c r="Z6" s="17">
        <v>180</v>
      </c>
      <c r="AA6" s="17">
        <v>69</v>
      </c>
      <c r="AB6" s="17">
        <v>175</v>
      </c>
      <c r="AC6" s="17">
        <v>69</v>
      </c>
      <c r="AD6" s="17">
        <v>117</v>
      </c>
      <c r="AE6" s="17">
        <v>126</v>
      </c>
      <c r="AF6" s="17">
        <v>175</v>
      </c>
      <c r="AG6" s="17">
        <v>180</v>
      </c>
      <c r="AH6" s="17">
        <v>117</v>
      </c>
      <c r="AI6" s="17">
        <v>180</v>
      </c>
      <c r="AJ6" s="17">
        <v>126</v>
      </c>
      <c r="AK6" s="17">
        <v>126</v>
      </c>
      <c r="AL6" s="17">
        <v>117</v>
      </c>
      <c r="AM6" s="17">
        <v>175</v>
      </c>
      <c r="AN6" s="17">
        <v>69</v>
      </c>
      <c r="AO6" s="17">
        <v>117</v>
      </c>
      <c r="AP6" s="17">
        <v>180</v>
      </c>
      <c r="AQ6" s="17">
        <v>180</v>
      </c>
      <c r="AR6" s="17">
        <v>126</v>
      </c>
      <c r="AS6" s="17">
        <v>69</v>
      </c>
      <c r="AT6" s="17">
        <v>69</v>
      </c>
      <c r="AU6" s="17">
        <v>49</v>
      </c>
      <c r="AV6" s="17">
        <v>175</v>
      </c>
      <c r="AW6" s="17">
        <v>69</v>
      </c>
      <c r="AX6" s="17">
        <v>117</v>
      </c>
      <c r="AY6" s="17">
        <v>69</v>
      </c>
      <c r="AZ6" s="2"/>
    </row>
    <row r="7" spans="1:52" x14ac:dyDescent="0.4">
      <c r="A7" s="20" t="s">
        <v>28</v>
      </c>
      <c r="B7" s="18">
        <v>80</v>
      </c>
      <c r="C7" s="18">
        <v>114</v>
      </c>
      <c r="D7" s="18">
        <v>211</v>
      </c>
      <c r="E7" s="18">
        <v>160</v>
      </c>
      <c r="F7" s="18">
        <v>111</v>
      </c>
      <c r="G7" s="18">
        <v>145</v>
      </c>
      <c r="H7" s="18">
        <v>100</v>
      </c>
      <c r="I7" s="18">
        <v>186</v>
      </c>
      <c r="J7" s="18">
        <v>143</v>
      </c>
      <c r="K7" s="18">
        <v>221</v>
      </c>
      <c r="L7" s="18">
        <v>100</v>
      </c>
      <c r="M7" s="18">
        <v>194</v>
      </c>
      <c r="N7" s="18">
        <v>100</v>
      </c>
      <c r="O7" s="18">
        <v>334</v>
      </c>
      <c r="P7" s="18">
        <v>100</v>
      </c>
      <c r="Q7" s="18">
        <v>224</v>
      </c>
      <c r="R7" s="18">
        <v>259</v>
      </c>
      <c r="S7" s="18">
        <v>152</v>
      </c>
      <c r="T7" s="18">
        <v>100</v>
      </c>
      <c r="U7" s="18">
        <v>80</v>
      </c>
      <c r="V7" s="18">
        <v>339</v>
      </c>
      <c r="W7" s="18">
        <v>266</v>
      </c>
      <c r="X7" s="18">
        <v>217</v>
      </c>
      <c r="Y7" s="18">
        <v>215</v>
      </c>
      <c r="Z7" s="18">
        <v>229</v>
      </c>
      <c r="AA7" s="18">
        <v>360</v>
      </c>
      <c r="AB7" s="18">
        <v>244</v>
      </c>
      <c r="AC7" s="18">
        <v>276</v>
      </c>
      <c r="AD7" s="18">
        <v>90</v>
      </c>
      <c r="AE7" s="18">
        <v>124</v>
      </c>
      <c r="AF7" s="18">
        <v>295</v>
      </c>
      <c r="AG7" s="18">
        <v>240</v>
      </c>
      <c r="AH7" s="18">
        <v>104</v>
      </c>
      <c r="AI7" s="18">
        <v>207</v>
      </c>
      <c r="AJ7" s="18">
        <v>90</v>
      </c>
      <c r="AK7" s="18">
        <v>95</v>
      </c>
      <c r="AL7" s="18">
        <v>89</v>
      </c>
      <c r="AM7" s="18">
        <v>234</v>
      </c>
      <c r="AN7" s="18">
        <v>39</v>
      </c>
      <c r="AO7" s="18">
        <v>100</v>
      </c>
      <c r="AP7" s="18">
        <v>235</v>
      </c>
      <c r="AQ7" s="18">
        <v>191</v>
      </c>
      <c r="AR7" s="18">
        <v>90</v>
      </c>
      <c r="AS7" s="18">
        <v>309</v>
      </c>
      <c r="AT7" s="18">
        <v>257</v>
      </c>
      <c r="AU7" s="18">
        <v>100</v>
      </c>
      <c r="AV7" s="18">
        <v>276</v>
      </c>
      <c r="AW7" s="18">
        <v>368</v>
      </c>
      <c r="AX7" s="18">
        <v>94</v>
      </c>
      <c r="AY7" s="18">
        <v>150</v>
      </c>
      <c r="AZ7" s="2"/>
    </row>
    <row r="8" spans="1:52" x14ac:dyDescent="0.4">
      <c r="A8" s="21" t="s">
        <v>6</v>
      </c>
      <c r="B8" s="19">
        <f t="shared" ref="B8:AG8" si="0">B7*B6</f>
        <v>10080</v>
      </c>
      <c r="C8" s="19">
        <f t="shared" si="0"/>
        <v>14364</v>
      </c>
      <c r="D8" s="19">
        <f t="shared" si="0"/>
        <v>36925</v>
      </c>
      <c r="E8" s="19">
        <f t="shared" si="0"/>
        <v>11040</v>
      </c>
      <c r="F8" s="19">
        <f t="shared" si="0"/>
        <v>13986</v>
      </c>
      <c r="G8" s="19">
        <f t="shared" si="0"/>
        <v>18270</v>
      </c>
      <c r="H8" s="19">
        <f t="shared" si="0"/>
        <v>11700</v>
      </c>
      <c r="I8" s="19">
        <f t="shared" si="0"/>
        <v>32922</v>
      </c>
      <c r="J8" s="19">
        <f t="shared" si="0"/>
        <v>18018</v>
      </c>
      <c r="K8" s="19">
        <f t="shared" si="0"/>
        <v>39117</v>
      </c>
      <c r="L8" s="19">
        <f t="shared" si="0"/>
        <v>11700</v>
      </c>
      <c r="M8" s="19">
        <f t="shared" si="0"/>
        <v>34338</v>
      </c>
      <c r="N8" s="19">
        <f t="shared" si="0"/>
        <v>11700</v>
      </c>
      <c r="O8" s="19">
        <f t="shared" si="0"/>
        <v>23046</v>
      </c>
      <c r="P8" s="19">
        <f t="shared" si="0"/>
        <v>11700</v>
      </c>
      <c r="Q8" s="19">
        <f t="shared" si="0"/>
        <v>39648</v>
      </c>
      <c r="R8" s="19">
        <f t="shared" si="0"/>
        <v>45325</v>
      </c>
      <c r="S8" s="19">
        <f t="shared" si="0"/>
        <v>19152</v>
      </c>
      <c r="T8" s="19">
        <f t="shared" si="0"/>
        <v>11700</v>
      </c>
      <c r="U8" s="19">
        <f t="shared" si="0"/>
        <v>10080</v>
      </c>
      <c r="V8" s="19">
        <f t="shared" si="0"/>
        <v>23391</v>
      </c>
      <c r="W8" s="19">
        <f t="shared" si="0"/>
        <v>46550</v>
      </c>
      <c r="X8" s="19">
        <f t="shared" si="0"/>
        <v>39060</v>
      </c>
      <c r="Y8" s="19">
        <f t="shared" si="0"/>
        <v>38700</v>
      </c>
      <c r="Z8" s="19">
        <f t="shared" si="0"/>
        <v>41220</v>
      </c>
      <c r="AA8" s="19">
        <f t="shared" si="0"/>
        <v>24840</v>
      </c>
      <c r="AB8" s="19">
        <f t="shared" si="0"/>
        <v>42700</v>
      </c>
      <c r="AC8" s="19">
        <f t="shared" si="0"/>
        <v>19044</v>
      </c>
      <c r="AD8" s="19">
        <f t="shared" si="0"/>
        <v>10530</v>
      </c>
      <c r="AE8" s="19">
        <f t="shared" si="0"/>
        <v>15624</v>
      </c>
      <c r="AF8" s="19">
        <f t="shared" si="0"/>
        <v>51625</v>
      </c>
      <c r="AG8" s="19">
        <f t="shared" si="0"/>
        <v>43200</v>
      </c>
      <c r="AH8" s="19">
        <f t="shared" ref="AH8:AY8" si="1">AH7*AH6</f>
        <v>12168</v>
      </c>
      <c r="AI8" s="19">
        <f t="shared" si="1"/>
        <v>37260</v>
      </c>
      <c r="AJ8" s="19">
        <f t="shared" si="1"/>
        <v>11340</v>
      </c>
      <c r="AK8" s="19">
        <f t="shared" si="1"/>
        <v>11970</v>
      </c>
      <c r="AL8" s="19">
        <f t="shared" si="1"/>
        <v>10413</v>
      </c>
      <c r="AM8" s="19">
        <f t="shared" si="1"/>
        <v>40950</v>
      </c>
      <c r="AN8" s="19">
        <f t="shared" si="1"/>
        <v>2691</v>
      </c>
      <c r="AO8" s="19">
        <f t="shared" si="1"/>
        <v>11700</v>
      </c>
      <c r="AP8" s="19">
        <f t="shared" si="1"/>
        <v>42300</v>
      </c>
      <c r="AQ8" s="19">
        <f t="shared" si="1"/>
        <v>34380</v>
      </c>
      <c r="AR8" s="19">
        <f t="shared" si="1"/>
        <v>11340</v>
      </c>
      <c r="AS8" s="19">
        <f t="shared" si="1"/>
        <v>21321</v>
      </c>
      <c r="AT8" s="19">
        <f t="shared" si="1"/>
        <v>17733</v>
      </c>
      <c r="AU8" s="19">
        <f t="shared" si="1"/>
        <v>4900</v>
      </c>
      <c r="AV8" s="19">
        <f t="shared" si="1"/>
        <v>48300</v>
      </c>
      <c r="AW8" s="19">
        <f t="shared" si="1"/>
        <v>25392</v>
      </c>
      <c r="AX8" s="19">
        <f t="shared" si="1"/>
        <v>10998</v>
      </c>
      <c r="AY8" s="19">
        <f t="shared" si="1"/>
        <v>10350</v>
      </c>
      <c r="AZ8" s="5">
        <f>SUM(B8:AY8)</f>
        <v>1186801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5AC1-EFAC-4202-BC6B-0543BC5D1DAD}">
  <sheetPr>
    <tabColor rgb="FFFFFF00"/>
  </sheetPr>
  <dimension ref="A1:L149"/>
  <sheetViews>
    <sheetView topLeftCell="A19" zoomScale="99" workbookViewId="0">
      <selection activeCell="L6" sqref="L6"/>
    </sheetView>
  </sheetViews>
  <sheetFormatPr defaultColWidth="10.83203125" defaultRowHeight="16" x14ac:dyDescent="0.4"/>
  <cols>
    <col min="1" max="4" width="10.83203125" style="1"/>
    <col min="5" max="5" width="15.33203125" style="1" customWidth="1"/>
    <col min="6" max="6" width="12.83203125" style="1" customWidth="1"/>
    <col min="7" max="7" width="11.1640625" style="1" bestFit="1" customWidth="1"/>
    <col min="8" max="8" width="18.6640625" style="1" customWidth="1"/>
    <col min="9" max="9" width="13.5" bestFit="1" customWidth="1"/>
    <col min="10" max="10" width="10.83203125" style="1"/>
    <col min="11" max="11" width="36.1640625" style="1" bestFit="1" customWidth="1"/>
    <col min="12" max="16384" width="10.83203125" style="1"/>
  </cols>
  <sheetData>
    <row r="1" spans="1:12" ht="21" customHeight="1" x14ac:dyDescent="0.4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28</v>
      </c>
      <c r="H1" s="21" t="s">
        <v>6</v>
      </c>
      <c r="I1" s="21" t="s">
        <v>101</v>
      </c>
      <c r="K1" s="23"/>
      <c r="L1" s="22" t="s">
        <v>33</v>
      </c>
    </row>
    <row r="2" spans="1:12" ht="15.5" x14ac:dyDescent="0.35">
      <c r="A2" s="16">
        <v>2025</v>
      </c>
      <c r="B2" s="16" t="s">
        <v>7</v>
      </c>
      <c r="C2" s="16" t="s">
        <v>8</v>
      </c>
      <c r="D2" s="16" t="s">
        <v>9</v>
      </c>
      <c r="E2" s="16" t="s">
        <v>10</v>
      </c>
      <c r="F2" s="17">
        <v>144.89999999999998</v>
      </c>
      <c r="G2" s="18">
        <v>76</v>
      </c>
      <c r="H2" s="19">
        <f t="shared" ref="H2:H51" si="0">G2*F2</f>
        <v>11012.399999999998</v>
      </c>
      <c r="I2" s="27">
        <f>H2/$H$52</f>
        <v>8.4934205481795207E-3</v>
      </c>
      <c r="K2" s="24" t="s">
        <v>94</v>
      </c>
      <c r="L2" s="25">
        <f>SUM(H2:H51)</f>
        <v>1296580.0924999993</v>
      </c>
    </row>
    <row r="3" spans="1:12" ht="15.5" x14ac:dyDescent="0.35">
      <c r="A3" s="16">
        <v>2025</v>
      </c>
      <c r="B3" s="16" t="s">
        <v>7</v>
      </c>
      <c r="C3" s="16" t="s">
        <v>8</v>
      </c>
      <c r="D3" s="16" t="s">
        <v>11</v>
      </c>
      <c r="E3" s="16" t="s">
        <v>12</v>
      </c>
      <c r="F3" s="17">
        <v>144.89999999999998</v>
      </c>
      <c r="G3" s="18">
        <v>108.3</v>
      </c>
      <c r="H3" s="19">
        <f t="shared" si="0"/>
        <v>15692.669999999996</v>
      </c>
      <c r="I3" s="27">
        <f t="shared" ref="I3:I51" si="1">H3/$H$52</f>
        <v>1.2103124281155817E-2</v>
      </c>
      <c r="K3" s="24" t="s">
        <v>95</v>
      </c>
      <c r="L3" s="25">
        <f>AVERAGE(H2:H51)</f>
        <v>25931.601849999988</v>
      </c>
    </row>
    <row r="4" spans="1:12" ht="15.5" x14ac:dyDescent="0.35">
      <c r="A4" s="16">
        <v>2025</v>
      </c>
      <c r="B4" s="16" t="s">
        <v>7</v>
      </c>
      <c r="C4" s="16" t="s">
        <v>13</v>
      </c>
      <c r="D4" s="16" t="s">
        <v>11</v>
      </c>
      <c r="E4" s="16" t="s">
        <v>12</v>
      </c>
      <c r="F4" s="17">
        <v>201.24999999999997</v>
      </c>
      <c r="G4" s="18">
        <v>200.45</v>
      </c>
      <c r="H4" s="19">
        <f t="shared" si="0"/>
        <v>40340.562499999993</v>
      </c>
      <c r="I4" s="27">
        <f t="shared" si="1"/>
        <v>3.1113050966421509E-2</v>
      </c>
      <c r="K4" s="24" t="s">
        <v>99</v>
      </c>
      <c r="L4" s="25">
        <f>MAX(H2:H51)</f>
        <v>56400.312499999993</v>
      </c>
    </row>
    <row r="5" spans="1:12" ht="15.5" x14ac:dyDescent="0.35">
      <c r="A5" s="16">
        <v>2025</v>
      </c>
      <c r="B5" s="16" t="s">
        <v>7</v>
      </c>
      <c r="C5" s="16" t="s">
        <v>14</v>
      </c>
      <c r="D5" s="16" t="s">
        <v>15</v>
      </c>
      <c r="E5" s="16" t="s">
        <v>16</v>
      </c>
      <c r="F5" s="17">
        <v>79.349999999999994</v>
      </c>
      <c r="G5" s="18">
        <v>152</v>
      </c>
      <c r="H5" s="19">
        <f t="shared" si="0"/>
        <v>12061.199999999999</v>
      </c>
      <c r="I5" s="27">
        <f t="shared" si="1"/>
        <v>9.3023177432442379E-3</v>
      </c>
      <c r="K5" s="24" t="s">
        <v>100</v>
      </c>
      <c r="L5" s="25">
        <f>MIN(H2:H51)</f>
        <v>2939.9174999999996</v>
      </c>
    </row>
    <row r="6" spans="1:12" ht="15.5" x14ac:dyDescent="0.35">
      <c r="A6" s="16">
        <v>2025</v>
      </c>
      <c r="B6" s="16" t="s">
        <v>7</v>
      </c>
      <c r="C6" s="16" t="s">
        <v>8</v>
      </c>
      <c r="D6" s="16" t="s">
        <v>11</v>
      </c>
      <c r="E6" s="16" t="s">
        <v>12</v>
      </c>
      <c r="F6" s="17">
        <v>144.89999999999998</v>
      </c>
      <c r="G6" s="18">
        <v>105.44999999999999</v>
      </c>
      <c r="H6" s="19">
        <f t="shared" si="0"/>
        <v>15279.704999999996</v>
      </c>
      <c r="I6" s="27">
        <f t="shared" si="1"/>
        <v>1.1784621010599084E-2</v>
      </c>
      <c r="K6" s="24" t="s">
        <v>96</v>
      </c>
      <c r="L6" s="25">
        <f>AVERAGE(F2:F51)</f>
        <v>149.22400000000005</v>
      </c>
    </row>
    <row r="7" spans="1:12" ht="15.5" x14ac:dyDescent="0.35">
      <c r="A7" s="16">
        <v>2025</v>
      </c>
      <c r="B7" s="16" t="s">
        <v>7</v>
      </c>
      <c r="C7" s="16" t="s">
        <v>8</v>
      </c>
      <c r="D7" s="16" t="s">
        <v>17</v>
      </c>
      <c r="E7" s="16" t="s">
        <v>18</v>
      </c>
      <c r="F7" s="17">
        <v>144.89999999999998</v>
      </c>
      <c r="G7" s="18">
        <v>137.75</v>
      </c>
      <c r="H7" s="19">
        <f t="shared" si="0"/>
        <v>19959.974999999999</v>
      </c>
      <c r="I7" s="27">
        <f t="shared" si="1"/>
        <v>1.5394324743575383E-2</v>
      </c>
      <c r="K7" s="24" t="s">
        <v>97</v>
      </c>
      <c r="L7" s="26">
        <f>COUNT(A2:A51)</f>
        <v>50</v>
      </c>
    </row>
    <row r="8" spans="1:12" ht="15.5" x14ac:dyDescent="0.35">
      <c r="A8" s="16">
        <v>2025</v>
      </c>
      <c r="B8" s="16" t="s">
        <v>7</v>
      </c>
      <c r="C8" s="16" t="s">
        <v>19</v>
      </c>
      <c r="D8" s="16" t="s">
        <v>11</v>
      </c>
      <c r="E8" s="16" t="s">
        <v>12</v>
      </c>
      <c r="F8" s="17">
        <v>134.54999999999998</v>
      </c>
      <c r="G8" s="18">
        <v>95</v>
      </c>
      <c r="H8" s="19">
        <f t="shared" si="0"/>
        <v>12782.249999999998</v>
      </c>
      <c r="I8" s="27">
        <f t="shared" si="1"/>
        <v>9.8584345648512293E-3</v>
      </c>
      <c r="K8" s="24" t="s">
        <v>98</v>
      </c>
      <c r="L8" s="25">
        <f>MEDIAN(H2:H51)</f>
        <v>20382.772499999999</v>
      </c>
    </row>
    <row r="9" spans="1:12" ht="15.5" x14ac:dyDescent="0.35">
      <c r="A9" s="16">
        <v>2025</v>
      </c>
      <c r="B9" s="16" t="s">
        <v>7</v>
      </c>
      <c r="C9" s="16" t="s">
        <v>20</v>
      </c>
      <c r="D9" s="16" t="s">
        <v>21</v>
      </c>
      <c r="E9" s="16" t="s">
        <v>22</v>
      </c>
      <c r="F9" s="17">
        <v>203.54999999999998</v>
      </c>
      <c r="G9" s="18">
        <v>176.7</v>
      </c>
      <c r="H9" s="19">
        <f t="shared" si="0"/>
        <v>35967.284999999996</v>
      </c>
      <c r="I9" s="27">
        <f t="shared" si="1"/>
        <v>2.7740118183250614E-2</v>
      </c>
    </row>
    <row r="10" spans="1:12" ht="15.5" x14ac:dyDescent="0.35">
      <c r="A10" s="16">
        <v>2025</v>
      </c>
      <c r="B10" s="16" t="s">
        <v>7</v>
      </c>
      <c r="C10" s="16" t="s">
        <v>8</v>
      </c>
      <c r="D10" s="16" t="s">
        <v>15</v>
      </c>
      <c r="E10" s="16" t="s">
        <v>16</v>
      </c>
      <c r="F10" s="17">
        <v>144.89999999999998</v>
      </c>
      <c r="G10" s="18">
        <v>135.85</v>
      </c>
      <c r="H10" s="19">
        <f t="shared" si="0"/>
        <v>19684.664999999997</v>
      </c>
      <c r="I10" s="27">
        <f t="shared" si="1"/>
        <v>1.5181989229870895E-2</v>
      </c>
    </row>
    <row r="11" spans="1:12" ht="15.5" x14ac:dyDescent="0.35">
      <c r="A11" s="16">
        <v>2025</v>
      </c>
      <c r="B11" s="16" t="s">
        <v>7</v>
      </c>
      <c r="C11" s="16" t="s">
        <v>20</v>
      </c>
      <c r="D11" s="16" t="s">
        <v>21</v>
      </c>
      <c r="E11" s="16" t="s">
        <v>22</v>
      </c>
      <c r="F11" s="17">
        <v>203.54999999999998</v>
      </c>
      <c r="G11" s="18">
        <v>209.95</v>
      </c>
      <c r="H11" s="19">
        <f t="shared" si="0"/>
        <v>42735.322499999995</v>
      </c>
      <c r="I11" s="27">
        <f t="shared" si="1"/>
        <v>3.2960032895152612E-2</v>
      </c>
    </row>
    <row r="12" spans="1:12" ht="15.5" x14ac:dyDescent="0.35">
      <c r="A12" s="16">
        <v>2025</v>
      </c>
      <c r="B12" s="16" t="s">
        <v>7</v>
      </c>
      <c r="C12" s="16" t="s">
        <v>19</v>
      </c>
      <c r="D12" s="16" t="s">
        <v>21</v>
      </c>
      <c r="E12" s="16" t="s">
        <v>22</v>
      </c>
      <c r="F12" s="17">
        <v>134.54999999999998</v>
      </c>
      <c r="G12" s="18">
        <v>95</v>
      </c>
      <c r="H12" s="19">
        <f t="shared" si="0"/>
        <v>12782.249999999998</v>
      </c>
      <c r="I12" s="27">
        <f t="shared" si="1"/>
        <v>9.8584345648512293E-3</v>
      </c>
    </row>
    <row r="13" spans="1:12" ht="15.5" x14ac:dyDescent="0.35">
      <c r="A13" s="16">
        <v>2025</v>
      </c>
      <c r="B13" s="16" t="s">
        <v>7</v>
      </c>
      <c r="C13" s="16" t="s">
        <v>20</v>
      </c>
      <c r="D13" s="16" t="s">
        <v>21</v>
      </c>
      <c r="E13" s="16" t="s">
        <v>22</v>
      </c>
      <c r="F13" s="17">
        <v>203.54999999999998</v>
      </c>
      <c r="G13" s="18">
        <v>184.29999999999998</v>
      </c>
      <c r="H13" s="19">
        <f t="shared" si="0"/>
        <v>37514.264999999992</v>
      </c>
      <c r="I13" s="27">
        <f t="shared" si="1"/>
        <v>2.8933241545971069E-2</v>
      </c>
    </row>
    <row r="14" spans="1:12" ht="15.5" x14ac:dyDescent="0.35">
      <c r="A14" s="16">
        <v>2025</v>
      </c>
      <c r="B14" s="16" t="s">
        <v>23</v>
      </c>
      <c r="C14" s="16" t="s">
        <v>19</v>
      </c>
      <c r="D14" s="16" t="s">
        <v>11</v>
      </c>
      <c r="E14" s="16" t="s">
        <v>12</v>
      </c>
      <c r="F14" s="17">
        <v>134.54999999999998</v>
      </c>
      <c r="G14" s="18">
        <v>95</v>
      </c>
      <c r="H14" s="19">
        <f t="shared" si="0"/>
        <v>12782.249999999998</v>
      </c>
      <c r="I14" s="27">
        <f t="shared" si="1"/>
        <v>9.8584345648512293E-3</v>
      </c>
    </row>
    <row r="15" spans="1:12" ht="15.5" x14ac:dyDescent="0.35">
      <c r="A15" s="16">
        <v>2025</v>
      </c>
      <c r="B15" s="16" t="s">
        <v>23</v>
      </c>
      <c r="C15" s="16" t="s">
        <v>14</v>
      </c>
      <c r="D15" s="16" t="s">
        <v>17</v>
      </c>
      <c r="E15" s="16" t="s">
        <v>18</v>
      </c>
      <c r="F15" s="17">
        <v>79.349999999999994</v>
      </c>
      <c r="G15" s="18">
        <v>317.3</v>
      </c>
      <c r="H15" s="19">
        <f t="shared" si="0"/>
        <v>25177.754999999997</v>
      </c>
      <c r="I15" s="27">
        <f t="shared" si="1"/>
        <v>1.9418588289022345E-2</v>
      </c>
    </row>
    <row r="16" spans="1:12" ht="15.5" x14ac:dyDescent="0.35">
      <c r="A16" s="16">
        <v>2025</v>
      </c>
      <c r="B16" s="16" t="s">
        <v>23</v>
      </c>
      <c r="C16" s="16" t="s">
        <v>19</v>
      </c>
      <c r="D16" s="16" t="s">
        <v>9</v>
      </c>
      <c r="E16" s="16" t="s">
        <v>10</v>
      </c>
      <c r="F16" s="17">
        <v>134.54999999999998</v>
      </c>
      <c r="G16" s="18">
        <v>95</v>
      </c>
      <c r="H16" s="19">
        <f t="shared" si="0"/>
        <v>12782.249999999998</v>
      </c>
      <c r="I16" s="27">
        <f t="shared" si="1"/>
        <v>9.8584345648512293E-3</v>
      </c>
    </row>
    <row r="17" spans="1:9" ht="15.5" x14ac:dyDescent="0.35">
      <c r="A17" s="16">
        <v>2025</v>
      </c>
      <c r="B17" s="16" t="s">
        <v>23</v>
      </c>
      <c r="C17" s="16" t="s">
        <v>20</v>
      </c>
      <c r="D17" s="16" t="s">
        <v>15</v>
      </c>
      <c r="E17" s="16" t="s">
        <v>16</v>
      </c>
      <c r="F17" s="17">
        <v>203.54999999999998</v>
      </c>
      <c r="G17" s="18">
        <v>212.79999999999998</v>
      </c>
      <c r="H17" s="19">
        <f t="shared" si="0"/>
        <v>43315.439999999995</v>
      </c>
      <c r="I17" s="27">
        <f t="shared" si="1"/>
        <v>3.3407454156172786E-2</v>
      </c>
    </row>
    <row r="18" spans="1:9" ht="15.5" x14ac:dyDescent="0.35">
      <c r="A18" s="16">
        <v>2025</v>
      </c>
      <c r="B18" s="16" t="s">
        <v>23</v>
      </c>
      <c r="C18" s="16" t="s">
        <v>13</v>
      </c>
      <c r="D18" s="16" t="s">
        <v>11</v>
      </c>
      <c r="E18" s="16" t="s">
        <v>12</v>
      </c>
      <c r="F18" s="17">
        <v>201.24999999999997</v>
      </c>
      <c r="G18" s="18">
        <v>246.04999999999998</v>
      </c>
      <c r="H18" s="19">
        <f t="shared" si="0"/>
        <v>49517.562499999993</v>
      </c>
      <c r="I18" s="27">
        <f t="shared" si="1"/>
        <v>3.8190901423237777E-2</v>
      </c>
    </row>
    <row r="19" spans="1:9" ht="15.5" x14ac:dyDescent="0.35">
      <c r="A19" s="16">
        <v>2025</v>
      </c>
      <c r="B19" s="16" t="s">
        <v>23</v>
      </c>
      <c r="C19" s="16" t="s">
        <v>8</v>
      </c>
      <c r="D19" s="16" t="s">
        <v>11</v>
      </c>
      <c r="E19" s="16" t="s">
        <v>12</v>
      </c>
      <c r="F19" s="17">
        <v>144.89999999999998</v>
      </c>
      <c r="G19" s="18">
        <v>144.4</v>
      </c>
      <c r="H19" s="19">
        <f t="shared" si="0"/>
        <v>20923.559999999998</v>
      </c>
      <c r="I19" s="27">
        <f t="shared" si="1"/>
        <v>1.613749904154109E-2</v>
      </c>
    </row>
    <row r="20" spans="1:9" ht="15.5" x14ac:dyDescent="0.35">
      <c r="A20" s="16">
        <v>2025</v>
      </c>
      <c r="B20" s="16" t="s">
        <v>23</v>
      </c>
      <c r="C20" s="16" t="s">
        <v>19</v>
      </c>
      <c r="D20" s="16" t="s">
        <v>17</v>
      </c>
      <c r="E20" s="16" t="s">
        <v>18</v>
      </c>
      <c r="F20" s="17">
        <v>134.54999999999998</v>
      </c>
      <c r="G20" s="18">
        <v>95</v>
      </c>
      <c r="H20" s="19">
        <f t="shared" si="0"/>
        <v>12782.249999999998</v>
      </c>
      <c r="I20" s="27">
        <f t="shared" si="1"/>
        <v>9.8584345648512293E-3</v>
      </c>
    </row>
    <row r="21" spans="1:9" ht="15.5" x14ac:dyDescent="0.35">
      <c r="A21" s="16">
        <v>2025</v>
      </c>
      <c r="B21" s="16" t="s">
        <v>23</v>
      </c>
      <c r="C21" s="16" t="s">
        <v>8</v>
      </c>
      <c r="D21" s="16" t="s">
        <v>21</v>
      </c>
      <c r="E21" s="16" t="s">
        <v>22</v>
      </c>
      <c r="F21" s="17">
        <v>144.89999999999998</v>
      </c>
      <c r="G21" s="18">
        <v>76</v>
      </c>
      <c r="H21" s="19">
        <f t="shared" si="0"/>
        <v>11012.399999999998</v>
      </c>
      <c r="I21" s="27">
        <f t="shared" si="1"/>
        <v>8.4934205481795207E-3</v>
      </c>
    </row>
    <row r="22" spans="1:9" ht="15.5" x14ac:dyDescent="0.35">
      <c r="A22" s="16">
        <v>2025</v>
      </c>
      <c r="B22" s="16" t="s">
        <v>23</v>
      </c>
      <c r="C22" s="16" t="s">
        <v>14</v>
      </c>
      <c r="D22" s="16" t="s">
        <v>17</v>
      </c>
      <c r="E22" s="16" t="s">
        <v>18</v>
      </c>
      <c r="F22" s="17">
        <v>79.349999999999994</v>
      </c>
      <c r="G22" s="18">
        <v>322.05</v>
      </c>
      <c r="H22" s="19">
        <f t="shared" si="0"/>
        <v>25554.6675</v>
      </c>
      <c r="I22" s="27">
        <f t="shared" si="1"/>
        <v>1.9709285718498729E-2</v>
      </c>
    </row>
    <row r="23" spans="1:9" ht="15.5" x14ac:dyDescent="0.35">
      <c r="A23" s="16">
        <v>2025</v>
      </c>
      <c r="B23" s="16" t="s">
        <v>23</v>
      </c>
      <c r="C23" s="16" t="s">
        <v>13</v>
      </c>
      <c r="D23" s="16" t="s">
        <v>9</v>
      </c>
      <c r="E23" s="16" t="s">
        <v>10</v>
      </c>
      <c r="F23" s="17">
        <v>201.24999999999997</v>
      </c>
      <c r="G23" s="18">
        <v>252.7</v>
      </c>
      <c r="H23" s="19">
        <f t="shared" si="0"/>
        <v>50855.874999999993</v>
      </c>
      <c r="I23" s="27">
        <f t="shared" si="1"/>
        <v>3.9223087948190148E-2</v>
      </c>
    </row>
    <row r="24" spans="1:9" ht="15.5" x14ac:dyDescent="0.35">
      <c r="A24" s="16">
        <v>2025</v>
      </c>
      <c r="B24" s="16" t="s">
        <v>23</v>
      </c>
      <c r="C24" s="16" t="s">
        <v>24</v>
      </c>
      <c r="D24" s="16" t="s">
        <v>21</v>
      </c>
      <c r="E24" s="16" t="s">
        <v>22</v>
      </c>
      <c r="F24" s="17">
        <v>206.99999999999997</v>
      </c>
      <c r="G24" s="18">
        <v>206.14999999999998</v>
      </c>
      <c r="H24" s="19">
        <f t="shared" si="0"/>
        <v>42673.049999999988</v>
      </c>
      <c r="I24" s="27">
        <f t="shared" si="1"/>
        <v>3.2912004624195641E-2</v>
      </c>
    </row>
    <row r="25" spans="1:9" ht="15.5" x14ac:dyDescent="0.35">
      <c r="A25" s="16">
        <v>2025</v>
      </c>
      <c r="B25" s="16" t="s">
        <v>23</v>
      </c>
      <c r="C25" s="16" t="s">
        <v>24</v>
      </c>
      <c r="D25" s="16" t="s">
        <v>9</v>
      </c>
      <c r="E25" s="16" t="s">
        <v>10</v>
      </c>
      <c r="F25" s="17">
        <v>206.99999999999997</v>
      </c>
      <c r="G25" s="18">
        <v>204.25</v>
      </c>
      <c r="H25" s="19">
        <f t="shared" si="0"/>
        <v>42279.749999999993</v>
      </c>
      <c r="I25" s="27">
        <f t="shared" si="1"/>
        <v>3.2608668176046372E-2</v>
      </c>
    </row>
    <row r="26" spans="1:9" ht="15.5" x14ac:dyDescent="0.35">
      <c r="A26" s="16">
        <v>2025</v>
      </c>
      <c r="B26" s="16" t="s">
        <v>25</v>
      </c>
      <c r="C26" s="16" t="s">
        <v>24</v>
      </c>
      <c r="D26" s="16" t="s">
        <v>11</v>
      </c>
      <c r="E26" s="16" t="s">
        <v>12</v>
      </c>
      <c r="F26" s="17">
        <v>206.99999999999997</v>
      </c>
      <c r="G26" s="18">
        <v>217.54999999999998</v>
      </c>
      <c r="H26" s="19">
        <f t="shared" si="0"/>
        <v>45032.849999999991</v>
      </c>
      <c r="I26" s="27">
        <f t="shared" si="1"/>
        <v>3.4732023313091255E-2</v>
      </c>
    </row>
    <row r="27" spans="1:9" ht="15.5" x14ac:dyDescent="0.35">
      <c r="A27" s="16">
        <v>2025</v>
      </c>
      <c r="B27" s="16" t="s">
        <v>25</v>
      </c>
      <c r="C27" s="16" t="s">
        <v>14</v>
      </c>
      <c r="D27" s="16" t="s">
        <v>21</v>
      </c>
      <c r="E27" s="16" t="s">
        <v>22</v>
      </c>
      <c r="F27" s="17">
        <v>79.349999999999994</v>
      </c>
      <c r="G27" s="18">
        <v>342</v>
      </c>
      <c r="H27" s="19">
        <f t="shared" si="0"/>
        <v>27137.699999999997</v>
      </c>
      <c r="I27" s="27">
        <f t="shared" si="1"/>
        <v>2.0930214922299534E-2</v>
      </c>
    </row>
    <row r="28" spans="1:9" ht="15.5" x14ac:dyDescent="0.35">
      <c r="A28" s="16">
        <v>2025</v>
      </c>
      <c r="B28" s="16" t="s">
        <v>25</v>
      </c>
      <c r="C28" s="16" t="s">
        <v>13</v>
      </c>
      <c r="D28" s="16" t="s">
        <v>9</v>
      </c>
      <c r="E28" s="16" t="s">
        <v>10</v>
      </c>
      <c r="F28" s="17">
        <v>201.24999999999997</v>
      </c>
      <c r="G28" s="18">
        <v>231.79999999999998</v>
      </c>
      <c r="H28" s="19">
        <f t="shared" si="0"/>
        <v>46649.749999999993</v>
      </c>
      <c r="I28" s="27">
        <f t="shared" si="1"/>
        <v>3.597907315548269E-2</v>
      </c>
    </row>
    <row r="29" spans="1:9" ht="15.5" x14ac:dyDescent="0.35">
      <c r="A29" s="16">
        <v>2025</v>
      </c>
      <c r="B29" s="16" t="s">
        <v>25</v>
      </c>
      <c r="C29" s="16" t="s">
        <v>14</v>
      </c>
      <c r="D29" s="16" t="s">
        <v>15</v>
      </c>
      <c r="E29" s="16" t="s">
        <v>16</v>
      </c>
      <c r="F29" s="17">
        <v>79.349999999999994</v>
      </c>
      <c r="G29" s="18">
        <v>262.2</v>
      </c>
      <c r="H29" s="19">
        <f t="shared" si="0"/>
        <v>20805.569999999996</v>
      </c>
      <c r="I29" s="27">
        <f t="shared" si="1"/>
        <v>1.604649810709631E-2</v>
      </c>
    </row>
    <row r="30" spans="1:9" ht="15.5" x14ac:dyDescent="0.35">
      <c r="A30" s="16">
        <v>2025</v>
      </c>
      <c r="B30" s="16" t="s">
        <v>25</v>
      </c>
      <c r="C30" s="16" t="s">
        <v>19</v>
      </c>
      <c r="D30" s="16" t="s">
        <v>9</v>
      </c>
      <c r="E30" s="16" t="s">
        <v>10</v>
      </c>
      <c r="F30" s="17">
        <v>134.54999999999998</v>
      </c>
      <c r="G30" s="18">
        <v>85.5</v>
      </c>
      <c r="H30" s="19">
        <f t="shared" si="0"/>
        <v>11504.024999999998</v>
      </c>
      <c r="I30" s="27">
        <f t="shared" si="1"/>
        <v>8.8725911083661069E-3</v>
      </c>
    </row>
    <row r="31" spans="1:9" ht="15.5" x14ac:dyDescent="0.35">
      <c r="A31" s="16">
        <v>2025</v>
      </c>
      <c r="B31" s="16" t="s">
        <v>25</v>
      </c>
      <c r="C31" s="16" t="s">
        <v>8</v>
      </c>
      <c r="D31" s="16" t="s">
        <v>17</v>
      </c>
      <c r="E31" s="16" t="s">
        <v>18</v>
      </c>
      <c r="F31" s="17">
        <v>144.89999999999998</v>
      </c>
      <c r="G31" s="18">
        <v>117.8</v>
      </c>
      <c r="H31" s="19">
        <f t="shared" si="0"/>
        <v>17069.219999999998</v>
      </c>
      <c r="I31" s="27">
        <f t="shared" si="1"/>
        <v>1.3164801849678257E-2</v>
      </c>
    </row>
    <row r="32" spans="1:9" ht="15.5" x14ac:dyDescent="0.35">
      <c r="A32" s="16">
        <v>2025</v>
      </c>
      <c r="B32" s="16" t="s">
        <v>25</v>
      </c>
      <c r="C32" s="16" t="s">
        <v>13</v>
      </c>
      <c r="D32" s="16" t="s">
        <v>11</v>
      </c>
      <c r="E32" s="16" t="s">
        <v>12</v>
      </c>
      <c r="F32" s="17">
        <v>201.24999999999997</v>
      </c>
      <c r="G32" s="18">
        <v>280.25</v>
      </c>
      <c r="H32" s="19">
        <f t="shared" si="0"/>
        <v>56400.312499999993</v>
      </c>
      <c r="I32" s="27">
        <f t="shared" si="1"/>
        <v>4.3499289265849977E-2</v>
      </c>
    </row>
    <row r="33" spans="1:9" ht="15.5" x14ac:dyDescent="0.35">
      <c r="A33" s="16">
        <v>2025</v>
      </c>
      <c r="B33" s="16" t="s">
        <v>25</v>
      </c>
      <c r="C33" s="16" t="s">
        <v>24</v>
      </c>
      <c r="D33" s="16" t="s">
        <v>15</v>
      </c>
      <c r="E33" s="16" t="s">
        <v>16</v>
      </c>
      <c r="F33" s="17">
        <v>206.99999999999997</v>
      </c>
      <c r="G33" s="18">
        <v>228</v>
      </c>
      <c r="H33" s="19">
        <f t="shared" si="0"/>
        <v>47195.999999999993</v>
      </c>
      <c r="I33" s="27">
        <f t="shared" si="1"/>
        <v>3.6400373777912234E-2</v>
      </c>
    </row>
    <row r="34" spans="1:9" ht="15.5" x14ac:dyDescent="0.35">
      <c r="A34" s="16">
        <v>2025</v>
      </c>
      <c r="B34" s="16" t="s">
        <v>25</v>
      </c>
      <c r="C34" s="16" t="s">
        <v>19</v>
      </c>
      <c r="D34" s="16" t="s">
        <v>15</v>
      </c>
      <c r="E34" s="16" t="s">
        <v>16</v>
      </c>
      <c r="F34" s="17">
        <v>134.54999999999998</v>
      </c>
      <c r="G34" s="18">
        <v>98.8</v>
      </c>
      <c r="H34" s="19">
        <f t="shared" si="0"/>
        <v>13293.539999999997</v>
      </c>
      <c r="I34" s="27">
        <f t="shared" si="1"/>
        <v>1.0252771947445278E-2</v>
      </c>
    </row>
    <row r="35" spans="1:9" ht="15.5" x14ac:dyDescent="0.35">
      <c r="A35" s="16">
        <v>2025</v>
      </c>
      <c r="B35" s="16" t="s">
        <v>25</v>
      </c>
      <c r="C35" s="16" t="s">
        <v>24</v>
      </c>
      <c r="D35" s="16" t="s">
        <v>17</v>
      </c>
      <c r="E35" s="16" t="s">
        <v>18</v>
      </c>
      <c r="F35" s="17">
        <v>206.99999999999997</v>
      </c>
      <c r="G35" s="18">
        <v>196.64999999999998</v>
      </c>
      <c r="H35" s="19">
        <f t="shared" si="0"/>
        <v>40706.549999999988</v>
      </c>
      <c r="I35" s="27">
        <f t="shared" si="1"/>
        <v>3.1395322383449296E-2</v>
      </c>
    </row>
    <row r="36" spans="1:9" ht="15.5" x14ac:dyDescent="0.35">
      <c r="A36" s="16">
        <v>2025</v>
      </c>
      <c r="B36" s="16" t="s">
        <v>25</v>
      </c>
      <c r="C36" s="16" t="s">
        <v>8</v>
      </c>
      <c r="D36" s="16" t="s">
        <v>17</v>
      </c>
      <c r="E36" s="16" t="s">
        <v>18</v>
      </c>
      <c r="F36" s="17">
        <v>144.89999999999998</v>
      </c>
      <c r="G36" s="18">
        <v>85.5</v>
      </c>
      <c r="H36" s="19">
        <f t="shared" si="0"/>
        <v>12388.949999999999</v>
      </c>
      <c r="I36" s="27">
        <f t="shared" si="1"/>
        <v>9.555098116701962E-3</v>
      </c>
    </row>
    <row r="37" spans="1:9" ht="15.5" x14ac:dyDescent="0.35">
      <c r="A37" s="16">
        <v>2025</v>
      </c>
      <c r="B37" s="16" t="s">
        <v>25</v>
      </c>
      <c r="C37" s="16" t="s">
        <v>8</v>
      </c>
      <c r="D37" s="16" t="s">
        <v>9</v>
      </c>
      <c r="E37" s="16" t="s">
        <v>10</v>
      </c>
      <c r="F37" s="17">
        <v>144.89999999999998</v>
      </c>
      <c r="G37" s="18">
        <v>90.25</v>
      </c>
      <c r="H37" s="19">
        <f t="shared" si="0"/>
        <v>13077.224999999999</v>
      </c>
      <c r="I37" s="27">
        <f t="shared" si="1"/>
        <v>1.0085936900963181E-2</v>
      </c>
    </row>
    <row r="38" spans="1:9" ht="15.5" x14ac:dyDescent="0.35">
      <c r="A38" s="16">
        <v>2025</v>
      </c>
      <c r="B38" s="16" t="s">
        <v>26</v>
      </c>
      <c r="C38" s="16" t="s">
        <v>19</v>
      </c>
      <c r="D38" s="16" t="s">
        <v>21</v>
      </c>
      <c r="E38" s="16" t="s">
        <v>22</v>
      </c>
      <c r="F38" s="17">
        <v>134.54999999999998</v>
      </c>
      <c r="G38" s="18">
        <v>84.55</v>
      </c>
      <c r="H38" s="19">
        <f t="shared" si="0"/>
        <v>11376.202499999998</v>
      </c>
      <c r="I38" s="27">
        <f t="shared" si="1"/>
        <v>8.7740067627175931E-3</v>
      </c>
    </row>
    <row r="39" spans="1:9" ht="15.5" x14ac:dyDescent="0.35">
      <c r="A39" s="16">
        <v>2025</v>
      </c>
      <c r="B39" s="16" t="s">
        <v>26</v>
      </c>
      <c r="C39" s="16" t="s">
        <v>13</v>
      </c>
      <c r="D39" s="16" t="s">
        <v>9</v>
      </c>
      <c r="E39" s="16" t="s">
        <v>10</v>
      </c>
      <c r="F39" s="17">
        <v>201.24999999999997</v>
      </c>
      <c r="G39" s="18">
        <v>222.29999999999998</v>
      </c>
      <c r="H39" s="19">
        <f t="shared" si="0"/>
        <v>44737.874999999993</v>
      </c>
      <c r="I39" s="27">
        <f t="shared" si="1"/>
        <v>3.4504520976979307E-2</v>
      </c>
    </row>
    <row r="40" spans="1:9" ht="15.5" x14ac:dyDescent="0.35">
      <c r="A40" s="16">
        <v>2025</v>
      </c>
      <c r="B40" s="16" t="s">
        <v>26</v>
      </c>
      <c r="C40" s="16" t="s">
        <v>14</v>
      </c>
      <c r="D40" s="16" t="s">
        <v>21</v>
      </c>
      <c r="E40" s="16" t="s">
        <v>22</v>
      </c>
      <c r="F40" s="17">
        <v>79.349999999999994</v>
      </c>
      <c r="G40" s="18">
        <v>37.049999999999997</v>
      </c>
      <c r="H40" s="19">
        <f t="shared" si="0"/>
        <v>2939.9174999999996</v>
      </c>
      <c r="I40" s="27">
        <f t="shared" si="1"/>
        <v>2.2674399499157828E-3</v>
      </c>
    </row>
    <row r="41" spans="1:9" ht="15.5" x14ac:dyDescent="0.35">
      <c r="A41" s="16">
        <v>2025</v>
      </c>
      <c r="B41" s="16" t="s">
        <v>26</v>
      </c>
      <c r="C41" s="16" t="s">
        <v>19</v>
      </c>
      <c r="D41" s="16" t="s">
        <v>9</v>
      </c>
      <c r="E41" s="16" t="s">
        <v>10</v>
      </c>
      <c r="F41" s="17">
        <v>134.54999999999998</v>
      </c>
      <c r="G41" s="18">
        <v>95</v>
      </c>
      <c r="H41" s="19">
        <f t="shared" si="0"/>
        <v>12782.249999999998</v>
      </c>
      <c r="I41" s="27">
        <f t="shared" si="1"/>
        <v>9.8584345648512293E-3</v>
      </c>
    </row>
    <row r="42" spans="1:9" ht="15.5" x14ac:dyDescent="0.35">
      <c r="A42" s="16">
        <v>2025</v>
      </c>
      <c r="B42" s="16" t="s">
        <v>26</v>
      </c>
      <c r="C42" s="16" t="s">
        <v>24</v>
      </c>
      <c r="D42" s="16" t="s">
        <v>15</v>
      </c>
      <c r="E42" s="16" t="s">
        <v>16</v>
      </c>
      <c r="F42" s="17">
        <v>206.99999999999997</v>
      </c>
      <c r="G42" s="18">
        <v>223.25</v>
      </c>
      <c r="H42" s="19">
        <f t="shared" si="0"/>
        <v>46212.749999999993</v>
      </c>
      <c r="I42" s="27">
        <f t="shared" si="1"/>
        <v>3.5642032657539062E-2</v>
      </c>
    </row>
    <row r="43" spans="1:9" ht="15.5" x14ac:dyDescent="0.35">
      <c r="A43" s="16">
        <v>2025</v>
      </c>
      <c r="B43" s="16" t="s">
        <v>26</v>
      </c>
      <c r="C43" s="16" t="s">
        <v>24</v>
      </c>
      <c r="D43" s="16" t="s">
        <v>17</v>
      </c>
      <c r="E43" s="16" t="s">
        <v>18</v>
      </c>
      <c r="F43" s="17">
        <v>206.99999999999997</v>
      </c>
      <c r="G43" s="18">
        <v>181.45</v>
      </c>
      <c r="H43" s="19">
        <f t="shared" si="0"/>
        <v>37560.149999999994</v>
      </c>
      <c r="I43" s="27">
        <f t="shared" si="1"/>
        <v>2.8968630798255152E-2</v>
      </c>
    </row>
    <row r="44" spans="1:9" ht="15.5" x14ac:dyDescent="0.35">
      <c r="A44" s="16">
        <v>2025</v>
      </c>
      <c r="B44" s="16" t="s">
        <v>26</v>
      </c>
      <c r="C44" s="16" t="s">
        <v>8</v>
      </c>
      <c r="D44" s="16" t="s">
        <v>15</v>
      </c>
      <c r="E44" s="16" t="s">
        <v>16</v>
      </c>
      <c r="F44" s="17">
        <v>144.89999999999998</v>
      </c>
      <c r="G44" s="18">
        <v>85.5</v>
      </c>
      <c r="H44" s="19">
        <f t="shared" si="0"/>
        <v>12388.949999999999</v>
      </c>
      <c r="I44" s="27">
        <f t="shared" si="1"/>
        <v>9.555098116701962E-3</v>
      </c>
    </row>
    <row r="45" spans="1:9" ht="15.5" x14ac:dyDescent="0.35">
      <c r="A45" s="16">
        <v>2025</v>
      </c>
      <c r="B45" s="16" t="s">
        <v>26</v>
      </c>
      <c r="C45" s="16" t="s">
        <v>14</v>
      </c>
      <c r="D45" s="16" t="s">
        <v>9</v>
      </c>
      <c r="E45" s="16" t="s">
        <v>10</v>
      </c>
      <c r="F45" s="17">
        <v>79.349999999999994</v>
      </c>
      <c r="G45" s="18">
        <v>293.55</v>
      </c>
      <c r="H45" s="19">
        <f t="shared" si="0"/>
        <v>23293.192500000001</v>
      </c>
      <c r="I45" s="27">
        <f t="shared" si="1"/>
        <v>1.7965101141640436E-2</v>
      </c>
    </row>
    <row r="46" spans="1:9" ht="15.5" x14ac:dyDescent="0.35">
      <c r="A46" s="16">
        <v>2025</v>
      </c>
      <c r="B46" s="16" t="s">
        <v>26</v>
      </c>
      <c r="C46" s="16" t="s">
        <v>14</v>
      </c>
      <c r="D46" s="16" t="s">
        <v>9</v>
      </c>
      <c r="E46" s="16" t="s">
        <v>10</v>
      </c>
      <c r="F46" s="17">
        <v>79.349999999999994</v>
      </c>
      <c r="G46" s="18">
        <v>244.14999999999998</v>
      </c>
      <c r="H46" s="19">
        <f t="shared" si="0"/>
        <v>19373.302499999998</v>
      </c>
      <c r="I46" s="27">
        <f t="shared" si="1"/>
        <v>1.4941847875086057E-2</v>
      </c>
    </row>
    <row r="47" spans="1:9" ht="15.5" x14ac:dyDescent="0.35">
      <c r="A47" s="16">
        <v>2025</v>
      </c>
      <c r="B47" s="16" t="s">
        <v>26</v>
      </c>
      <c r="C47" s="16" t="s">
        <v>14</v>
      </c>
      <c r="D47" s="16" t="s">
        <v>11</v>
      </c>
      <c r="E47" s="16" t="s">
        <v>12</v>
      </c>
      <c r="F47" s="17">
        <v>56.349999999999994</v>
      </c>
      <c r="G47" s="18">
        <v>95</v>
      </c>
      <c r="H47" s="19">
        <f t="shared" si="0"/>
        <v>5353.2499999999991</v>
      </c>
      <c r="I47" s="27">
        <f t="shared" si="1"/>
        <v>4.1287460998094896E-3</v>
      </c>
    </row>
    <row r="48" spans="1:9" ht="15.5" x14ac:dyDescent="0.35">
      <c r="A48" s="16">
        <v>2025</v>
      </c>
      <c r="B48" s="16" t="s">
        <v>26</v>
      </c>
      <c r="C48" s="16" t="s">
        <v>13</v>
      </c>
      <c r="D48" s="16" t="s">
        <v>21</v>
      </c>
      <c r="E48" s="16" t="s">
        <v>22</v>
      </c>
      <c r="F48" s="17">
        <v>201.24999999999997</v>
      </c>
      <c r="G48" s="18">
        <v>262.2</v>
      </c>
      <c r="H48" s="19">
        <f t="shared" si="0"/>
        <v>52767.749999999993</v>
      </c>
      <c r="I48" s="27">
        <f t="shared" si="1"/>
        <v>4.0697640126693538E-2</v>
      </c>
    </row>
    <row r="49" spans="1:9" ht="15.5" x14ac:dyDescent="0.35">
      <c r="A49" s="16">
        <v>2025</v>
      </c>
      <c r="B49" s="16" t="s">
        <v>26</v>
      </c>
      <c r="C49" s="16" t="s">
        <v>14</v>
      </c>
      <c r="D49" s="16" t="s">
        <v>9</v>
      </c>
      <c r="E49" s="16" t="s">
        <v>10</v>
      </c>
      <c r="F49" s="17">
        <v>79.349999999999994</v>
      </c>
      <c r="G49" s="18">
        <v>349.59999999999997</v>
      </c>
      <c r="H49" s="19">
        <f t="shared" si="0"/>
        <v>27740.759999999995</v>
      </c>
      <c r="I49" s="27">
        <f t="shared" si="1"/>
        <v>2.1395330809461745E-2</v>
      </c>
    </row>
    <row r="50" spans="1:9" ht="15.5" x14ac:dyDescent="0.35">
      <c r="A50" s="16">
        <v>2025</v>
      </c>
      <c r="B50" s="16" t="s">
        <v>27</v>
      </c>
      <c r="C50" s="16" t="s">
        <v>19</v>
      </c>
      <c r="D50" s="16" t="s">
        <v>11</v>
      </c>
      <c r="E50" s="16" t="s">
        <v>12</v>
      </c>
      <c r="F50" s="17">
        <v>134.54999999999998</v>
      </c>
      <c r="G50" s="18">
        <v>89.3</v>
      </c>
      <c r="H50" s="19">
        <f t="shared" si="0"/>
        <v>12015.314999999999</v>
      </c>
      <c r="I50" s="27">
        <f t="shared" si="1"/>
        <v>9.2669284909601569E-3</v>
      </c>
    </row>
    <row r="51" spans="1:9" ht="15.5" x14ac:dyDescent="0.35">
      <c r="A51" s="16">
        <v>2025</v>
      </c>
      <c r="B51" s="16" t="s">
        <v>27</v>
      </c>
      <c r="C51" s="16" t="s">
        <v>14</v>
      </c>
      <c r="D51" s="16" t="s">
        <v>15</v>
      </c>
      <c r="E51" s="16" t="s">
        <v>16</v>
      </c>
      <c r="F51" s="17">
        <v>79.349999999999994</v>
      </c>
      <c r="G51" s="18">
        <v>142.5</v>
      </c>
      <c r="H51" s="19">
        <f t="shared" si="0"/>
        <v>11307.375</v>
      </c>
      <c r="I51" s="27">
        <f t="shared" si="1"/>
        <v>8.7209228842914741E-3</v>
      </c>
    </row>
    <row r="52" spans="1:9" ht="15.5" x14ac:dyDescent="0.35">
      <c r="A52" s="4" t="s">
        <v>29</v>
      </c>
      <c r="B52" s="2"/>
      <c r="C52" s="2"/>
      <c r="D52" s="2"/>
      <c r="E52" s="2"/>
      <c r="F52" s="2"/>
      <c r="G52" s="2"/>
      <c r="H52" s="5">
        <f>SUM(H2:H51)</f>
        <v>1296580.0924999993</v>
      </c>
      <c r="I52" s="1"/>
    </row>
    <row r="53" spans="1:9" ht="15.5" x14ac:dyDescent="0.35">
      <c r="I53" s="1"/>
    </row>
    <row r="54" spans="1:9" ht="15.5" x14ac:dyDescent="0.35">
      <c r="I54" s="1"/>
    </row>
    <row r="55" spans="1:9" ht="15.5" x14ac:dyDescent="0.35">
      <c r="I55" s="1"/>
    </row>
    <row r="56" spans="1:9" ht="15.5" x14ac:dyDescent="0.35">
      <c r="I56" s="1"/>
    </row>
    <row r="57" spans="1:9" ht="15.5" x14ac:dyDescent="0.35">
      <c r="I57" s="1"/>
    </row>
    <row r="58" spans="1:9" ht="15.5" x14ac:dyDescent="0.35">
      <c r="I58" s="1"/>
    </row>
    <row r="59" spans="1:9" ht="15.5" x14ac:dyDescent="0.35">
      <c r="I59" s="1"/>
    </row>
    <row r="60" spans="1:9" ht="15.5" x14ac:dyDescent="0.35">
      <c r="I60" s="1"/>
    </row>
    <row r="61" spans="1:9" ht="15.5" x14ac:dyDescent="0.35">
      <c r="I61" s="1"/>
    </row>
    <row r="62" spans="1:9" ht="15.5" x14ac:dyDescent="0.35">
      <c r="I62" s="1"/>
    </row>
    <row r="63" spans="1:9" ht="15.5" x14ac:dyDescent="0.35">
      <c r="I63" s="1"/>
    </row>
    <row r="64" spans="1:9" ht="15.5" x14ac:dyDescent="0.35">
      <c r="I64" s="1"/>
    </row>
    <row r="65" spans="9:9" ht="15.5" x14ac:dyDescent="0.35">
      <c r="I65" s="1"/>
    </row>
    <row r="66" spans="9:9" ht="15.5" x14ac:dyDescent="0.35">
      <c r="I66" s="1"/>
    </row>
    <row r="67" spans="9:9" ht="15.5" x14ac:dyDescent="0.35">
      <c r="I67" s="1"/>
    </row>
    <row r="68" spans="9:9" ht="15.5" x14ac:dyDescent="0.35">
      <c r="I68" s="1"/>
    </row>
    <row r="69" spans="9:9" ht="15.5" x14ac:dyDescent="0.35">
      <c r="I69" s="1"/>
    </row>
    <row r="70" spans="9:9" ht="15.5" x14ac:dyDescent="0.35">
      <c r="I70" s="1"/>
    </row>
    <row r="71" spans="9:9" ht="15.5" x14ac:dyDescent="0.35">
      <c r="I71" s="1"/>
    </row>
    <row r="72" spans="9:9" ht="15.5" x14ac:dyDescent="0.35">
      <c r="I72" s="1"/>
    </row>
    <row r="73" spans="9:9" ht="15.5" x14ac:dyDescent="0.35">
      <c r="I73" s="1"/>
    </row>
    <row r="74" spans="9:9" ht="15.5" x14ac:dyDescent="0.35">
      <c r="I74" s="1"/>
    </row>
    <row r="75" spans="9:9" ht="15.5" x14ac:dyDescent="0.35">
      <c r="I75" s="1"/>
    </row>
    <row r="76" spans="9:9" ht="15.5" x14ac:dyDescent="0.35">
      <c r="I76" s="1"/>
    </row>
    <row r="77" spans="9:9" ht="15.5" x14ac:dyDescent="0.35">
      <c r="I77" s="1"/>
    </row>
    <row r="78" spans="9:9" ht="15.5" x14ac:dyDescent="0.35">
      <c r="I78" s="1"/>
    </row>
    <row r="79" spans="9:9" ht="15.5" x14ac:dyDescent="0.35">
      <c r="I79" s="1"/>
    </row>
    <row r="80" spans="9:9" ht="15.5" x14ac:dyDescent="0.35">
      <c r="I80" s="1"/>
    </row>
    <row r="81" spans="9:9" ht="15.5" x14ac:dyDescent="0.35">
      <c r="I81" s="1"/>
    </row>
    <row r="82" spans="9:9" ht="15.5" x14ac:dyDescent="0.35">
      <c r="I82" s="1"/>
    </row>
    <row r="83" spans="9:9" ht="15.5" x14ac:dyDescent="0.35">
      <c r="I83" s="1"/>
    </row>
    <row r="84" spans="9:9" ht="15.5" x14ac:dyDescent="0.35">
      <c r="I84" s="1"/>
    </row>
    <row r="85" spans="9:9" ht="15.5" x14ac:dyDescent="0.35">
      <c r="I85" s="1"/>
    </row>
    <row r="86" spans="9:9" ht="15.5" x14ac:dyDescent="0.35">
      <c r="I86" s="1"/>
    </row>
    <row r="87" spans="9:9" ht="15.5" x14ac:dyDescent="0.35">
      <c r="I87" s="1"/>
    </row>
    <row r="88" spans="9:9" ht="15.5" x14ac:dyDescent="0.35">
      <c r="I88" s="1"/>
    </row>
    <row r="89" spans="9:9" ht="15.5" x14ac:dyDescent="0.35">
      <c r="I89" s="1"/>
    </row>
    <row r="90" spans="9:9" ht="15.5" x14ac:dyDescent="0.35">
      <c r="I90" s="1"/>
    </row>
    <row r="91" spans="9:9" ht="15.5" x14ac:dyDescent="0.35">
      <c r="I91" s="1"/>
    </row>
    <row r="92" spans="9:9" ht="15.5" x14ac:dyDescent="0.35">
      <c r="I92" s="1"/>
    </row>
    <row r="93" spans="9:9" ht="15.5" x14ac:dyDescent="0.35">
      <c r="I93" s="1"/>
    </row>
    <row r="94" spans="9:9" ht="15.5" x14ac:dyDescent="0.35">
      <c r="I94" s="1"/>
    </row>
    <row r="95" spans="9:9" ht="15.5" x14ac:dyDescent="0.35">
      <c r="I95" s="1"/>
    </row>
    <row r="96" spans="9:9" ht="15.5" x14ac:dyDescent="0.35">
      <c r="I96" s="1"/>
    </row>
    <row r="97" spans="9:9" ht="15.5" x14ac:dyDescent="0.35">
      <c r="I97" s="1"/>
    </row>
    <row r="98" spans="9:9" ht="15.5" x14ac:dyDescent="0.35">
      <c r="I98" s="1"/>
    </row>
    <row r="99" spans="9:9" ht="15.5" x14ac:dyDescent="0.35">
      <c r="I99" s="1"/>
    </row>
    <row r="100" spans="9:9" ht="15.5" x14ac:dyDescent="0.35">
      <c r="I100" s="1"/>
    </row>
    <row r="101" spans="9:9" ht="15.5" x14ac:dyDescent="0.35">
      <c r="I101" s="1"/>
    </row>
    <row r="102" spans="9:9" ht="15.5" x14ac:dyDescent="0.35">
      <c r="I102" s="1"/>
    </row>
    <row r="103" spans="9:9" ht="15.5" x14ac:dyDescent="0.35">
      <c r="I103" s="1"/>
    </row>
    <row r="104" spans="9:9" ht="15.5" x14ac:dyDescent="0.35">
      <c r="I104" s="1"/>
    </row>
    <row r="105" spans="9:9" ht="15.5" x14ac:dyDescent="0.35">
      <c r="I105" s="1"/>
    </row>
    <row r="106" spans="9:9" ht="15.5" x14ac:dyDescent="0.35">
      <c r="I106" s="1"/>
    </row>
    <row r="107" spans="9:9" ht="15.5" x14ac:dyDescent="0.35">
      <c r="I107" s="1"/>
    </row>
    <row r="108" spans="9:9" ht="15.5" x14ac:dyDescent="0.35">
      <c r="I108" s="1"/>
    </row>
    <row r="109" spans="9:9" ht="15.5" x14ac:dyDescent="0.35">
      <c r="I109" s="1"/>
    </row>
    <row r="110" spans="9:9" ht="15.5" x14ac:dyDescent="0.35">
      <c r="I110" s="1"/>
    </row>
    <row r="111" spans="9:9" ht="15.5" x14ac:dyDescent="0.35">
      <c r="I111" s="1"/>
    </row>
    <row r="112" spans="9:9" ht="15.5" x14ac:dyDescent="0.35">
      <c r="I112" s="1"/>
    </row>
    <row r="113" spans="9:9" ht="15.5" x14ac:dyDescent="0.35">
      <c r="I113" s="1"/>
    </row>
    <row r="114" spans="9:9" ht="15.5" x14ac:dyDescent="0.35">
      <c r="I114" s="1"/>
    </row>
    <row r="115" spans="9:9" ht="15.5" x14ac:dyDescent="0.35">
      <c r="I115" s="1"/>
    </row>
    <row r="116" spans="9:9" ht="15.5" x14ac:dyDescent="0.35">
      <c r="I116" s="1"/>
    </row>
    <row r="117" spans="9:9" ht="15.5" x14ac:dyDescent="0.35">
      <c r="I117" s="1"/>
    </row>
    <row r="118" spans="9:9" ht="15.5" x14ac:dyDescent="0.35">
      <c r="I118" s="1"/>
    </row>
    <row r="119" spans="9:9" ht="15.5" x14ac:dyDescent="0.35">
      <c r="I119" s="1"/>
    </row>
    <row r="120" spans="9:9" ht="15.5" x14ac:dyDescent="0.35">
      <c r="I120" s="1"/>
    </row>
    <row r="121" spans="9:9" ht="15.5" x14ac:dyDescent="0.35">
      <c r="I121" s="1"/>
    </row>
    <row r="122" spans="9:9" ht="15.5" x14ac:dyDescent="0.35">
      <c r="I122" s="1"/>
    </row>
    <row r="123" spans="9:9" ht="15.5" x14ac:dyDescent="0.35">
      <c r="I123" s="1"/>
    </row>
    <row r="124" spans="9:9" ht="15.5" x14ac:dyDescent="0.35">
      <c r="I124" s="1"/>
    </row>
    <row r="125" spans="9:9" ht="15.5" x14ac:dyDescent="0.35">
      <c r="I125" s="1"/>
    </row>
    <row r="126" spans="9:9" ht="15.5" x14ac:dyDescent="0.35">
      <c r="I126" s="1"/>
    </row>
    <row r="127" spans="9:9" ht="15.5" x14ac:dyDescent="0.35">
      <c r="I127" s="1"/>
    </row>
    <row r="128" spans="9:9" ht="15.5" x14ac:dyDescent="0.35">
      <c r="I128" s="1"/>
    </row>
    <row r="129" spans="9:9" ht="15.5" x14ac:dyDescent="0.35">
      <c r="I129" s="1"/>
    </row>
    <row r="130" spans="9:9" ht="15.5" x14ac:dyDescent="0.35">
      <c r="I130" s="1"/>
    </row>
    <row r="131" spans="9:9" ht="15.5" x14ac:dyDescent="0.35">
      <c r="I131" s="1"/>
    </row>
    <row r="132" spans="9:9" ht="15.5" x14ac:dyDescent="0.35">
      <c r="I132" s="1"/>
    </row>
    <row r="133" spans="9:9" ht="15.5" x14ac:dyDescent="0.35">
      <c r="I133" s="1"/>
    </row>
    <row r="134" spans="9:9" ht="15.5" x14ac:dyDescent="0.35">
      <c r="I134" s="1"/>
    </row>
    <row r="135" spans="9:9" ht="15.5" x14ac:dyDescent="0.35">
      <c r="I135" s="1"/>
    </row>
    <row r="136" spans="9:9" ht="15.5" x14ac:dyDescent="0.35">
      <c r="I136" s="1"/>
    </row>
    <row r="137" spans="9:9" ht="15.5" x14ac:dyDescent="0.35">
      <c r="I137" s="1"/>
    </row>
    <row r="138" spans="9:9" ht="15.5" x14ac:dyDescent="0.35">
      <c r="I138" s="1"/>
    </row>
    <row r="139" spans="9:9" ht="15.5" x14ac:dyDescent="0.35">
      <c r="I139" s="1"/>
    </row>
    <row r="140" spans="9:9" ht="15.5" x14ac:dyDescent="0.35">
      <c r="I140" s="1"/>
    </row>
    <row r="141" spans="9:9" ht="15.5" x14ac:dyDescent="0.35">
      <c r="I141" s="1"/>
    </row>
    <row r="142" spans="9:9" ht="15.5" x14ac:dyDescent="0.35">
      <c r="I142" s="1"/>
    </row>
    <row r="143" spans="9:9" ht="15.5" x14ac:dyDescent="0.35">
      <c r="I143" s="1"/>
    </row>
    <row r="144" spans="9:9" ht="15.5" x14ac:dyDescent="0.35">
      <c r="I144" s="1"/>
    </row>
    <row r="145" spans="9:9" ht="15.5" x14ac:dyDescent="0.35">
      <c r="I145" s="1"/>
    </row>
    <row r="146" spans="9:9" ht="15.5" x14ac:dyDescent="0.35">
      <c r="I146" s="1"/>
    </row>
    <row r="147" spans="9:9" ht="15.5" x14ac:dyDescent="0.35">
      <c r="I147" s="1"/>
    </row>
    <row r="148" spans="9:9" ht="15.5" x14ac:dyDescent="0.35">
      <c r="I148" s="1"/>
    </row>
    <row r="149" spans="9:9" ht="15.5" x14ac:dyDescent="0.35">
      <c r="I149" s="1"/>
    </row>
  </sheetData>
  <conditionalFormatting sqref="I2:I51">
    <cfRule type="cellIs" dxfId="0" priority="1" operator="greaterThan">
      <formula>0.01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данные по продажам</vt:lpstr>
      <vt:lpstr>зарплата</vt:lpstr>
      <vt:lpstr>Специальная вставка</vt:lpstr>
      <vt:lpstr>Транспонирование</vt:lpstr>
      <vt:lpstr>Аналитическая панель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Решетникова Марина Сергеевна</dc:creator>
  <cp:lastModifiedBy>Erland Adestio Sadana</cp:lastModifiedBy>
  <dcterms:created xsi:type="dcterms:W3CDTF">2026-03-20T10:02:05Z</dcterms:created>
  <dcterms:modified xsi:type="dcterms:W3CDTF">2026-03-23T14:20:51Z</dcterms:modified>
</cp:coreProperties>
</file>