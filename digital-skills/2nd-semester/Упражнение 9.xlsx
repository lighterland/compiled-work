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5EA1E796-346B-4E75-B093-0418D5EA480A}" xr6:coauthVersionLast="47" xr6:coauthVersionMax="47" xr10:uidLastSave="{00000000-0000-0000-0000-000000000000}"/>
  <bookViews>
    <workbookView xWindow="-110" yWindow="-110" windowWidth="29020" windowHeight="17500" xr2:uid="{FB7CBD6B-8002-0043-8AF4-A4266E9CF28F}"/>
  </bookViews>
  <sheets>
    <sheet name="ЕСЛ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8" i="1" l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07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186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67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45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2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01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78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54" i="1"/>
  <c r="E33" i="1"/>
  <c r="E34" i="1"/>
  <c r="E35" i="1"/>
  <c r="E36" i="1"/>
  <c r="E37" i="1"/>
  <c r="E38" i="1"/>
  <c r="E39" i="1"/>
  <c r="E40" i="1"/>
  <c r="E41" i="1"/>
  <c r="E42" i="1"/>
  <c r="E43" i="1"/>
  <c r="E44" i="1"/>
  <c r="E32" i="1"/>
  <c r="D33" i="1"/>
  <c r="D34" i="1"/>
  <c r="D35" i="1"/>
  <c r="D36" i="1"/>
  <c r="D37" i="1"/>
  <c r="D38" i="1"/>
  <c r="D39" i="1"/>
  <c r="D40" i="1"/>
  <c r="D41" i="1"/>
  <c r="D42" i="1"/>
  <c r="D43" i="1"/>
  <c r="D44" i="1"/>
  <c r="D32" i="1"/>
  <c r="C4" i="1"/>
  <c r="C5" i="1"/>
  <c r="C6" i="1"/>
  <c r="C7" i="1"/>
  <c r="C8" i="1"/>
  <c r="C9" i="1"/>
  <c r="C10" i="1"/>
  <c r="C11" i="1"/>
  <c r="C12" i="1"/>
  <c r="C13" i="1"/>
  <c r="C3" i="1"/>
</calcChain>
</file>

<file path=xl/sharedStrings.xml><?xml version="1.0" encoding="utf-8"?>
<sst xmlns="http://schemas.openxmlformats.org/spreadsheetml/2006/main" count="198" uniqueCount="77">
  <si>
    <t>Cотрудник</t>
  </si>
  <si>
    <t>План</t>
  </si>
  <si>
    <t>Факт</t>
  </si>
  <si>
    <t>План выполнен?</t>
  </si>
  <si>
    <t>Ендогурова Лидия Михаиловна</t>
  </si>
  <si>
    <t>Зайчиков Леонид Эдуардович</t>
  </si>
  <si>
    <t>Засурская Маргарита Георгиевна</t>
  </si>
  <si>
    <t>Илюхина Ольга Владимировна</t>
  </si>
  <si>
    <t>Казаченко Эльмира Ильдаровна</t>
  </si>
  <si>
    <t>Капинос Руслан Васильевич</t>
  </si>
  <si>
    <t>Катревич Алексей Александрович</t>
  </si>
  <si>
    <t>Корепанов Роман Семенович</t>
  </si>
  <si>
    <t>Кочумов Григорий Ринатович</t>
  </si>
  <si>
    <t>Кропачев Борис Геннадьевич</t>
  </si>
  <si>
    <t>Маляев Ян Сергеевич</t>
  </si>
  <si>
    <t>Пескарева Анастасия Владимировна</t>
  </si>
  <si>
    <t>Сорочкина Светлана Дамировна</t>
  </si>
  <si>
    <t xml:space="preserve">Наименование товара </t>
  </si>
  <si>
    <t>Остаток на складе</t>
  </si>
  <si>
    <t>Наличие ?</t>
  </si>
  <si>
    <t>Торт "Малиновое облако"</t>
  </si>
  <si>
    <t>Торт "Соленая карамель"</t>
  </si>
  <si>
    <t>Торт Фисташковый</t>
  </si>
  <si>
    <t>Трюфель "Граф"</t>
  </si>
  <si>
    <t>Конфеты "Вишня в шоколаде"</t>
  </si>
  <si>
    <t>Зефир "Легкость"</t>
  </si>
  <si>
    <t>Брауни "Империя"</t>
  </si>
  <si>
    <t>Конфеты "Лагуна"</t>
  </si>
  <si>
    <t>Конфеты "Ореховый пралине"</t>
  </si>
  <si>
    <t>Конфеты "Северная ягода"</t>
  </si>
  <si>
    <t>Печенье песочное</t>
  </si>
  <si>
    <t>Печеннье "Медовый хруст"</t>
  </si>
  <si>
    <t>Эклер</t>
  </si>
  <si>
    <t>Лимонный тарт</t>
  </si>
  <si>
    <t>Бонус?</t>
  </si>
  <si>
    <t>ФУНКЦИЯ ЕСЛИ</t>
  </si>
  <si>
    <t>ФУНКЦИЯ ЕСЛИ + И</t>
  </si>
  <si>
    <t>Срок хранения, мес</t>
  </si>
  <si>
    <t>Переоценка?</t>
  </si>
  <si>
    <t>Отработано дней</t>
  </si>
  <si>
    <t>Премия?</t>
  </si>
  <si>
    <t>Отчет сдан?</t>
  </si>
  <si>
    <t>Да</t>
  </si>
  <si>
    <t>Нет</t>
  </si>
  <si>
    <t>Cтатус</t>
  </si>
  <si>
    <t>ФУНКЦИЯ ЕСЛИ + ИЛИ</t>
  </si>
  <si>
    <t>Списать?</t>
  </si>
  <si>
    <t>Клиент ID</t>
  </si>
  <si>
    <t>Количество покупок</t>
  </si>
  <si>
    <t>Cкидочная карта</t>
  </si>
  <si>
    <t>Cтатус скидки</t>
  </si>
  <si>
    <t xml:space="preserve"> Нет</t>
  </si>
  <si>
    <t>Экзамен по информатике</t>
  </si>
  <si>
    <t>Студенты</t>
  </si>
  <si>
    <t>Баллы</t>
  </si>
  <si>
    <t>Результат</t>
  </si>
  <si>
    <t>Зернова</t>
  </si>
  <si>
    <t>Перов</t>
  </si>
  <si>
    <t>Синицын</t>
  </si>
  <si>
    <t>Сорокин</t>
  </si>
  <si>
    <t>Уткин</t>
  </si>
  <si>
    <t>Курочкин</t>
  </si>
  <si>
    <t>Павлинова</t>
  </si>
  <si>
    <t>Дятлова</t>
  </si>
  <si>
    <t>Петухова</t>
  </si>
  <si>
    <t>Воробьев</t>
  </si>
  <si>
    <t>Воронова</t>
  </si>
  <si>
    <t>Шкала оценок</t>
  </si>
  <si>
    <t>Условия</t>
  </si>
  <si>
    <t>&gt;65</t>
  </si>
  <si>
    <t>Сдал</t>
  </si>
  <si>
    <t>&lt;65</t>
  </si>
  <si>
    <t>Не сдал</t>
  </si>
  <si>
    <t xml:space="preserve">Название товара </t>
  </si>
  <si>
    <t>Cтоимость на момент поступления</t>
  </si>
  <si>
    <t>Cрок хранения, мес</t>
  </si>
  <si>
    <t>Cтоимость с учетом переоценки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</si>
</sst>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₽&quot;_-;\-* #,##0.00\ &quot;₽&quot;_-;_-* &quot;-&quot;??\ &quot;₽&quot;_-;_-@_-"/>
    <numFmt numFmtId="165" formatCode="_-* #,##0.00_-;\-* #,##0.00_-;_-* &quot;-&quot;??_-;_-@_-"/>
    <numFmt numFmtId="166" formatCode="#,##0\ &quot;₽&quot;"/>
  </numFmts>
  <fonts count="1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  <font>
      <b/>
      <sz val="11"/>
      <color theme="0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0"/>
      <name val="Aptos Narrow"/>
      <scheme val="minor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sz val="16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/>
        <bgColor theme="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rgb="FF009999"/>
      </right>
      <top/>
      <bottom style="thin">
        <color rgb="FF00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</cellStyleXfs>
  <cellXfs count="29">
    <xf numFmtId="0" fontId="0" fillId="0" borderId="0" xfId="0"/>
    <xf numFmtId="0" fontId="0" fillId="6" borderId="0" xfId="0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0" borderId="0" xfId="0" applyFont="1"/>
    <xf numFmtId="14" fontId="5" fillId="0" borderId="4" xfId="0" applyNumberFormat="1" applyFont="1" applyBorder="1"/>
    <xf numFmtId="166" fontId="4" fillId="0" borderId="0" xfId="1" applyNumberFormat="1" applyFont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3"/>
    <xf numFmtId="0" fontId="4" fillId="7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left"/>
    </xf>
    <xf numFmtId="49" fontId="5" fillId="0" borderId="4" xfId="2" applyNumberFormat="1" applyFont="1" applyBorder="1"/>
    <xf numFmtId="1" fontId="4" fillId="0" borderId="0" xfId="1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3" borderId="5" xfId="4" applyFont="1" applyBorder="1" applyAlignment="1">
      <alignment horizontal="center" vertical="center"/>
    </xf>
    <xf numFmtId="0" fontId="4" fillId="4" borderId="5" xfId="5" applyFont="1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/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8" fillId="2" borderId="0" xfId="3" applyFont="1" applyAlignment="1">
      <alignment horizontal="left"/>
    </xf>
    <xf numFmtId="0" fontId="10" fillId="7" borderId="0" xfId="0" applyFont="1" applyFill="1" applyAlignment="1">
      <alignment horizontal="left"/>
    </xf>
    <xf numFmtId="0" fontId="11" fillId="3" borderId="5" xfId="4" applyFont="1" applyBorder="1" applyAlignment="1">
      <alignment horizontal="center"/>
    </xf>
    <xf numFmtId="0" fontId="9" fillId="3" borderId="5" xfId="4" applyFont="1" applyBorder="1" applyAlignment="1">
      <alignment horizontal="center"/>
    </xf>
  </cellXfs>
  <cellStyles count="6">
    <cellStyle name="40% - Accent6" xfId="5" builtinId="51"/>
    <cellStyle name="Accent4" xfId="3" builtinId="41"/>
    <cellStyle name="Accent6" xfId="4" builtinId="49"/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22</xdr:row>
      <xdr:rowOff>25400</xdr:rowOff>
    </xdr:from>
    <xdr:to>
      <xdr:col>8</xdr:col>
      <xdr:colOff>0</xdr:colOff>
      <xdr:row>29</xdr:row>
      <xdr:rowOff>63500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09263F26-6108-6D54-E1D5-2DA21F36441F}"/>
            </a:ext>
          </a:extLst>
        </xdr:cNvPr>
        <xdr:cNvSpPr/>
      </xdr:nvSpPr>
      <xdr:spPr>
        <a:xfrm>
          <a:off x="25400" y="25400"/>
          <a:ext cx="10236200" cy="1460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таблице дана информация  о плановых и фактических продажах сотрудников.</a:t>
          </a:r>
          <a:b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столбце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chemeClr val="accent5">
                  <a:lumMod val="7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План выполнен?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с помощью функции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ЕСЛИ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укажите: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Да, если  продажи больше или равны плану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Нет, если продажи меньше плана</a:t>
          </a: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столбце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chemeClr val="accent5">
                  <a:lumMod val="7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Бонус?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с помощью функции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ЕСЛИ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укажите:</a:t>
          </a: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Да, если выполнен план (В столбце "План выполнен?" стоит Да)</a:t>
          </a: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Нет, если не выполнен план (В столбце "План выполнен?" стоит Нет)</a:t>
          </a:r>
        </a:p>
        <a:p>
          <a:pPr algn="l"/>
          <a:endParaRPr lang="ru-RU" sz="1100"/>
        </a:p>
      </xdr:txBody>
    </xdr:sp>
    <xdr:clientData/>
  </xdr:twoCellAnchor>
  <xdr:twoCellAnchor>
    <xdr:from>
      <xdr:col>0</xdr:col>
      <xdr:colOff>0</xdr:colOff>
      <xdr:row>46</xdr:row>
      <xdr:rowOff>76200</xdr:rowOff>
    </xdr:from>
    <xdr:to>
      <xdr:col>7</xdr:col>
      <xdr:colOff>800100</xdr:colOff>
      <xdr:row>51</xdr:row>
      <xdr:rowOff>101600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F640C435-65B2-A147-A698-D5465C41CBE4}"/>
            </a:ext>
          </a:extLst>
        </xdr:cNvPr>
        <xdr:cNvSpPr/>
      </xdr:nvSpPr>
      <xdr:spPr>
        <a:xfrm>
          <a:off x="0" y="5410200"/>
          <a:ext cx="10236200" cy="1041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таблице дана информация  об остатках товара на складе.</a:t>
          </a:r>
          <a:b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столбце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chemeClr val="accent5">
                  <a:lumMod val="7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Наличие?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с помощью функции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ЕСЛИ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укажите: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Да, если остаток больше нуля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Нет, если остаток меньше или равно нулю</a:t>
          </a:r>
        </a:p>
        <a:p>
          <a:pPr algn="l"/>
          <a:endParaRPr lang="ru-RU" sz="1100"/>
        </a:p>
      </xdr:txBody>
    </xdr:sp>
    <xdr:clientData/>
  </xdr:twoCellAnchor>
  <xdr:twoCellAnchor>
    <xdr:from>
      <xdr:col>0</xdr:col>
      <xdr:colOff>0</xdr:colOff>
      <xdr:row>70</xdr:row>
      <xdr:rowOff>0</xdr:rowOff>
    </xdr:from>
    <xdr:to>
      <xdr:col>7</xdr:col>
      <xdr:colOff>800100</xdr:colOff>
      <xdr:row>75</xdr:row>
      <xdr:rowOff>25400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E1F88ECC-B9AF-FC40-AEDC-ACE492012E0F}"/>
            </a:ext>
          </a:extLst>
        </xdr:cNvPr>
        <xdr:cNvSpPr/>
      </xdr:nvSpPr>
      <xdr:spPr>
        <a:xfrm>
          <a:off x="0" y="13864167"/>
          <a:ext cx="10703872" cy="10001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таблице дана информация о товарах на складе.</a:t>
          </a:r>
          <a:b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столбце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chemeClr val="accent5">
                  <a:lumMod val="7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Переоценка?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с помощью функции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ЕСЛИ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+ И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укажите: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Да, если остаток больше нуля и срок хранения меньше 6 месяцев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Нет, если остаток больше нуля и срок хранения больше 6 месяцев</a:t>
          </a:r>
        </a:p>
        <a:p>
          <a:pPr algn="l"/>
          <a:endParaRPr lang="ru-RU" sz="1100"/>
        </a:p>
      </xdr:txBody>
    </xdr:sp>
    <xdr:clientData/>
  </xdr:twoCellAnchor>
  <xdr:twoCellAnchor>
    <xdr:from>
      <xdr:col>0</xdr:col>
      <xdr:colOff>0</xdr:colOff>
      <xdr:row>93</xdr:row>
      <xdr:rowOff>0</xdr:rowOff>
    </xdr:from>
    <xdr:to>
      <xdr:col>7</xdr:col>
      <xdr:colOff>800100</xdr:colOff>
      <xdr:row>98</xdr:row>
      <xdr:rowOff>50800</xdr:rowOff>
    </xdr:to>
    <xdr:sp macro="" textlink="">
      <xdr:nvSpPr>
        <xdr:cNvPr id="6" name="Прямоугольник 5">
          <a:extLst>
            <a:ext uri="{FF2B5EF4-FFF2-40B4-BE49-F238E27FC236}">
              <a16:creationId xmlns:a16="http://schemas.microsoft.com/office/drawing/2014/main" id="{3887F8D9-C0F8-2A42-9447-50AD196FDEA4}"/>
            </a:ext>
          </a:extLst>
        </xdr:cNvPr>
        <xdr:cNvSpPr/>
      </xdr:nvSpPr>
      <xdr:spPr>
        <a:xfrm>
          <a:off x="0" y="14884400"/>
          <a:ext cx="10439400" cy="10668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таблице дана информация  о продажах сотрудников</a:t>
          </a: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и отработанных дней.</a:t>
          </a:r>
          <a:b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столбце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chemeClr val="accent5">
                  <a:lumMod val="7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Премия?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с помощью функции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ЕСЛИ + И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укажите: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Есть премия, если  продажи больше или равны плану, а также количество отработанных дней больше или равно равно 20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Нет премии, если продажи меньше плана, а также количество отработанных дней меньше 20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algn="l"/>
          <a:endParaRPr lang="ru-RU" sz="1100"/>
        </a:p>
      </xdr:txBody>
    </xdr:sp>
    <xdr:clientData/>
  </xdr:twoCellAnchor>
  <xdr:twoCellAnchor>
    <xdr:from>
      <xdr:col>0</xdr:col>
      <xdr:colOff>0</xdr:colOff>
      <xdr:row>114</xdr:row>
      <xdr:rowOff>127000</xdr:rowOff>
    </xdr:from>
    <xdr:to>
      <xdr:col>7</xdr:col>
      <xdr:colOff>800100</xdr:colOff>
      <xdr:row>118</xdr:row>
      <xdr:rowOff>25400</xdr:rowOff>
    </xdr:to>
    <xdr:sp macro="" textlink="">
      <xdr:nvSpPr>
        <xdr:cNvPr id="7" name="Прямоугольник 6">
          <a:extLst>
            <a:ext uri="{FF2B5EF4-FFF2-40B4-BE49-F238E27FC236}">
              <a16:creationId xmlns:a16="http://schemas.microsoft.com/office/drawing/2014/main" id="{ECCB473A-1785-8B48-9353-9CFD8BC3C73E}"/>
            </a:ext>
          </a:extLst>
        </xdr:cNvPr>
        <xdr:cNvSpPr/>
      </xdr:nvSpPr>
      <xdr:spPr>
        <a:xfrm>
          <a:off x="0" y="19278600"/>
          <a:ext cx="10439400" cy="7112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таблице дана информация  о продажах сотрудников</a:t>
          </a: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и предоставленном отчете.</a:t>
          </a:r>
          <a:b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столбце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chemeClr val="accent5">
                  <a:lumMod val="7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Статус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с помощью функции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ЕСЛИ + И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укажите статус сотрудника "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Перевод в штат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" при условии, что фактические продажи превышают плановые, отчет загружен в систему. В противном случае, ему присвваивается статус "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Уволен"</a:t>
          </a:r>
          <a:endParaRPr kumimoji="0" lang="en-US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algn="l"/>
          <a:endParaRPr lang="ru-RU" sz="1100"/>
        </a:p>
      </xdr:txBody>
    </xdr:sp>
    <xdr:clientData/>
  </xdr:twoCellAnchor>
  <xdr:twoCellAnchor>
    <xdr:from>
      <xdr:col>0</xdr:col>
      <xdr:colOff>0</xdr:colOff>
      <xdr:row>137</xdr:row>
      <xdr:rowOff>0</xdr:rowOff>
    </xdr:from>
    <xdr:to>
      <xdr:col>7</xdr:col>
      <xdr:colOff>800100</xdr:colOff>
      <xdr:row>142</xdr:row>
      <xdr:rowOff>25400</xdr:rowOff>
    </xdr:to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AAF05171-835B-F845-87BC-4BD0A76DB821}"/>
            </a:ext>
          </a:extLst>
        </xdr:cNvPr>
        <xdr:cNvSpPr/>
      </xdr:nvSpPr>
      <xdr:spPr>
        <a:xfrm>
          <a:off x="0" y="23825200"/>
          <a:ext cx="10439400" cy="1041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таблице дана информация  об остатках товара на складе.</a:t>
          </a:r>
          <a:b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столбце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chemeClr val="accent5">
                  <a:lumMod val="7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Списать?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с помощью функции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ЕСЛИ + ИЛИ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укажите статус товара "Списан" при условии, что либо остаток на складе меньше 15, либо срок храненения превышает 6 месяцев. В противном случае товар остается на складе.    </a:t>
          </a:r>
          <a:endParaRPr lang="ru-RU" sz="1100"/>
        </a:p>
      </xdr:txBody>
    </xdr:sp>
    <xdr:clientData/>
  </xdr:twoCellAnchor>
  <xdr:twoCellAnchor>
    <xdr:from>
      <xdr:col>0</xdr:col>
      <xdr:colOff>0</xdr:colOff>
      <xdr:row>160</xdr:row>
      <xdr:rowOff>0</xdr:rowOff>
    </xdr:from>
    <xdr:to>
      <xdr:col>7</xdr:col>
      <xdr:colOff>800100</xdr:colOff>
      <xdr:row>163</xdr:row>
      <xdr:rowOff>165100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5546B76E-D077-9E4A-BEC7-92E8047E5BAD}"/>
            </a:ext>
          </a:extLst>
        </xdr:cNvPr>
        <xdr:cNvSpPr/>
      </xdr:nvSpPr>
      <xdr:spPr>
        <a:xfrm>
          <a:off x="0" y="28498800"/>
          <a:ext cx="10439400" cy="774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таблице дана информация  о клиентах и их покупках.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В столбце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chemeClr val="accent5">
                  <a:lumMod val="7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Статус скидки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с помощью функции </a:t>
          </a:r>
          <a:r>
            <a:rPr kumimoji="0" lang="ru-RU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ЕСЛИ + ИЛИ 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укажите статус скидки "Применена" при условии, что либо количество покупок больше 5 либо у него нет еще скидочной карты .    </a:t>
          </a:r>
          <a:endParaRPr lang="ru-RU" sz="1100"/>
        </a:p>
      </xdr:txBody>
    </xdr:sp>
    <xdr:clientData/>
  </xdr:twoCellAnchor>
  <xdr:twoCellAnchor>
    <xdr:from>
      <xdr:col>3</xdr:col>
      <xdr:colOff>177800</xdr:colOff>
      <xdr:row>0</xdr:row>
      <xdr:rowOff>38100</xdr:rowOff>
    </xdr:from>
    <xdr:to>
      <xdr:col>7</xdr:col>
      <xdr:colOff>774700</xdr:colOff>
      <xdr:row>14</xdr:row>
      <xdr:rowOff>12700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B88073D5-C32C-A14E-987B-671E6ABD9AEE}"/>
            </a:ext>
          </a:extLst>
        </xdr:cNvPr>
        <xdr:cNvSpPr/>
      </xdr:nvSpPr>
      <xdr:spPr>
        <a:xfrm>
          <a:off x="5765800" y="38100"/>
          <a:ext cx="4927600" cy="28829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002060"/>
              </a:solidFill>
            </a:rPr>
            <a:t>Синтаксис</a:t>
          </a:r>
          <a:r>
            <a:rPr lang="ru-RU" sz="1400" b="1" baseline="0">
              <a:solidFill>
                <a:srgbClr val="002060"/>
              </a:solidFill>
            </a:rPr>
            <a:t> функции</a:t>
          </a:r>
        </a:p>
        <a:p>
          <a:pPr algn="l"/>
          <a:r>
            <a:rPr lang="ru-RU" sz="1200" b="1" baseline="0">
              <a:solidFill>
                <a:srgbClr val="002060"/>
              </a:solidFill>
            </a:rPr>
            <a:t>Если </a:t>
          </a:r>
          <a:r>
            <a:rPr lang="ru-RU" sz="1200" b="0" baseline="0">
              <a:solidFill>
                <a:srgbClr val="002060"/>
              </a:solidFill>
            </a:rPr>
            <a:t>(логическое выражение; значение_если_истина; значение_если_ложь)</a:t>
          </a:r>
        </a:p>
        <a:p>
          <a:pPr algn="l"/>
          <a:endParaRPr lang="ru-RU" sz="1200" b="0" baseline="0">
            <a:solidFill>
              <a:srgbClr val="002060"/>
            </a:solidFill>
          </a:endParaRPr>
        </a:p>
        <a:p>
          <a:pPr algn="l"/>
          <a:endParaRPr lang="ru-RU" sz="1200" b="0" baseline="0">
            <a:solidFill>
              <a:srgbClr val="002060"/>
            </a:solidFill>
          </a:endParaRPr>
        </a:p>
        <a:p>
          <a:pPr algn="l"/>
          <a:r>
            <a:rPr lang="ru-RU" sz="1200" b="0" baseline="0">
              <a:solidFill>
                <a:srgbClr val="002060"/>
              </a:solidFill>
            </a:rPr>
            <a:t>1) </a:t>
          </a:r>
          <a:r>
            <a:rPr lang="ru-RU" sz="1200" b="1" baseline="0">
              <a:solidFill>
                <a:srgbClr val="002060"/>
              </a:solidFill>
            </a:rPr>
            <a:t>логическое выражение </a:t>
          </a:r>
          <a:r>
            <a:rPr lang="ru-RU" sz="1200" b="0" baseline="0">
              <a:solidFill>
                <a:srgbClr val="002060"/>
              </a:solidFill>
            </a:rPr>
            <a:t>- условие, которое мы хотим проверить (в качестве результата должно быть значение ИСТИНА или ЛОЖЬ)</a:t>
          </a:r>
        </a:p>
        <a:p>
          <a:pPr algn="l"/>
          <a:endParaRPr lang="ru-RU" sz="1200" b="0" baseline="0">
            <a:solidFill>
              <a:srgbClr val="002060"/>
            </a:solidFill>
          </a:endParaRPr>
        </a:p>
        <a:p>
          <a:pPr algn="l"/>
          <a:r>
            <a:rPr lang="ru-RU" sz="1200" b="0" baseline="0">
              <a:solidFill>
                <a:srgbClr val="002060"/>
              </a:solidFill>
            </a:rPr>
            <a:t>2) </a:t>
          </a:r>
          <a:r>
            <a:rPr lang="ru-RU" sz="1200" b="1" baseline="0">
              <a:solidFill>
                <a:srgbClr val="002060"/>
              </a:solidFill>
            </a:rPr>
            <a:t>значение_если_истина </a:t>
          </a:r>
          <a:r>
            <a:rPr lang="ru-RU" sz="1200" b="0" baseline="0">
              <a:solidFill>
                <a:srgbClr val="002060"/>
              </a:solidFill>
            </a:rPr>
            <a:t>- что выводит функция, если условие выполнено</a:t>
          </a:r>
        </a:p>
        <a:p>
          <a:pPr algn="l"/>
          <a:endParaRPr lang="ru-RU" sz="1200" b="0" baseline="0">
            <a:solidFill>
              <a:srgbClr val="002060"/>
            </a:solidFill>
          </a:endParaRPr>
        </a:p>
        <a:p>
          <a:pPr algn="l"/>
          <a:r>
            <a:rPr lang="ru-RU" sz="1200" b="0" baseline="0">
              <a:solidFill>
                <a:srgbClr val="002060"/>
              </a:solidFill>
            </a:rPr>
            <a:t>3)</a:t>
          </a:r>
          <a:r>
            <a:rPr lang="ru-RU" sz="1200" b="1" baseline="0">
              <a:solidFill>
                <a:srgbClr val="002060"/>
              </a:solidFill>
            </a:rPr>
            <a:t>значение_если_ложь</a:t>
          </a:r>
          <a:r>
            <a:rPr lang="ru-RU" sz="1200" b="0" baseline="0">
              <a:solidFill>
                <a:srgbClr val="002060"/>
              </a:solidFill>
            </a:rPr>
            <a:t> - что выводит функция, если условие не выполнено</a:t>
          </a:r>
        </a:p>
        <a:p>
          <a:pPr algn="l"/>
          <a:endParaRPr lang="ru-RU" sz="1050" b="0" baseline="0">
            <a:solidFill>
              <a:srgbClr val="002060"/>
            </a:solidFill>
          </a:endParaRPr>
        </a:p>
        <a:p>
          <a:pPr algn="l"/>
          <a:endParaRPr lang="ru-RU" sz="1050" b="0" baseline="0">
            <a:solidFill>
              <a:srgbClr val="002060"/>
            </a:solidFill>
          </a:endParaRPr>
        </a:p>
      </xdr:txBody>
    </xdr:sp>
    <xdr:clientData/>
  </xdr:twoCellAnchor>
  <xdr:twoCellAnchor>
    <xdr:from>
      <xdr:col>0</xdr:col>
      <xdr:colOff>0</xdr:colOff>
      <xdr:row>181</xdr:row>
      <xdr:rowOff>0</xdr:rowOff>
    </xdr:from>
    <xdr:to>
      <xdr:col>7</xdr:col>
      <xdr:colOff>800100</xdr:colOff>
      <xdr:row>183</xdr:row>
      <xdr:rowOff>25400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A7E04D83-408E-E043-BF36-5A0A4890F723}"/>
            </a:ext>
          </a:extLst>
        </xdr:cNvPr>
        <xdr:cNvSpPr/>
      </xdr:nvSpPr>
      <xdr:spPr>
        <a:xfrm>
          <a:off x="0" y="36893500"/>
          <a:ext cx="10718800" cy="4318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Необходимо переоценить товарные остатки. Если продукт хранится на складе дольше 8 месяцев, уменьшить его цену в 2 раза.</a:t>
          </a:r>
          <a:endParaRPr lang="ru-RU" sz="1100"/>
        </a:p>
      </xdr:txBody>
    </xdr:sp>
    <xdr:clientData/>
  </xdr:twoCellAnchor>
  <xdr:twoCellAnchor>
    <xdr:from>
      <xdr:col>0</xdr:col>
      <xdr:colOff>0</xdr:colOff>
      <xdr:row>201</xdr:row>
      <xdr:rowOff>0</xdr:rowOff>
    </xdr:from>
    <xdr:to>
      <xdr:col>7</xdr:col>
      <xdr:colOff>800100</xdr:colOff>
      <xdr:row>204</xdr:row>
      <xdr:rowOff>12700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191EE02F-E8EA-644D-8A85-D4C8B4CB5D64}"/>
            </a:ext>
          </a:extLst>
        </xdr:cNvPr>
        <xdr:cNvSpPr/>
      </xdr:nvSpPr>
      <xdr:spPr>
        <a:xfrm>
          <a:off x="0" y="41160700"/>
          <a:ext cx="10706100" cy="622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Усложним задачу. Теперь условие такое: если товар хранится дольше 8 месяцев, то его стоимость уменьшается в 2 раза. Если дольше 5 месяцев, но меньше 8 – в 1,5 раза.</a:t>
          </a:r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8598-8EF3-244C-85EA-4761C999C507}">
  <dimension ref="A1:H220"/>
  <sheetViews>
    <sheetView tabSelected="1" topLeftCell="A199" zoomScale="114" workbookViewId="0">
      <selection activeCell="D214" sqref="D214"/>
    </sheetView>
  </sheetViews>
  <sheetFormatPr defaultColWidth="10.83203125" defaultRowHeight="15.5" x14ac:dyDescent="0.35"/>
  <cols>
    <col min="1" max="1" width="33.6640625" style="5" bestFit="1" customWidth="1"/>
    <col min="2" max="2" width="21.33203125" style="5" customWidth="1"/>
    <col min="3" max="3" width="17.33203125" style="5" customWidth="1"/>
    <col min="4" max="4" width="21.5" style="5" customWidth="1"/>
    <col min="5" max="5" width="14.5" style="5" bestFit="1" customWidth="1"/>
    <col min="6" max="16384" width="10.83203125" style="5"/>
  </cols>
  <sheetData>
    <row r="1" spans="1:3" ht="21" x14ac:dyDescent="0.5">
      <c r="A1" s="27" t="s">
        <v>52</v>
      </c>
      <c r="B1" s="27"/>
      <c r="C1" s="27"/>
    </row>
    <row r="2" spans="1:3" x14ac:dyDescent="0.35">
      <c r="A2" s="18" t="s">
        <v>53</v>
      </c>
      <c r="B2" s="18" t="s">
        <v>54</v>
      </c>
      <c r="C2" s="18" t="s">
        <v>55</v>
      </c>
    </row>
    <row r="3" spans="1:3" x14ac:dyDescent="0.35">
      <c r="A3" s="19" t="s">
        <v>56</v>
      </c>
      <c r="B3" s="20">
        <v>95</v>
      </c>
      <c r="C3" s="21" t="str">
        <f>IF(B3&lt;65,$B$18,$B$17)</f>
        <v>Сдал</v>
      </c>
    </row>
    <row r="4" spans="1:3" x14ac:dyDescent="0.35">
      <c r="A4" s="19" t="s">
        <v>57</v>
      </c>
      <c r="B4" s="20">
        <v>71</v>
      </c>
      <c r="C4" s="21" t="str">
        <f t="shared" ref="C4:C13" si="0">IF(B4&lt;65,$B$18,$B$17)</f>
        <v>Сдал</v>
      </c>
    </row>
    <row r="5" spans="1:3" x14ac:dyDescent="0.35">
      <c r="A5" s="19" t="s">
        <v>58</v>
      </c>
      <c r="B5" s="20">
        <v>63</v>
      </c>
      <c r="C5" s="21" t="str">
        <f t="shared" si="0"/>
        <v>Не сдал</v>
      </c>
    </row>
    <row r="6" spans="1:3" ht="16" customHeight="1" x14ac:dyDescent="0.35">
      <c r="A6" s="19" t="s">
        <v>59</v>
      </c>
      <c r="B6" s="20">
        <v>50</v>
      </c>
      <c r="C6" s="21" t="str">
        <f t="shared" si="0"/>
        <v>Не сдал</v>
      </c>
    </row>
    <row r="7" spans="1:3" x14ac:dyDescent="0.35">
      <c r="A7" s="19" t="s">
        <v>60</v>
      </c>
      <c r="B7" s="20">
        <v>34</v>
      </c>
      <c r="C7" s="21" t="str">
        <f t="shared" si="0"/>
        <v>Не сдал</v>
      </c>
    </row>
    <row r="8" spans="1:3" x14ac:dyDescent="0.35">
      <c r="A8" s="19" t="s">
        <v>61</v>
      </c>
      <c r="B8" s="20">
        <v>56</v>
      </c>
      <c r="C8" s="21" t="str">
        <f t="shared" si="0"/>
        <v>Не сдал</v>
      </c>
    </row>
    <row r="9" spans="1:3" x14ac:dyDescent="0.35">
      <c r="A9" s="19" t="s">
        <v>62</v>
      </c>
      <c r="B9" s="20">
        <v>92</v>
      </c>
      <c r="C9" s="21" t="str">
        <f t="shared" si="0"/>
        <v>Сдал</v>
      </c>
    </row>
    <row r="10" spans="1:3" x14ac:dyDescent="0.35">
      <c r="A10" s="19" t="s">
        <v>63</v>
      </c>
      <c r="B10" s="20">
        <v>86</v>
      </c>
      <c r="C10" s="21" t="str">
        <f t="shared" si="0"/>
        <v>Сдал</v>
      </c>
    </row>
    <row r="11" spans="1:3" x14ac:dyDescent="0.35">
      <c r="A11" s="19" t="s">
        <v>64</v>
      </c>
      <c r="B11" s="20">
        <v>80</v>
      </c>
      <c r="C11" s="21" t="str">
        <f t="shared" si="0"/>
        <v>Сдал</v>
      </c>
    </row>
    <row r="12" spans="1:3" x14ac:dyDescent="0.35">
      <c r="A12" s="19" t="s">
        <v>65</v>
      </c>
      <c r="B12" s="20">
        <v>73</v>
      </c>
      <c r="C12" s="21" t="str">
        <f t="shared" si="0"/>
        <v>Сдал</v>
      </c>
    </row>
    <row r="13" spans="1:3" x14ac:dyDescent="0.35">
      <c r="A13" s="19" t="s">
        <v>66</v>
      </c>
      <c r="B13" s="20">
        <v>68</v>
      </c>
      <c r="C13" s="21" t="str">
        <f t="shared" si="0"/>
        <v>Сдал</v>
      </c>
    </row>
    <row r="15" spans="1:3" x14ac:dyDescent="0.35">
      <c r="A15" s="28" t="s">
        <v>67</v>
      </c>
      <c r="B15" s="28"/>
    </row>
    <row r="16" spans="1:3" x14ac:dyDescent="0.35">
      <c r="A16" s="18" t="s">
        <v>68</v>
      </c>
      <c r="B16" s="18" t="s">
        <v>55</v>
      </c>
    </row>
    <row r="17" spans="1:8" x14ac:dyDescent="0.35">
      <c r="A17" s="20" t="s">
        <v>69</v>
      </c>
      <c r="B17" s="20" t="s">
        <v>70</v>
      </c>
    </row>
    <row r="18" spans="1:8" x14ac:dyDescent="0.35">
      <c r="A18" s="20" t="s">
        <v>71</v>
      </c>
      <c r="B18" s="20" t="s">
        <v>72</v>
      </c>
    </row>
    <row r="21" spans="1:8" s="10" customFormat="1" ht="20" customHeight="1" x14ac:dyDescent="0.4">
      <c r="A21" s="25" t="s">
        <v>35</v>
      </c>
      <c r="B21" s="25"/>
      <c r="C21" s="25"/>
      <c r="D21" s="25"/>
      <c r="E21" s="25"/>
      <c r="F21" s="25"/>
      <c r="G21" s="25"/>
      <c r="H21" s="25"/>
    </row>
    <row r="31" spans="1:8" x14ac:dyDescent="0.35">
      <c r="A31" s="2" t="s">
        <v>0</v>
      </c>
      <c r="B31" s="3" t="s">
        <v>1</v>
      </c>
      <c r="C31" s="3" t="s">
        <v>2</v>
      </c>
      <c r="D31" s="4" t="s">
        <v>3</v>
      </c>
      <c r="E31" s="4" t="s">
        <v>34</v>
      </c>
    </row>
    <row r="32" spans="1:8" x14ac:dyDescent="0.35">
      <c r="A32" s="6" t="s">
        <v>4</v>
      </c>
      <c r="B32" s="7">
        <v>120000</v>
      </c>
      <c r="C32" s="7">
        <v>125000</v>
      </c>
      <c r="D32" s="8" t="str">
        <f>IF(C32&gt;=B32,"Да","Нет")</f>
        <v>Да</v>
      </c>
      <c r="E32" s="8" t="str">
        <f>D32</f>
        <v>Да</v>
      </c>
    </row>
    <row r="33" spans="1:5" x14ac:dyDescent="0.35">
      <c r="A33" s="6" t="s">
        <v>5</v>
      </c>
      <c r="B33" s="7">
        <v>100000</v>
      </c>
      <c r="C33" s="7">
        <v>100000</v>
      </c>
      <c r="D33" s="8" t="str">
        <f t="shared" ref="D33:D44" si="1">IF(C33&gt;=B33,"Да","Нет")</f>
        <v>Да</v>
      </c>
      <c r="E33" s="8" t="str">
        <f t="shared" ref="E33:E44" si="2">D33</f>
        <v>Да</v>
      </c>
    </row>
    <row r="34" spans="1:5" x14ac:dyDescent="0.35">
      <c r="A34" s="6" t="s">
        <v>6</v>
      </c>
      <c r="B34" s="7">
        <v>130000</v>
      </c>
      <c r="C34" s="7">
        <v>90000</v>
      </c>
      <c r="D34" s="8" t="str">
        <f t="shared" si="1"/>
        <v>Нет</v>
      </c>
      <c r="E34" s="8" t="str">
        <f t="shared" si="2"/>
        <v>Нет</v>
      </c>
    </row>
    <row r="35" spans="1:5" x14ac:dyDescent="0.35">
      <c r="A35" s="6" t="s">
        <v>7</v>
      </c>
      <c r="B35" s="7">
        <v>90000</v>
      </c>
      <c r="C35" s="7">
        <v>95000</v>
      </c>
      <c r="D35" s="8" t="str">
        <f t="shared" si="1"/>
        <v>Да</v>
      </c>
      <c r="E35" s="8" t="str">
        <f t="shared" si="2"/>
        <v>Да</v>
      </c>
    </row>
    <row r="36" spans="1:5" x14ac:dyDescent="0.35">
      <c r="A36" s="6" t="s">
        <v>8</v>
      </c>
      <c r="B36" s="7">
        <v>97500</v>
      </c>
      <c r="C36" s="7">
        <v>88000</v>
      </c>
      <c r="D36" s="8" t="str">
        <f t="shared" si="1"/>
        <v>Нет</v>
      </c>
      <c r="E36" s="8" t="str">
        <f t="shared" si="2"/>
        <v>Нет</v>
      </c>
    </row>
    <row r="37" spans="1:5" x14ac:dyDescent="0.35">
      <c r="A37" s="6" t="s">
        <v>9</v>
      </c>
      <c r="B37" s="7">
        <v>110000</v>
      </c>
      <c r="C37" s="7">
        <v>110000</v>
      </c>
      <c r="D37" s="8" t="str">
        <f t="shared" si="1"/>
        <v>Да</v>
      </c>
      <c r="E37" s="8" t="str">
        <f t="shared" si="2"/>
        <v>Да</v>
      </c>
    </row>
    <row r="38" spans="1:5" x14ac:dyDescent="0.35">
      <c r="A38" s="6" t="s">
        <v>10</v>
      </c>
      <c r="B38" s="7">
        <v>89000</v>
      </c>
      <c r="C38" s="7">
        <v>88000</v>
      </c>
      <c r="D38" s="8" t="str">
        <f t="shared" si="1"/>
        <v>Нет</v>
      </c>
      <c r="E38" s="8" t="str">
        <f t="shared" si="2"/>
        <v>Нет</v>
      </c>
    </row>
    <row r="39" spans="1:5" x14ac:dyDescent="0.35">
      <c r="A39" s="6" t="s">
        <v>11</v>
      </c>
      <c r="B39" s="7">
        <v>193000</v>
      </c>
      <c r="C39" s="7">
        <v>194000</v>
      </c>
      <c r="D39" s="8" t="str">
        <f t="shared" si="1"/>
        <v>Да</v>
      </c>
      <c r="E39" s="8" t="str">
        <f t="shared" si="2"/>
        <v>Да</v>
      </c>
    </row>
    <row r="40" spans="1:5" x14ac:dyDescent="0.35">
      <c r="A40" s="6" t="s">
        <v>12</v>
      </c>
      <c r="B40" s="7">
        <v>185000</v>
      </c>
      <c r="C40" s="7">
        <v>190000</v>
      </c>
      <c r="D40" s="8" t="str">
        <f t="shared" si="1"/>
        <v>Да</v>
      </c>
      <c r="E40" s="8" t="str">
        <f t="shared" si="2"/>
        <v>Да</v>
      </c>
    </row>
    <row r="41" spans="1:5" x14ac:dyDescent="0.35">
      <c r="A41" s="6" t="s">
        <v>13</v>
      </c>
      <c r="B41" s="7">
        <v>198000</v>
      </c>
      <c r="C41" s="7">
        <v>200000</v>
      </c>
      <c r="D41" s="8" t="str">
        <f t="shared" si="1"/>
        <v>Да</v>
      </c>
      <c r="E41" s="8" t="str">
        <f t="shared" si="2"/>
        <v>Да</v>
      </c>
    </row>
    <row r="42" spans="1:5" x14ac:dyDescent="0.35">
      <c r="A42" s="6" t="s">
        <v>14</v>
      </c>
      <c r="B42" s="7">
        <v>150500</v>
      </c>
      <c r="C42" s="7">
        <v>151000</v>
      </c>
      <c r="D42" s="8" t="str">
        <f t="shared" si="1"/>
        <v>Да</v>
      </c>
      <c r="E42" s="8" t="str">
        <f t="shared" si="2"/>
        <v>Да</v>
      </c>
    </row>
    <row r="43" spans="1:5" x14ac:dyDescent="0.35">
      <c r="A43" s="6" t="s">
        <v>15</v>
      </c>
      <c r="B43" s="7">
        <v>140000</v>
      </c>
      <c r="C43" s="7">
        <v>140500</v>
      </c>
      <c r="D43" s="8" t="str">
        <f t="shared" si="1"/>
        <v>Да</v>
      </c>
      <c r="E43" s="8" t="str">
        <f t="shared" si="2"/>
        <v>Да</v>
      </c>
    </row>
    <row r="44" spans="1:5" x14ac:dyDescent="0.35">
      <c r="A44" s="6" t="s">
        <v>16</v>
      </c>
      <c r="B44" s="7">
        <v>130000</v>
      </c>
      <c r="C44" s="7">
        <v>131000</v>
      </c>
      <c r="D44" s="8" t="str">
        <f t="shared" si="1"/>
        <v>Да</v>
      </c>
      <c r="E44" s="8" t="str">
        <f t="shared" si="2"/>
        <v>Да</v>
      </c>
    </row>
    <row r="53" spans="1:3" x14ac:dyDescent="0.35">
      <c r="A53" s="2" t="s">
        <v>17</v>
      </c>
      <c r="B53" s="3" t="s">
        <v>18</v>
      </c>
      <c r="C53" s="3" t="s">
        <v>19</v>
      </c>
    </row>
    <row r="54" spans="1:3" ht="16" x14ac:dyDescent="0.4">
      <c r="A54" s="6" t="s">
        <v>20</v>
      </c>
      <c r="B54" s="9">
        <v>12</v>
      </c>
      <c r="C54" s="1" t="str">
        <f>IF(B54&lt;1,"Нет","Да")</f>
        <v>Да</v>
      </c>
    </row>
    <row r="55" spans="1:3" ht="16" x14ac:dyDescent="0.4">
      <c r="A55" s="6" t="s">
        <v>21</v>
      </c>
      <c r="B55" s="9">
        <v>1</v>
      </c>
      <c r="C55" s="1" t="str">
        <f t="shared" ref="C55:C67" si="3">IF(B55&lt;1,"Нет","Да")</f>
        <v>Да</v>
      </c>
    </row>
    <row r="56" spans="1:3" ht="16" x14ac:dyDescent="0.4">
      <c r="A56" s="6" t="s">
        <v>22</v>
      </c>
      <c r="B56" s="9">
        <v>0</v>
      </c>
      <c r="C56" s="1" t="str">
        <f t="shared" si="3"/>
        <v>Нет</v>
      </c>
    </row>
    <row r="57" spans="1:3" ht="16" x14ac:dyDescent="0.4">
      <c r="A57" s="6" t="s">
        <v>23</v>
      </c>
      <c r="B57" s="9">
        <v>2</v>
      </c>
      <c r="C57" s="1" t="str">
        <f t="shared" si="3"/>
        <v>Да</v>
      </c>
    </row>
    <row r="58" spans="1:3" ht="16" x14ac:dyDescent="0.4">
      <c r="A58" s="6" t="s">
        <v>24</v>
      </c>
      <c r="B58" s="9">
        <v>10</v>
      </c>
      <c r="C58" s="1" t="str">
        <f t="shared" si="3"/>
        <v>Да</v>
      </c>
    </row>
    <row r="59" spans="1:3" ht="16" x14ac:dyDescent="0.4">
      <c r="A59" s="6" t="s">
        <v>25</v>
      </c>
      <c r="B59" s="9">
        <v>14</v>
      </c>
      <c r="C59" s="1" t="str">
        <f t="shared" si="3"/>
        <v>Да</v>
      </c>
    </row>
    <row r="60" spans="1:3" ht="16" x14ac:dyDescent="0.4">
      <c r="A60" s="6" t="s">
        <v>26</v>
      </c>
      <c r="B60" s="9">
        <v>14</v>
      </c>
      <c r="C60" s="1" t="str">
        <f t="shared" si="3"/>
        <v>Да</v>
      </c>
    </row>
    <row r="61" spans="1:3" ht="16" x14ac:dyDescent="0.4">
      <c r="A61" s="6" t="s">
        <v>27</v>
      </c>
      <c r="B61" s="9">
        <v>0</v>
      </c>
      <c r="C61" s="1" t="str">
        <f t="shared" si="3"/>
        <v>Нет</v>
      </c>
    </row>
    <row r="62" spans="1:3" ht="16" x14ac:dyDescent="0.4">
      <c r="A62" s="6" t="s">
        <v>28</v>
      </c>
      <c r="B62" s="9">
        <v>1</v>
      </c>
      <c r="C62" s="1" t="str">
        <f t="shared" si="3"/>
        <v>Да</v>
      </c>
    </row>
    <row r="63" spans="1:3" ht="16" x14ac:dyDescent="0.4">
      <c r="A63" s="6" t="s">
        <v>29</v>
      </c>
      <c r="B63" s="9">
        <v>0</v>
      </c>
      <c r="C63" s="1" t="str">
        <f t="shared" si="3"/>
        <v>Нет</v>
      </c>
    </row>
    <row r="64" spans="1:3" ht="16" x14ac:dyDescent="0.4">
      <c r="A64" s="6" t="s">
        <v>30</v>
      </c>
      <c r="B64" s="9">
        <v>0</v>
      </c>
      <c r="C64" s="1" t="str">
        <f t="shared" si="3"/>
        <v>Нет</v>
      </c>
    </row>
    <row r="65" spans="1:8" ht="16" x14ac:dyDescent="0.4">
      <c r="A65" s="6" t="s">
        <v>31</v>
      </c>
      <c r="B65" s="9">
        <v>8</v>
      </c>
      <c r="C65" s="1" t="str">
        <f t="shared" si="3"/>
        <v>Да</v>
      </c>
    </row>
    <row r="66" spans="1:8" ht="16" x14ac:dyDescent="0.4">
      <c r="A66" s="6" t="s">
        <v>32</v>
      </c>
      <c r="B66" s="9">
        <v>5</v>
      </c>
      <c r="C66" s="1" t="str">
        <f t="shared" si="3"/>
        <v>Да</v>
      </c>
    </row>
    <row r="67" spans="1:8" ht="16" x14ac:dyDescent="0.4">
      <c r="A67" s="6" t="s">
        <v>33</v>
      </c>
      <c r="B67" s="9">
        <v>2</v>
      </c>
      <c r="C67" s="1" t="str">
        <f t="shared" si="3"/>
        <v>Да</v>
      </c>
    </row>
    <row r="69" spans="1:8" s="11" customFormat="1" x14ac:dyDescent="0.35">
      <c r="A69" s="26" t="s">
        <v>36</v>
      </c>
      <c r="B69" s="26"/>
      <c r="C69" s="26"/>
      <c r="D69" s="26"/>
      <c r="E69" s="26"/>
      <c r="F69" s="26"/>
      <c r="G69" s="26"/>
      <c r="H69" s="26"/>
    </row>
    <row r="77" spans="1:8" x14ac:dyDescent="0.35">
      <c r="A77" s="2" t="s">
        <v>17</v>
      </c>
      <c r="B77" s="3" t="s">
        <v>18</v>
      </c>
      <c r="C77" s="3" t="s">
        <v>37</v>
      </c>
      <c r="D77" s="3" t="s">
        <v>38</v>
      </c>
    </row>
    <row r="78" spans="1:8" ht="16" x14ac:dyDescent="0.4">
      <c r="A78" s="6" t="s">
        <v>20</v>
      </c>
      <c r="B78" s="9">
        <v>12</v>
      </c>
      <c r="C78" s="12">
        <v>8</v>
      </c>
      <c r="D78" s="1" t="str">
        <f>IF(AND(B78&gt;0,C78&lt;6),"Да",IF(AND(B78&gt;0,C78&gt;6),"Нет","-"))</f>
        <v>Нет</v>
      </c>
    </row>
    <row r="79" spans="1:8" ht="16" x14ac:dyDescent="0.4">
      <c r="A79" s="6" t="s">
        <v>21</v>
      </c>
      <c r="B79" s="9">
        <v>1</v>
      </c>
      <c r="C79" s="12">
        <v>5</v>
      </c>
      <c r="D79" s="1" t="str">
        <f t="shared" ref="D79:D91" si="4">IF(AND(B79&gt;0,C79&lt;6),"Да",IF(AND(B79&gt;0,C79&gt;6),"Нет","-"))</f>
        <v>Да</v>
      </c>
    </row>
    <row r="80" spans="1:8" ht="16" x14ac:dyDescent="0.4">
      <c r="A80" s="6" t="s">
        <v>22</v>
      </c>
      <c r="B80" s="9">
        <v>0</v>
      </c>
      <c r="C80" s="12">
        <v>7</v>
      </c>
      <c r="D80" s="1" t="str">
        <f t="shared" si="4"/>
        <v>-</v>
      </c>
    </row>
    <row r="81" spans="1:4" ht="16" x14ac:dyDescent="0.4">
      <c r="A81" s="6" t="s">
        <v>23</v>
      </c>
      <c r="B81" s="9">
        <v>2</v>
      </c>
      <c r="C81" s="12">
        <v>3</v>
      </c>
      <c r="D81" s="1" t="str">
        <f t="shared" si="4"/>
        <v>Да</v>
      </c>
    </row>
    <row r="82" spans="1:4" ht="16" x14ac:dyDescent="0.4">
      <c r="A82" s="6" t="s">
        <v>24</v>
      </c>
      <c r="B82" s="9">
        <v>10</v>
      </c>
      <c r="C82" s="12">
        <v>4</v>
      </c>
      <c r="D82" s="1" t="str">
        <f t="shared" si="4"/>
        <v>Да</v>
      </c>
    </row>
    <row r="83" spans="1:4" ht="16" x14ac:dyDescent="0.4">
      <c r="A83" s="6" t="s">
        <v>25</v>
      </c>
      <c r="B83" s="9">
        <v>14</v>
      </c>
      <c r="C83" s="12">
        <v>8</v>
      </c>
      <c r="D83" s="1" t="str">
        <f t="shared" si="4"/>
        <v>Нет</v>
      </c>
    </row>
    <row r="84" spans="1:4" ht="16" x14ac:dyDescent="0.4">
      <c r="A84" s="6" t="s">
        <v>26</v>
      </c>
      <c r="B84" s="9">
        <v>14</v>
      </c>
      <c r="C84" s="12">
        <v>5</v>
      </c>
      <c r="D84" s="1" t="str">
        <f t="shared" si="4"/>
        <v>Да</v>
      </c>
    </row>
    <row r="85" spans="1:4" ht="16" x14ac:dyDescent="0.4">
      <c r="A85" s="6" t="s">
        <v>27</v>
      </c>
      <c r="B85" s="9">
        <v>0</v>
      </c>
      <c r="C85" s="12">
        <v>5</v>
      </c>
      <c r="D85" s="1" t="str">
        <f t="shared" si="4"/>
        <v>-</v>
      </c>
    </row>
    <row r="86" spans="1:4" ht="16" x14ac:dyDescent="0.4">
      <c r="A86" s="6" t="s">
        <v>28</v>
      </c>
      <c r="B86" s="9">
        <v>1</v>
      </c>
      <c r="C86" s="12">
        <v>5</v>
      </c>
      <c r="D86" s="1" t="str">
        <f t="shared" si="4"/>
        <v>Да</v>
      </c>
    </row>
    <row r="87" spans="1:4" ht="16" x14ac:dyDescent="0.4">
      <c r="A87" s="6" t="s">
        <v>29</v>
      </c>
      <c r="B87" s="9">
        <v>0</v>
      </c>
      <c r="C87" s="12">
        <v>4</v>
      </c>
      <c r="D87" s="1" t="str">
        <f t="shared" si="4"/>
        <v>-</v>
      </c>
    </row>
    <row r="88" spans="1:4" ht="16" x14ac:dyDescent="0.4">
      <c r="A88" s="6" t="s">
        <v>30</v>
      </c>
      <c r="B88" s="9">
        <v>0</v>
      </c>
      <c r="C88" s="12">
        <v>8</v>
      </c>
      <c r="D88" s="1" t="str">
        <f t="shared" si="4"/>
        <v>-</v>
      </c>
    </row>
    <row r="89" spans="1:4" ht="16" x14ac:dyDescent="0.4">
      <c r="A89" s="6" t="s">
        <v>31</v>
      </c>
      <c r="B89" s="9">
        <v>8</v>
      </c>
      <c r="C89" s="12">
        <v>10</v>
      </c>
      <c r="D89" s="1" t="str">
        <f t="shared" si="4"/>
        <v>Нет</v>
      </c>
    </row>
    <row r="90" spans="1:4" ht="16" x14ac:dyDescent="0.4">
      <c r="A90" s="6" t="s">
        <v>32</v>
      </c>
      <c r="B90" s="9">
        <v>5</v>
      </c>
      <c r="C90" s="12">
        <v>2</v>
      </c>
      <c r="D90" s="1" t="str">
        <f t="shared" si="4"/>
        <v>Да</v>
      </c>
    </row>
    <row r="91" spans="1:4" ht="16" x14ac:dyDescent="0.4">
      <c r="A91" s="6" t="s">
        <v>33</v>
      </c>
      <c r="B91" s="9">
        <v>2</v>
      </c>
      <c r="C91" s="12">
        <v>1</v>
      </c>
      <c r="D91" s="1" t="str">
        <f t="shared" si="4"/>
        <v>Да</v>
      </c>
    </row>
    <row r="100" spans="1:5" x14ac:dyDescent="0.35">
      <c r="A100" s="2" t="s">
        <v>0</v>
      </c>
      <c r="B100" s="3" t="s">
        <v>1</v>
      </c>
      <c r="C100" s="3" t="s">
        <v>2</v>
      </c>
      <c r="D100" s="4" t="s">
        <v>39</v>
      </c>
      <c r="E100" s="4" t="s">
        <v>40</v>
      </c>
    </row>
    <row r="101" spans="1:5" x14ac:dyDescent="0.35">
      <c r="A101" s="6" t="s">
        <v>4</v>
      </c>
      <c r="B101" s="7">
        <v>120000</v>
      </c>
      <c r="C101" s="7">
        <v>110000</v>
      </c>
      <c r="D101" s="13">
        <v>20</v>
      </c>
      <c r="E101" s="8" t="str">
        <f>IF(AND(C101&gt;=B101,D101&gt;=20),"Есть премия","Нет премии")</f>
        <v>Нет премии</v>
      </c>
    </row>
    <row r="102" spans="1:5" x14ac:dyDescent="0.35">
      <c r="A102" s="6" t="s">
        <v>5</v>
      </c>
      <c r="B102" s="7">
        <v>100000</v>
      </c>
      <c r="C102" s="7">
        <v>100000</v>
      </c>
      <c r="D102" s="13">
        <v>19</v>
      </c>
      <c r="E102" s="8" t="str">
        <f t="shared" ref="E102:E113" si="5">IF(AND(C102&gt;=B102,D102&gt;=20),"Есть премия","Нет премии")</f>
        <v>Нет премии</v>
      </c>
    </row>
    <row r="103" spans="1:5" x14ac:dyDescent="0.35">
      <c r="A103" s="6" t="s">
        <v>6</v>
      </c>
      <c r="B103" s="7">
        <v>130000</v>
      </c>
      <c r="C103" s="7">
        <v>90000</v>
      </c>
      <c r="D103" s="13">
        <v>22</v>
      </c>
      <c r="E103" s="8" t="str">
        <f t="shared" si="5"/>
        <v>Нет премии</v>
      </c>
    </row>
    <row r="104" spans="1:5" x14ac:dyDescent="0.35">
      <c r="A104" s="6" t="s">
        <v>7</v>
      </c>
      <c r="B104" s="7">
        <v>90000</v>
      </c>
      <c r="C104" s="7">
        <v>95000</v>
      </c>
      <c r="D104" s="13">
        <v>21</v>
      </c>
      <c r="E104" s="8" t="str">
        <f t="shared" si="5"/>
        <v>Есть премия</v>
      </c>
    </row>
    <row r="105" spans="1:5" x14ac:dyDescent="0.35">
      <c r="A105" s="6" t="s">
        <v>8</v>
      </c>
      <c r="B105" s="7">
        <v>97500</v>
      </c>
      <c r="C105" s="7">
        <v>88000</v>
      </c>
      <c r="D105" s="13">
        <v>15</v>
      </c>
      <c r="E105" s="8" t="str">
        <f t="shared" si="5"/>
        <v>Нет премии</v>
      </c>
    </row>
    <row r="106" spans="1:5" x14ac:dyDescent="0.35">
      <c r="A106" s="6" t="s">
        <v>9</v>
      </c>
      <c r="B106" s="7">
        <v>110000</v>
      </c>
      <c r="C106" s="7">
        <v>120000</v>
      </c>
      <c r="D106" s="13">
        <v>22</v>
      </c>
      <c r="E106" s="8" t="str">
        <f t="shared" si="5"/>
        <v>Есть премия</v>
      </c>
    </row>
    <row r="107" spans="1:5" x14ac:dyDescent="0.35">
      <c r="A107" s="6" t="s">
        <v>10</v>
      </c>
      <c r="B107" s="7">
        <v>89000</v>
      </c>
      <c r="C107" s="7">
        <v>88000</v>
      </c>
      <c r="D107" s="13">
        <v>21</v>
      </c>
      <c r="E107" s="8" t="str">
        <f t="shared" si="5"/>
        <v>Нет премии</v>
      </c>
    </row>
    <row r="108" spans="1:5" x14ac:dyDescent="0.35">
      <c r="A108" s="6" t="s">
        <v>11</v>
      </c>
      <c r="B108" s="7">
        <v>193000</v>
      </c>
      <c r="C108" s="7">
        <v>194000</v>
      </c>
      <c r="D108" s="13">
        <v>15</v>
      </c>
      <c r="E108" s="8" t="str">
        <f t="shared" si="5"/>
        <v>Нет премии</v>
      </c>
    </row>
    <row r="109" spans="1:5" x14ac:dyDescent="0.35">
      <c r="A109" s="6" t="s">
        <v>12</v>
      </c>
      <c r="B109" s="7">
        <v>185000</v>
      </c>
      <c r="C109" s="7">
        <v>190000</v>
      </c>
      <c r="D109" s="13">
        <v>20</v>
      </c>
      <c r="E109" s="8" t="str">
        <f t="shared" si="5"/>
        <v>Есть премия</v>
      </c>
    </row>
    <row r="110" spans="1:5" x14ac:dyDescent="0.35">
      <c r="A110" s="6" t="s">
        <v>13</v>
      </c>
      <c r="B110" s="7">
        <v>198000</v>
      </c>
      <c r="C110" s="7">
        <v>200000</v>
      </c>
      <c r="D110" s="13">
        <v>19</v>
      </c>
      <c r="E110" s="8" t="str">
        <f t="shared" si="5"/>
        <v>Нет премии</v>
      </c>
    </row>
    <row r="111" spans="1:5" x14ac:dyDescent="0.35">
      <c r="A111" s="6" t="s">
        <v>14</v>
      </c>
      <c r="B111" s="7">
        <v>150500</v>
      </c>
      <c r="C111" s="7">
        <v>151000</v>
      </c>
      <c r="D111" s="13">
        <v>21</v>
      </c>
      <c r="E111" s="8" t="str">
        <f t="shared" si="5"/>
        <v>Есть премия</v>
      </c>
    </row>
    <row r="112" spans="1:5" x14ac:dyDescent="0.35">
      <c r="A112" s="6" t="s">
        <v>15</v>
      </c>
      <c r="B112" s="7">
        <v>140000</v>
      </c>
      <c r="C112" s="7">
        <v>140500</v>
      </c>
      <c r="D112" s="13">
        <v>20</v>
      </c>
      <c r="E112" s="8" t="str">
        <f t="shared" si="5"/>
        <v>Есть премия</v>
      </c>
    </row>
    <row r="113" spans="1:5" x14ac:dyDescent="0.35">
      <c r="A113" s="6" t="s">
        <v>16</v>
      </c>
      <c r="B113" s="7">
        <v>130000</v>
      </c>
      <c r="C113" s="7">
        <v>131000</v>
      </c>
      <c r="D113" s="13">
        <v>23</v>
      </c>
      <c r="E113" s="8" t="str">
        <f t="shared" si="5"/>
        <v>Есть премия</v>
      </c>
    </row>
    <row r="120" spans="1:5" x14ac:dyDescent="0.35">
      <c r="A120" s="2" t="s">
        <v>0</v>
      </c>
      <c r="B120" s="3" t="s">
        <v>1</v>
      </c>
      <c r="C120" s="3" t="s">
        <v>2</v>
      </c>
      <c r="D120" s="4" t="s">
        <v>41</v>
      </c>
      <c r="E120" s="4" t="s">
        <v>44</v>
      </c>
    </row>
    <row r="121" spans="1:5" x14ac:dyDescent="0.35">
      <c r="A121" s="6" t="s">
        <v>4</v>
      </c>
      <c r="B121" s="7">
        <v>120000</v>
      </c>
      <c r="C121" s="7">
        <v>110000</v>
      </c>
      <c r="D121" s="13" t="s">
        <v>42</v>
      </c>
      <c r="E121" s="8" t="str">
        <f>IF(AND(C121&gt;=B121,D121="Да"),"Перевод в штат","Уволен")</f>
        <v>Уволен</v>
      </c>
    </row>
    <row r="122" spans="1:5" x14ac:dyDescent="0.35">
      <c r="A122" s="6" t="s">
        <v>5</v>
      </c>
      <c r="B122" s="7">
        <v>100000</v>
      </c>
      <c r="C122" s="7">
        <v>100000</v>
      </c>
      <c r="D122" s="13" t="s">
        <v>43</v>
      </c>
      <c r="E122" s="8" t="str">
        <f t="shared" ref="E122:E133" si="6">IF(AND(C122&gt;=B122,D122="Да"),"Перевод в штат","Уволен")</f>
        <v>Уволен</v>
      </c>
    </row>
    <row r="123" spans="1:5" x14ac:dyDescent="0.35">
      <c r="A123" s="6" t="s">
        <v>6</v>
      </c>
      <c r="B123" s="7">
        <v>130000</v>
      </c>
      <c r="C123" s="7">
        <v>90000</v>
      </c>
      <c r="D123" s="13" t="s">
        <v>42</v>
      </c>
      <c r="E123" s="8" t="str">
        <f t="shared" si="6"/>
        <v>Уволен</v>
      </c>
    </row>
    <row r="124" spans="1:5" x14ac:dyDescent="0.35">
      <c r="A124" s="6" t="s">
        <v>7</v>
      </c>
      <c r="B124" s="7">
        <v>90000</v>
      </c>
      <c r="C124" s="7">
        <v>95000</v>
      </c>
      <c r="D124" s="13" t="s">
        <v>42</v>
      </c>
      <c r="E124" s="8" t="str">
        <f t="shared" si="6"/>
        <v>Перевод в штат</v>
      </c>
    </row>
    <row r="125" spans="1:5" x14ac:dyDescent="0.35">
      <c r="A125" s="6" t="s">
        <v>8</v>
      </c>
      <c r="B125" s="7">
        <v>97500</v>
      </c>
      <c r="C125" s="7">
        <v>88000</v>
      </c>
      <c r="D125" s="13" t="s">
        <v>43</v>
      </c>
      <c r="E125" s="8" t="str">
        <f t="shared" si="6"/>
        <v>Уволен</v>
      </c>
    </row>
    <row r="126" spans="1:5" x14ac:dyDescent="0.35">
      <c r="A126" s="6" t="s">
        <v>9</v>
      </c>
      <c r="B126" s="7">
        <v>110000</v>
      </c>
      <c r="C126" s="7">
        <v>120000</v>
      </c>
      <c r="D126" s="13" t="s">
        <v>42</v>
      </c>
      <c r="E126" s="8" t="str">
        <f t="shared" si="6"/>
        <v>Перевод в штат</v>
      </c>
    </row>
    <row r="127" spans="1:5" x14ac:dyDescent="0.35">
      <c r="A127" s="6" t="s">
        <v>10</v>
      </c>
      <c r="B127" s="7">
        <v>89000</v>
      </c>
      <c r="C127" s="7">
        <v>88000</v>
      </c>
      <c r="D127" s="13" t="s">
        <v>43</v>
      </c>
      <c r="E127" s="8" t="str">
        <f t="shared" si="6"/>
        <v>Уволен</v>
      </c>
    </row>
    <row r="128" spans="1:5" x14ac:dyDescent="0.35">
      <c r="A128" s="6" t="s">
        <v>11</v>
      </c>
      <c r="B128" s="7">
        <v>193000</v>
      </c>
      <c r="C128" s="7">
        <v>194000</v>
      </c>
      <c r="D128" s="13" t="s">
        <v>42</v>
      </c>
      <c r="E128" s="8" t="str">
        <f t="shared" si="6"/>
        <v>Перевод в штат</v>
      </c>
    </row>
    <row r="129" spans="1:8" x14ac:dyDescent="0.35">
      <c r="A129" s="6" t="s">
        <v>12</v>
      </c>
      <c r="B129" s="7">
        <v>185000</v>
      </c>
      <c r="C129" s="7">
        <v>190000</v>
      </c>
      <c r="D129" s="13" t="s">
        <v>43</v>
      </c>
      <c r="E129" s="8" t="str">
        <f t="shared" si="6"/>
        <v>Уволен</v>
      </c>
    </row>
    <row r="130" spans="1:8" x14ac:dyDescent="0.35">
      <c r="A130" s="6" t="s">
        <v>13</v>
      </c>
      <c r="B130" s="7">
        <v>198000</v>
      </c>
      <c r="C130" s="7">
        <v>200000</v>
      </c>
      <c r="D130" s="13" t="s">
        <v>42</v>
      </c>
      <c r="E130" s="8" t="str">
        <f t="shared" si="6"/>
        <v>Перевод в штат</v>
      </c>
    </row>
    <row r="131" spans="1:8" x14ac:dyDescent="0.35">
      <c r="A131" s="6" t="s">
        <v>14</v>
      </c>
      <c r="B131" s="7">
        <v>150500</v>
      </c>
      <c r="C131" s="7">
        <v>151000</v>
      </c>
      <c r="D131" s="13" t="s">
        <v>43</v>
      </c>
      <c r="E131" s="8" t="str">
        <f t="shared" si="6"/>
        <v>Уволен</v>
      </c>
    </row>
    <row r="132" spans="1:8" x14ac:dyDescent="0.35">
      <c r="A132" s="6" t="s">
        <v>15</v>
      </c>
      <c r="B132" s="7">
        <v>140000</v>
      </c>
      <c r="C132" s="7">
        <v>140500</v>
      </c>
      <c r="D132" s="13" t="s">
        <v>42</v>
      </c>
      <c r="E132" s="8" t="str">
        <f t="shared" si="6"/>
        <v>Перевод в штат</v>
      </c>
    </row>
    <row r="133" spans="1:8" x14ac:dyDescent="0.35">
      <c r="A133" s="6" t="s">
        <v>16</v>
      </c>
      <c r="B133" s="7">
        <v>130000</v>
      </c>
      <c r="C133" s="7">
        <v>131000</v>
      </c>
      <c r="D133" s="13" t="s">
        <v>43</v>
      </c>
      <c r="E133" s="8" t="str">
        <f t="shared" si="6"/>
        <v>Уволен</v>
      </c>
    </row>
    <row r="136" spans="1:8" s="11" customFormat="1" x14ac:dyDescent="0.35">
      <c r="A136" s="26" t="s">
        <v>45</v>
      </c>
      <c r="B136" s="26"/>
      <c r="C136" s="26"/>
      <c r="D136" s="26"/>
      <c r="E136" s="26"/>
      <c r="F136" s="26"/>
      <c r="G136" s="26"/>
      <c r="H136" s="26"/>
    </row>
    <row r="144" spans="1:8" x14ac:dyDescent="0.35">
      <c r="A144" s="2" t="s">
        <v>17</v>
      </c>
      <c r="B144" s="3" t="s">
        <v>18</v>
      </c>
      <c r="C144" s="3" t="s">
        <v>37</v>
      </c>
      <c r="D144" s="3" t="s">
        <v>46</v>
      </c>
    </row>
    <row r="145" spans="1:4" ht="16" x14ac:dyDescent="0.4">
      <c r="A145" s="6" t="s">
        <v>20</v>
      </c>
      <c r="B145" s="9">
        <v>12</v>
      </c>
      <c r="C145" s="12">
        <v>8</v>
      </c>
      <c r="D145" s="1" t="str">
        <f>IF(OR(B145&lt;15,C145&gt;6),"Списан","-")</f>
        <v>Списан</v>
      </c>
    </row>
    <row r="146" spans="1:4" ht="16" x14ac:dyDescent="0.4">
      <c r="A146" s="6" t="s">
        <v>21</v>
      </c>
      <c r="B146" s="9">
        <v>11</v>
      </c>
      <c r="C146" s="12">
        <v>5</v>
      </c>
      <c r="D146" s="1" t="str">
        <f t="shared" ref="D146:D158" si="7">IF(OR(B146&lt;15,C146&gt;6),"Списан","-")</f>
        <v>Списан</v>
      </c>
    </row>
    <row r="147" spans="1:4" ht="16" x14ac:dyDescent="0.4">
      <c r="A147" s="6" t="s">
        <v>22</v>
      </c>
      <c r="B147" s="9">
        <v>22</v>
      </c>
      <c r="C147" s="12">
        <v>7</v>
      </c>
      <c r="D147" s="1" t="str">
        <f t="shared" si="7"/>
        <v>Списан</v>
      </c>
    </row>
    <row r="148" spans="1:4" ht="16" x14ac:dyDescent="0.4">
      <c r="A148" s="6" t="s">
        <v>23</v>
      </c>
      <c r="B148" s="9">
        <v>21</v>
      </c>
      <c r="C148" s="12">
        <v>3</v>
      </c>
      <c r="D148" s="1" t="str">
        <f t="shared" si="7"/>
        <v>-</v>
      </c>
    </row>
    <row r="149" spans="1:4" ht="16" x14ac:dyDescent="0.4">
      <c r="A149" s="6" t="s">
        <v>24</v>
      </c>
      <c r="B149" s="9">
        <v>10</v>
      </c>
      <c r="C149" s="12">
        <v>4</v>
      </c>
      <c r="D149" s="1" t="str">
        <f t="shared" si="7"/>
        <v>Списан</v>
      </c>
    </row>
    <row r="150" spans="1:4" ht="16" x14ac:dyDescent="0.4">
      <c r="A150" s="6" t="s">
        <v>25</v>
      </c>
      <c r="B150" s="9">
        <v>14</v>
      </c>
      <c r="C150" s="12">
        <v>8</v>
      </c>
      <c r="D150" s="1" t="str">
        <f t="shared" si="7"/>
        <v>Списан</v>
      </c>
    </row>
    <row r="151" spans="1:4" ht="16" x14ac:dyDescent="0.4">
      <c r="A151" s="6" t="s">
        <v>26</v>
      </c>
      <c r="B151" s="9">
        <v>14</v>
      </c>
      <c r="C151" s="12">
        <v>5</v>
      </c>
      <c r="D151" s="1" t="str">
        <f t="shared" si="7"/>
        <v>Списан</v>
      </c>
    </row>
    <row r="152" spans="1:4" ht="16" x14ac:dyDescent="0.4">
      <c r="A152" s="6" t="s">
        <v>27</v>
      </c>
      <c r="B152" s="9">
        <v>21</v>
      </c>
      <c r="C152" s="12">
        <v>5</v>
      </c>
      <c r="D152" s="1" t="str">
        <f t="shared" si="7"/>
        <v>-</v>
      </c>
    </row>
    <row r="153" spans="1:4" ht="16" x14ac:dyDescent="0.4">
      <c r="A153" s="6" t="s">
        <v>28</v>
      </c>
      <c r="B153" s="9">
        <v>21</v>
      </c>
      <c r="C153" s="12">
        <v>5</v>
      </c>
      <c r="D153" s="1" t="str">
        <f t="shared" si="7"/>
        <v>-</v>
      </c>
    </row>
    <row r="154" spans="1:4" ht="16" x14ac:dyDescent="0.4">
      <c r="A154" s="6" t="s">
        <v>29</v>
      </c>
      <c r="B154" s="9">
        <v>24</v>
      </c>
      <c r="C154" s="12">
        <v>4</v>
      </c>
      <c r="D154" s="1" t="str">
        <f t="shared" si="7"/>
        <v>-</v>
      </c>
    </row>
    <row r="155" spans="1:4" ht="16" x14ac:dyDescent="0.4">
      <c r="A155" s="6" t="s">
        <v>30</v>
      </c>
      <c r="B155" s="9">
        <v>19</v>
      </c>
      <c r="C155" s="12">
        <v>8</v>
      </c>
      <c r="D155" s="1" t="str">
        <f t="shared" si="7"/>
        <v>Списан</v>
      </c>
    </row>
    <row r="156" spans="1:4" ht="16" x14ac:dyDescent="0.4">
      <c r="A156" s="6" t="s">
        <v>31</v>
      </c>
      <c r="B156" s="9">
        <v>11</v>
      </c>
      <c r="C156" s="12">
        <v>10</v>
      </c>
      <c r="D156" s="1" t="str">
        <f t="shared" si="7"/>
        <v>Списан</v>
      </c>
    </row>
    <row r="157" spans="1:4" ht="16" x14ac:dyDescent="0.4">
      <c r="A157" s="6" t="s">
        <v>32</v>
      </c>
      <c r="B157" s="9">
        <v>15</v>
      </c>
      <c r="C157" s="12">
        <v>2</v>
      </c>
      <c r="D157" s="1" t="str">
        <f t="shared" si="7"/>
        <v>-</v>
      </c>
    </row>
    <row r="158" spans="1:4" ht="16" x14ac:dyDescent="0.4">
      <c r="A158" s="6" t="s">
        <v>33</v>
      </c>
      <c r="B158" s="9">
        <v>21</v>
      </c>
      <c r="C158" s="12">
        <v>8</v>
      </c>
      <c r="D158" s="1" t="str">
        <f t="shared" si="7"/>
        <v>Списан</v>
      </c>
    </row>
    <row r="166" spans="1:4" x14ac:dyDescent="0.35">
      <c r="A166" s="14" t="s">
        <v>47</v>
      </c>
      <c r="B166" s="3" t="s">
        <v>48</v>
      </c>
      <c r="C166" s="4" t="s">
        <v>49</v>
      </c>
      <c r="D166" s="4" t="s">
        <v>50</v>
      </c>
    </row>
    <row r="167" spans="1:4" x14ac:dyDescent="0.35">
      <c r="A167" s="15">
        <v>1032031231</v>
      </c>
      <c r="B167" s="16">
        <v>12</v>
      </c>
      <c r="C167" s="13" t="s">
        <v>51</v>
      </c>
      <c r="D167" s="8" t="str">
        <f>IF(OR(B167&gt;5,C167=" Нет"),"Применена","-")</f>
        <v>Применена</v>
      </c>
    </row>
    <row r="168" spans="1:4" x14ac:dyDescent="0.35">
      <c r="A168" s="15">
        <v>1032031267</v>
      </c>
      <c r="B168" s="16">
        <v>8</v>
      </c>
      <c r="C168" s="13" t="s">
        <v>42</v>
      </c>
      <c r="D168" s="8" t="str">
        <f t="shared" ref="D168:D179" si="8">IF(OR(B168&gt;5,C168=" Нет"),"Применена","-")</f>
        <v>Применена</v>
      </c>
    </row>
    <row r="169" spans="1:4" x14ac:dyDescent="0.35">
      <c r="A169" s="15">
        <v>1032031303</v>
      </c>
      <c r="B169" s="16">
        <v>16</v>
      </c>
      <c r="C169" s="13" t="s">
        <v>42</v>
      </c>
      <c r="D169" s="8" t="str">
        <f t="shared" si="8"/>
        <v>Применена</v>
      </c>
    </row>
    <row r="170" spans="1:4" x14ac:dyDescent="0.35">
      <c r="A170" s="15">
        <v>1032031339</v>
      </c>
      <c r="B170" s="16">
        <v>1</v>
      </c>
      <c r="C170" s="13" t="s">
        <v>51</v>
      </c>
      <c r="D170" s="8" t="str">
        <f t="shared" si="8"/>
        <v>Применена</v>
      </c>
    </row>
    <row r="171" spans="1:4" x14ac:dyDescent="0.35">
      <c r="A171" s="15">
        <v>1032031375</v>
      </c>
      <c r="B171" s="16">
        <v>2</v>
      </c>
      <c r="C171" s="13" t="s">
        <v>51</v>
      </c>
      <c r="D171" s="8" t="str">
        <f t="shared" si="8"/>
        <v>Применена</v>
      </c>
    </row>
    <row r="172" spans="1:4" x14ac:dyDescent="0.35">
      <c r="A172" s="15">
        <v>1032031411</v>
      </c>
      <c r="B172" s="16">
        <v>3</v>
      </c>
      <c r="C172" s="13" t="s">
        <v>42</v>
      </c>
      <c r="D172" s="8" t="str">
        <f t="shared" si="8"/>
        <v>-</v>
      </c>
    </row>
    <row r="173" spans="1:4" x14ac:dyDescent="0.35">
      <c r="A173" s="15">
        <v>1032031447</v>
      </c>
      <c r="B173" s="16">
        <v>6</v>
      </c>
      <c r="C173" s="13" t="s">
        <v>42</v>
      </c>
      <c r="D173" s="8" t="str">
        <f t="shared" si="8"/>
        <v>Применена</v>
      </c>
    </row>
    <row r="174" spans="1:4" x14ac:dyDescent="0.35">
      <c r="A174" s="15">
        <v>1032031483</v>
      </c>
      <c r="B174" s="16">
        <v>11</v>
      </c>
      <c r="C174" s="13" t="s">
        <v>42</v>
      </c>
      <c r="D174" s="8" t="str">
        <f t="shared" si="8"/>
        <v>Применена</v>
      </c>
    </row>
    <row r="175" spans="1:4" x14ac:dyDescent="0.35">
      <c r="A175" s="15">
        <v>1032031519</v>
      </c>
      <c r="B175" s="16">
        <v>7</v>
      </c>
      <c r="C175" s="13" t="s">
        <v>42</v>
      </c>
      <c r="D175" s="8" t="str">
        <f t="shared" si="8"/>
        <v>Применена</v>
      </c>
    </row>
    <row r="176" spans="1:4" x14ac:dyDescent="0.35">
      <c r="A176" s="15">
        <v>1032031555</v>
      </c>
      <c r="B176" s="16">
        <v>19</v>
      </c>
      <c r="C176" s="13" t="s">
        <v>42</v>
      </c>
      <c r="D176" s="8" t="str">
        <f t="shared" si="8"/>
        <v>Применена</v>
      </c>
    </row>
    <row r="177" spans="1:4" x14ac:dyDescent="0.35">
      <c r="A177" s="15">
        <v>1032031591</v>
      </c>
      <c r="B177" s="16">
        <v>6</v>
      </c>
      <c r="C177" s="13" t="s">
        <v>42</v>
      </c>
      <c r="D177" s="8" t="str">
        <f t="shared" si="8"/>
        <v>Применена</v>
      </c>
    </row>
    <row r="178" spans="1:4" x14ac:dyDescent="0.35">
      <c r="A178" s="15">
        <v>1032031627</v>
      </c>
      <c r="B178" s="16">
        <v>7</v>
      </c>
      <c r="C178" s="17" t="s">
        <v>42</v>
      </c>
      <c r="D178" s="8" t="str">
        <f t="shared" si="8"/>
        <v>Применена</v>
      </c>
    </row>
    <row r="179" spans="1:4" x14ac:dyDescent="0.35">
      <c r="A179" s="15">
        <v>1032031663</v>
      </c>
      <c r="B179" s="16">
        <v>6</v>
      </c>
      <c r="C179" s="13" t="s">
        <v>51</v>
      </c>
      <c r="D179" s="8" t="str">
        <f t="shared" si="8"/>
        <v>Применена</v>
      </c>
    </row>
    <row r="185" spans="1:4" ht="29" x14ac:dyDescent="0.35">
      <c r="A185" s="14" t="s">
        <v>73</v>
      </c>
      <c r="B185" s="22" t="s">
        <v>74</v>
      </c>
      <c r="C185" s="23" t="s">
        <v>75</v>
      </c>
      <c r="D185" s="24" t="s">
        <v>76</v>
      </c>
    </row>
    <row r="186" spans="1:4" x14ac:dyDescent="0.35">
      <c r="A186" s="6" t="s">
        <v>20</v>
      </c>
      <c r="B186" s="16">
        <v>200</v>
      </c>
      <c r="C186" s="16">
        <v>6</v>
      </c>
      <c r="D186" s="8">
        <f>IF(C186&gt;8,B186*50%,B186)</f>
        <v>200</v>
      </c>
    </row>
    <row r="187" spans="1:4" x14ac:dyDescent="0.35">
      <c r="A187" s="6" t="s">
        <v>21</v>
      </c>
      <c r="B187" s="16">
        <v>500</v>
      </c>
      <c r="C187" s="16">
        <v>12</v>
      </c>
      <c r="D187" s="8">
        <f t="shared" ref="D187:D199" si="9">IF(C187&gt;8,B187*50%,B187)</f>
        <v>250</v>
      </c>
    </row>
    <row r="188" spans="1:4" x14ac:dyDescent="0.35">
      <c r="A188" s="6" t="s">
        <v>22</v>
      </c>
      <c r="B188" s="16">
        <v>1230</v>
      </c>
      <c r="C188" s="16">
        <v>9</v>
      </c>
      <c r="D188" s="8">
        <f t="shared" si="9"/>
        <v>615</v>
      </c>
    </row>
    <row r="189" spans="1:4" x14ac:dyDescent="0.35">
      <c r="A189" s="6" t="s">
        <v>23</v>
      </c>
      <c r="B189" s="16">
        <v>600</v>
      </c>
      <c r="C189" s="16">
        <v>7</v>
      </c>
      <c r="D189" s="8">
        <f t="shared" si="9"/>
        <v>600</v>
      </c>
    </row>
    <row r="190" spans="1:4" x14ac:dyDescent="0.35">
      <c r="A190" s="6" t="s">
        <v>24</v>
      </c>
      <c r="B190" s="16">
        <v>800</v>
      </c>
      <c r="C190" s="16">
        <v>10</v>
      </c>
      <c r="D190" s="8">
        <f t="shared" si="9"/>
        <v>400</v>
      </c>
    </row>
    <row r="191" spans="1:4" x14ac:dyDescent="0.35">
      <c r="A191" s="6" t="s">
        <v>25</v>
      </c>
      <c r="B191" s="16">
        <v>300</v>
      </c>
      <c r="C191" s="16">
        <v>3</v>
      </c>
      <c r="D191" s="8">
        <f t="shared" si="9"/>
        <v>300</v>
      </c>
    </row>
    <row r="192" spans="1:4" x14ac:dyDescent="0.35">
      <c r="A192" s="6" t="s">
        <v>26</v>
      </c>
      <c r="B192" s="16">
        <v>682</v>
      </c>
      <c r="C192" s="16">
        <v>6</v>
      </c>
      <c r="D192" s="8">
        <f t="shared" si="9"/>
        <v>682</v>
      </c>
    </row>
    <row r="193" spans="1:4" x14ac:dyDescent="0.35">
      <c r="A193" s="6" t="s">
        <v>27</v>
      </c>
      <c r="B193" s="16">
        <v>704</v>
      </c>
      <c r="C193" s="16">
        <v>12</v>
      </c>
      <c r="D193" s="8">
        <f t="shared" si="9"/>
        <v>352</v>
      </c>
    </row>
    <row r="194" spans="1:4" x14ac:dyDescent="0.35">
      <c r="A194" s="6" t="s">
        <v>28</v>
      </c>
      <c r="B194" s="16">
        <v>726</v>
      </c>
      <c r="C194" s="16">
        <v>9</v>
      </c>
      <c r="D194" s="8">
        <f t="shared" si="9"/>
        <v>363</v>
      </c>
    </row>
    <row r="195" spans="1:4" x14ac:dyDescent="0.35">
      <c r="A195" s="6" t="s">
        <v>29</v>
      </c>
      <c r="B195" s="16">
        <v>748</v>
      </c>
      <c r="C195" s="16">
        <v>7</v>
      </c>
      <c r="D195" s="8">
        <f t="shared" si="9"/>
        <v>748</v>
      </c>
    </row>
    <row r="196" spans="1:4" x14ac:dyDescent="0.35">
      <c r="A196" s="6" t="s">
        <v>30</v>
      </c>
      <c r="B196" s="16">
        <v>770</v>
      </c>
      <c r="C196" s="16">
        <v>10</v>
      </c>
      <c r="D196" s="8">
        <f t="shared" si="9"/>
        <v>385</v>
      </c>
    </row>
    <row r="197" spans="1:4" x14ac:dyDescent="0.35">
      <c r="A197" s="6" t="s">
        <v>31</v>
      </c>
      <c r="B197" s="16">
        <v>792</v>
      </c>
      <c r="C197" s="16">
        <v>3</v>
      </c>
      <c r="D197" s="8">
        <f t="shared" si="9"/>
        <v>792</v>
      </c>
    </row>
    <row r="198" spans="1:4" x14ac:dyDescent="0.35">
      <c r="A198" s="6" t="s">
        <v>32</v>
      </c>
      <c r="B198" s="16">
        <v>814</v>
      </c>
      <c r="C198" s="16">
        <v>4</v>
      </c>
      <c r="D198" s="8">
        <f t="shared" si="9"/>
        <v>814</v>
      </c>
    </row>
    <row r="199" spans="1:4" x14ac:dyDescent="0.35">
      <c r="A199" s="6" t="s">
        <v>33</v>
      </c>
      <c r="B199" s="16">
        <v>836</v>
      </c>
      <c r="C199" s="16">
        <v>7</v>
      </c>
      <c r="D199" s="8">
        <f t="shared" si="9"/>
        <v>836</v>
      </c>
    </row>
    <row r="206" spans="1:4" ht="29" x14ac:dyDescent="0.35">
      <c r="A206" s="14" t="s">
        <v>73</v>
      </c>
      <c r="B206" s="22" t="s">
        <v>74</v>
      </c>
      <c r="C206" s="23" t="s">
        <v>75</v>
      </c>
      <c r="D206" s="24" t="s">
        <v>76</v>
      </c>
    </row>
    <row r="207" spans="1:4" x14ac:dyDescent="0.35">
      <c r="A207" s="6" t="s">
        <v>20</v>
      </c>
      <c r="B207" s="16">
        <v>200</v>
      </c>
      <c r="C207" s="16">
        <v>6</v>
      </c>
      <c r="D207" s="8">
        <f>IF(C207&lt;8,IF(C207&gt;5,B207/1.5,B207),B207/2)</f>
        <v>133.33333333333334</v>
      </c>
    </row>
    <row r="208" spans="1:4" x14ac:dyDescent="0.35">
      <c r="A208" s="6" t="s">
        <v>21</v>
      </c>
      <c r="B208" s="16">
        <v>500</v>
      </c>
      <c r="C208" s="16">
        <v>12</v>
      </c>
      <c r="D208" s="8">
        <f t="shared" ref="D208:D220" si="10">IF(C208&lt;8,IF(C208&gt;5,B208/1.5,B208),B208/2)</f>
        <v>250</v>
      </c>
    </row>
    <row r="209" spans="1:4" x14ac:dyDescent="0.35">
      <c r="A209" s="6" t="s">
        <v>22</v>
      </c>
      <c r="B209" s="16">
        <v>1230</v>
      </c>
      <c r="C209" s="16">
        <v>9</v>
      </c>
      <c r="D209" s="8">
        <f t="shared" si="10"/>
        <v>615</v>
      </c>
    </row>
    <row r="210" spans="1:4" x14ac:dyDescent="0.35">
      <c r="A210" s="6" t="s">
        <v>23</v>
      </c>
      <c r="B210" s="16">
        <v>600</v>
      </c>
      <c r="C210" s="16">
        <v>7</v>
      </c>
      <c r="D210" s="8">
        <f t="shared" si="10"/>
        <v>400</v>
      </c>
    </row>
    <row r="211" spans="1:4" x14ac:dyDescent="0.35">
      <c r="A211" s="6" t="s">
        <v>24</v>
      </c>
      <c r="B211" s="16">
        <v>800</v>
      </c>
      <c r="C211" s="16">
        <v>10</v>
      </c>
      <c r="D211" s="8">
        <f t="shared" si="10"/>
        <v>400</v>
      </c>
    </row>
    <row r="212" spans="1:4" x14ac:dyDescent="0.35">
      <c r="A212" s="6" t="s">
        <v>25</v>
      </c>
      <c r="B212" s="16">
        <v>300</v>
      </c>
      <c r="C212" s="16">
        <v>3</v>
      </c>
      <c r="D212" s="8">
        <f t="shared" si="10"/>
        <v>300</v>
      </c>
    </row>
    <row r="213" spans="1:4" x14ac:dyDescent="0.35">
      <c r="A213" s="6" t="s">
        <v>26</v>
      </c>
      <c r="B213" s="16">
        <v>682</v>
      </c>
      <c r="C213" s="16">
        <v>6</v>
      </c>
      <c r="D213" s="8">
        <f t="shared" si="10"/>
        <v>454.66666666666669</v>
      </c>
    </row>
    <row r="214" spans="1:4" x14ac:dyDescent="0.35">
      <c r="A214" s="6" t="s">
        <v>27</v>
      </c>
      <c r="B214" s="16">
        <v>704</v>
      </c>
      <c r="C214" s="16">
        <v>12</v>
      </c>
      <c r="D214" s="8">
        <f t="shared" si="10"/>
        <v>352</v>
      </c>
    </row>
    <row r="215" spans="1:4" x14ac:dyDescent="0.35">
      <c r="A215" s="6" t="s">
        <v>28</v>
      </c>
      <c r="B215" s="16">
        <v>726</v>
      </c>
      <c r="C215" s="16">
        <v>9</v>
      </c>
      <c r="D215" s="8">
        <f t="shared" si="10"/>
        <v>363</v>
      </c>
    </row>
    <row r="216" spans="1:4" x14ac:dyDescent="0.35">
      <c r="A216" s="6" t="s">
        <v>29</v>
      </c>
      <c r="B216" s="16">
        <v>748</v>
      </c>
      <c r="C216" s="16">
        <v>7</v>
      </c>
      <c r="D216" s="8">
        <f t="shared" si="10"/>
        <v>498.66666666666669</v>
      </c>
    </row>
    <row r="217" spans="1:4" x14ac:dyDescent="0.35">
      <c r="A217" s="6" t="s">
        <v>30</v>
      </c>
      <c r="B217" s="16">
        <v>770</v>
      </c>
      <c r="C217" s="16">
        <v>10</v>
      </c>
      <c r="D217" s="8">
        <f t="shared" si="10"/>
        <v>385</v>
      </c>
    </row>
    <row r="218" spans="1:4" x14ac:dyDescent="0.35">
      <c r="A218" s="6" t="s">
        <v>31</v>
      </c>
      <c r="B218" s="16">
        <v>792</v>
      </c>
      <c r="C218" s="16">
        <v>3</v>
      </c>
      <c r="D218" s="8">
        <f t="shared" si="10"/>
        <v>792</v>
      </c>
    </row>
    <row r="219" spans="1:4" x14ac:dyDescent="0.35">
      <c r="A219" s="6" t="s">
        <v>32</v>
      </c>
      <c r="B219" s="16">
        <v>814</v>
      </c>
      <c r="C219" s="16">
        <v>4</v>
      </c>
      <c r="D219" s="8">
        <f t="shared" si="10"/>
        <v>814</v>
      </c>
    </row>
    <row r="220" spans="1:4" x14ac:dyDescent="0.35">
      <c r="A220" s="6" t="s">
        <v>33</v>
      </c>
      <c r="B220" s="16">
        <v>836</v>
      </c>
      <c r="C220" s="16">
        <v>7</v>
      </c>
      <c r="D220" s="8">
        <f t="shared" si="10"/>
        <v>557.33333333333337</v>
      </c>
    </row>
  </sheetData>
  <mergeCells count="5">
    <mergeCell ref="A21:H21"/>
    <mergeCell ref="A69:H69"/>
    <mergeCell ref="A136:H136"/>
    <mergeCell ref="A1:C1"/>
    <mergeCell ref="A15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ЕСЛИ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Решетникова Марина Сергеевна</dc:creator>
  <cp:lastModifiedBy>Erland Adestio Sadana</cp:lastModifiedBy>
  <dcterms:created xsi:type="dcterms:W3CDTF">2026-03-20T11:02:45Z</dcterms:created>
  <dcterms:modified xsi:type="dcterms:W3CDTF">2026-03-28T11:02:47Z</dcterms:modified>
</cp:coreProperties>
</file>