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BD86BFF4-CDC3-46A3-91DE-3DDF7B90A69F}" xr6:coauthVersionLast="47" xr6:coauthVersionMax="47" xr10:uidLastSave="{00000000-0000-0000-0000-000000000000}"/>
  <bookViews>
    <workbookView xWindow="-110" yWindow="-110" windowWidth="29020" windowHeight="17500" activeTab="2" xr2:uid="{AA3EE9AC-50BE-F347-8D1C-05324416AC9F}"/>
  </bookViews>
  <sheets>
    <sheet name="1" sheetId="2" r:id="rId1"/>
    <sheet name="2" sheetId="3" r:id="rId2"/>
    <sheet name="3" sheetId="6" r:id="rId3"/>
  </sheets>
  <externalReferences>
    <externalReference r:id="rId4"/>
    <externalReference r:id="rId5"/>
    <externalReference r:id="rId6"/>
  </externalReferences>
  <definedNames>
    <definedName name="__IntlFixup" hidden="1">TRUE</definedName>
    <definedName name="_xlnm._FilterDatabase" localSheetId="1" hidden="1">'2'!$A$1:$F$51</definedName>
    <definedName name="AccessDatabase" hidden="1">"C:\My Documents\MAUI MALL1.mdb"</definedName>
    <definedName name="ACwvu.CapersView." hidden="1">[2]MASTER!#REF!</definedName>
    <definedName name="ACwvu.Japan_Capers_Ed_Pub." hidden="1">'[3]THREE VARIABLES'!$N$1:$V$165</definedName>
    <definedName name="ACwvu.KJP_CC." hidden="1">'[3]THREE VARIABLES'!$N$4:$U$165</definedName>
    <definedName name="Cwvu.CapersView." hidden="1">[2]MASTER!#REF!</definedName>
    <definedName name="Cwvu.Japan_Capers_Ed_Pub." hidden="1">[2]MASTER!#REF!</definedName>
    <definedName name="Cwvu.KJP_CC." hidden="1">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,[2]MASTER!#REF!</definedName>
    <definedName name="de" hidden="1">{"программа",#N/A,TRUE,"lessons";"продажа оргтехники",#N/A,TRUE,"образец"}</definedName>
    <definedName name="gh" hidden="1">[2]MASTER!#REF!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'[3]THREE VARIABLES'!$A$1:$M$65536</definedName>
    <definedName name="Rwvu.Japan_Capers_Ed_Pub." hidden="1">'[3]THREE VARIABLES'!$A$1:$M$65536</definedName>
    <definedName name="Rwvu.KJP_CC." hidden="1">'[3]THREE VARIABLES'!$A$1:$M$65536</definedName>
    <definedName name="Swvu.CapersView." hidden="1">[2]MASTER!#REF!</definedName>
    <definedName name="Swvu.Japan_Capers_Ed_Pub." hidden="1">'[3]THREE VARIABLES'!$N$1:$V$165</definedName>
    <definedName name="Swvu.KJP_CC." hidden="1">'[3]THREE VARIABLES'!$N$4:$U$165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rn.отчет._.по._.курсу." hidden="1">{"программа",#N/A,TRUE,"lessons";"продажа оргтехники",#N/A,TRUE,"образец"}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[2]MASTER!$A$1:$Q$65536,[2]MASTER!$Y$1:$Z$65536</definedName>
    <definedName name="Z_9A428CE1_B4D9_11D0_A8AA_0000C071AEE7_.wvu.PrintArea" hidden="1">'[3]THREE VARIABLES'!$N$4:$S$5</definedName>
    <definedName name="Z_9A428CE1_B4D9_11D0_A8AA_0000C071AEE7_.wvu.Rows" hidden="1">[2]MASTER!#REF!,[2]MASTER!#REF!,[2]MASTER!#REF!,[2]MASTER!#REF!,[2]MASTER!#REF!,[2]MASTER!#REF!,[2]MASTER!#REF!,[2]MASTER!$A$98:$IV$272</definedName>
    <definedName name="вв" hidden="1">{"программа",#N/A,TRUE,"lessons";"продажа оргтехники",#N/A,TRUE,"образец"}</definedName>
    <definedName name="Город">'[1]задание 2'!$F$2:$F$51</definedName>
    <definedName name="Номер_страховки">'[1]задание 1'!$I$2:$I$51</definedName>
    <definedName name="Оклад">'[1]задание 2'!$H$2:$H$51</definedName>
    <definedName name="Оклад__€">'[1]задание 1'!$H$2:$H$51</definedName>
    <definedName name="Отдел">'[1]задание 2'!$G$2:$G$51</definedName>
    <definedName name="пол">'[1]задание 2'!$D$2:$D$51</definedName>
    <definedName name="Фамилия">'[1]задание 1'!$A$2:$A$51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0" i="6" l="1" a="1"/>
  <c r="AP10" i="6" s="1"/>
  <c r="AP7" i="6" a="1"/>
  <c r="AP7" i="6" s="1"/>
  <c r="AP8" i="6" a="1"/>
  <c r="AP8" i="6"/>
  <c r="AP9" i="6" a="1"/>
  <c r="AP9" i="6"/>
  <c r="AP11" i="6" a="1"/>
  <c r="AP11" i="6"/>
  <c r="AP12" i="6" a="1"/>
  <c r="AP12" i="6"/>
  <c r="AP6" i="6" a="1"/>
  <c r="AP6" i="6"/>
  <c r="AN7" i="6"/>
  <c r="AN8" i="6"/>
  <c r="AN9" i="6"/>
  <c r="AN10" i="6"/>
  <c r="AN11" i="6"/>
  <c r="AN12" i="6"/>
  <c r="AN6" i="6"/>
  <c r="AL7" i="6"/>
  <c r="AL8" i="6"/>
  <c r="AL9" i="6"/>
  <c r="AL10" i="6"/>
  <c r="AL11" i="6"/>
  <c r="AL12" i="6"/>
  <c r="AL6" i="6"/>
  <c r="AJ7" i="6"/>
  <c r="AJ8" i="6"/>
  <c r="AJ9" i="6"/>
  <c r="AJ10" i="6"/>
  <c r="AJ11" i="6"/>
  <c r="AJ12" i="6"/>
  <c r="AJ6" i="6"/>
  <c r="AH7" i="6"/>
  <c r="AH8" i="6"/>
  <c r="AH9" i="6"/>
  <c r="AH10" i="6"/>
  <c r="AH11" i="6"/>
  <c r="AH12" i="6"/>
  <c r="AH6" i="6"/>
  <c r="J57" i="3"/>
  <c r="J56" i="3"/>
  <c r="J50" i="3"/>
  <c r="J51" i="3"/>
  <c r="J42" i="3"/>
  <c r="J43" i="3"/>
  <c r="J44" i="3"/>
  <c r="J45" i="3"/>
  <c r="J46" i="3"/>
  <c r="J41" i="3"/>
  <c r="J34" i="3"/>
  <c r="J35" i="3"/>
  <c r="J36" i="3"/>
  <c r="J37" i="3"/>
  <c r="J38" i="3"/>
  <c r="J33" i="3"/>
  <c r="J28" i="3"/>
  <c r="J29" i="3"/>
  <c r="J30" i="3"/>
  <c r="J27" i="3"/>
  <c r="J20" i="3"/>
  <c r="J21" i="3"/>
  <c r="J22" i="3"/>
  <c r="J23" i="3"/>
  <c r="J24" i="3"/>
  <c r="J19" i="3"/>
  <c r="J16" i="3"/>
  <c r="J15" i="3"/>
  <c r="J10" i="3"/>
  <c r="J11" i="3"/>
  <c r="J12" i="3"/>
  <c r="J9" i="3"/>
  <c r="J5" i="3"/>
  <c r="J4" i="3"/>
  <c r="J3" i="3"/>
  <c r="J2" i="3"/>
  <c r="G49" i="2"/>
  <c r="G48" i="2"/>
  <c r="G47" i="2"/>
  <c r="K31" i="2"/>
  <c r="E31" i="2"/>
  <c r="D14" i="2"/>
  <c r="J8" i="2"/>
  <c r="E5" i="2"/>
  <c r="D6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<sst xmlns="http://schemas.openxmlformats.org/spreadsheetml/2006/main" count="484" uniqueCount="141">
  <si>
    <t>Если необходимо вернуть среднее арифметическое значений, которые удовлетворяют определенному условию, то можно воспользоваться статистической функцией СРЗНАЧЕСЛИ</t>
  </si>
  <si>
    <t>Если требуется соблюсти несколько условий, то всегда можно применить статистическую
функцию СРЗНАЧЕСЛИМН</t>
  </si>
  <si>
    <t>год</t>
  </si>
  <si>
    <t>наименование</t>
  </si>
  <si>
    <t>Цена, кг</t>
  </si>
  <si>
    <t>Ответ</t>
  </si>
  <si>
    <t>Яблоки</t>
  </si>
  <si>
    <t>Красные яблоки</t>
  </si>
  <si>
    <t>Апельсины</t>
  </si>
  <si>
    <t>Используйте функцию СРЗНАЧЕСЛИ для вычисления среднего значения чисел, которые больше 0.</t>
  </si>
  <si>
    <t>Зеленые яблоки</t>
  </si>
  <si>
    <t>Бананы мини</t>
  </si>
  <si>
    <t>Аптека</t>
  </si>
  <si>
    <t>Лекарство</t>
  </si>
  <si>
    <t>Цена, уп</t>
  </si>
  <si>
    <t>Бананы</t>
  </si>
  <si>
    <t>Не болей</t>
  </si>
  <si>
    <t>Но-шпа</t>
  </si>
  <si>
    <t xml:space="preserve">Яблоки </t>
  </si>
  <si>
    <t>Анальгин</t>
  </si>
  <si>
    <t>Нурофен</t>
  </si>
  <si>
    <t>Будь здоров</t>
  </si>
  <si>
    <t>Парацетамол</t>
  </si>
  <si>
    <t>Желтые яблоки</t>
  </si>
  <si>
    <t>Ананас</t>
  </si>
  <si>
    <t>Добрый день</t>
  </si>
  <si>
    <t>Солнышко</t>
  </si>
  <si>
    <t xml:space="preserve">Посчитайте среднюю стоимость 1 пачки Но-шпы </t>
  </si>
  <si>
    <t xml:space="preserve">Посчитайте среднюю стоимость яблок в 2024 г. </t>
  </si>
  <si>
    <t>Статистическая функция СЧЕТЕСЛИ позволяет производить подсчет ячеек рабочего листа Excel с применением различного вида условий</t>
  </si>
  <si>
    <t xml:space="preserve">Функция СЧЕТЕСЛИМН позволяет подсчитывать ячейки, используя условие И
</t>
  </si>
  <si>
    <t>Посчитайте количество ячеек, содержащих отрицательные значения</t>
  </si>
  <si>
    <t>Посчитайте количество ячеек, содержащих положительные значения и значения меньше 50</t>
  </si>
  <si>
    <t>Группа</t>
  </si>
  <si>
    <t xml:space="preserve">Код товара </t>
  </si>
  <si>
    <t xml:space="preserve">Наименование </t>
  </si>
  <si>
    <t>Количество</t>
  </si>
  <si>
    <t>Название 1</t>
  </si>
  <si>
    <t>Группа А</t>
  </si>
  <si>
    <t>Название 2</t>
  </si>
  <si>
    <t>Группа Б</t>
  </si>
  <si>
    <t>Название 3</t>
  </si>
  <si>
    <t>Название 4</t>
  </si>
  <si>
    <t>Итого</t>
  </si>
  <si>
    <t>Пол</t>
  </si>
  <si>
    <t>Дата
рождения</t>
  </si>
  <si>
    <t>Город</t>
  </si>
  <si>
    <t>Отдел</t>
  </si>
  <si>
    <t>м</t>
  </si>
  <si>
    <t>Москва</t>
  </si>
  <si>
    <t>Количество сотрудников в отделах:</t>
  </si>
  <si>
    <t>ж</t>
  </si>
  <si>
    <t>Звенигород</t>
  </si>
  <si>
    <t>Нижний Новгород</t>
  </si>
  <si>
    <t>Екатеринбург</t>
  </si>
  <si>
    <t>М</t>
  </si>
  <si>
    <t>Казань</t>
  </si>
  <si>
    <t>Ж</t>
  </si>
  <si>
    <t>Санкт-Петербург</t>
  </si>
  <si>
    <t>Владимир</t>
  </si>
  <si>
    <t>Беланюк Георгий Алексеевич</t>
  </si>
  <si>
    <t>Головков Альберт Николаевич</t>
  </si>
  <si>
    <t>Голошубова Алла Валентиновна</t>
  </si>
  <si>
    <t>Сотрудник</t>
  </si>
  <si>
    <t>Войкин Эдуард Вячеславович</t>
  </si>
  <si>
    <t>Арзуманян Тимофей Тимурович</t>
  </si>
  <si>
    <t>Бабич Станислав Викторович</t>
  </si>
  <si>
    <t>Дубнев Роберт Яковлев</t>
  </si>
  <si>
    <t>Беспалов Петр Григорьевич</t>
  </si>
  <si>
    <t>Зайчиков Леонид Эдуардович</t>
  </si>
  <si>
    <t>Гельман Вячеслав Максимович</t>
  </si>
  <si>
    <t>Бондаровский Станислав Ярославович</t>
  </si>
  <si>
    <t>Беляевский Михаил Георгиевич</t>
  </si>
  <si>
    <t>Бравок Филипп Дмитриевич</t>
  </si>
  <si>
    <t>Алешинцев Данил Владимирович</t>
  </si>
  <si>
    <t>Агалец Артем Андреевич</t>
  </si>
  <si>
    <t>Волнухин Василий Степанович</t>
  </si>
  <si>
    <t>Гусляров Аркадий Тимофеевич</t>
  </si>
  <si>
    <t>Богородская Александра Эдуардовна</t>
  </si>
  <si>
    <t>Маляев Ян Сергеевич</t>
  </si>
  <si>
    <t>Корепанов Роман Семенович</t>
  </si>
  <si>
    <t>Бродович Артур Никитович</t>
  </si>
  <si>
    <t>Богумил Ефим Альбертович</t>
  </si>
  <si>
    <t>Элькин Радик Георгиевич</t>
  </si>
  <si>
    <t>Биякова Маргарита Робертовна</t>
  </si>
  <si>
    <t>Царев Никита Кириллович</t>
  </si>
  <si>
    <t>Быцань Ефим Марселевич</t>
  </si>
  <si>
    <t>Кропачев Борис Геннадьевич</t>
  </si>
  <si>
    <t>Гирева Виктория Андреевна</t>
  </si>
  <si>
    <t>Ассорова Светлана Павловна</t>
  </si>
  <si>
    <t>Катревич Алексей Александрович</t>
  </si>
  <si>
    <t>Анкидинов Ян Никитович</t>
  </si>
  <si>
    <t>Казаченко Эльмира Ильдаровна</t>
  </si>
  <si>
    <t>Цымбалист Виталий Тимофеевич</t>
  </si>
  <si>
    <t>Капинос Руслан Васильевич</t>
  </si>
  <si>
    <t>Кочумов Григорий Ринатович</t>
  </si>
  <si>
    <t>Армишева Эльвира Игоревна</t>
  </si>
  <si>
    <t>Хлопин Герман Александрович</t>
  </si>
  <si>
    <t>Сорочкина Светлана Дамировна</t>
  </si>
  <si>
    <t>Пескарева Анастасия Владимировна</t>
  </si>
  <si>
    <t>Илюхина Ольга Владимировна</t>
  </si>
  <si>
    <t>Акназаров Константин Евгеньевич</t>
  </si>
  <si>
    <t>Стефаненко Екатерина Станиславовна</t>
  </si>
  <si>
    <t>Ашурмамадов Радик Витальевич</t>
  </si>
  <si>
    <t>Темирбулатова Антонина Романовна</t>
  </si>
  <si>
    <t>Братанов Егор Романович</t>
  </si>
  <si>
    <t>Ендогурова Лидия Михаиловна</t>
  </si>
  <si>
    <t>Алексеичев Кирилл Вячеславович</t>
  </si>
  <si>
    <t>Засурская Маргарита Георгиевна</t>
  </si>
  <si>
    <t>Продажи</t>
  </si>
  <si>
    <t>Аналитика</t>
  </si>
  <si>
    <t>ВорАналитикаов Степан Тимурович</t>
  </si>
  <si>
    <t>ТАналитикаих Денис Александрович</t>
  </si>
  <si>
    <t>Бухгалтерия</t>
  </si>
  <si>
    <t>Логистика</t>
  </si>
  <si>
    <t>Количество людей в отделах:</t>
  </si>
  <si>
    <t>Средний оклад, руб.:</t>
  </si>
  <si>
    <t xml:space="preserve">Оклад, руб. </t>
  </si>
  <si>
    <t>Сумма окладов по отделам:</t>
  </si>
  <si>
    <t>Сумма окладов по городам и сотрудникам</t>
  </si>
  <si>
    <t>Количество сотрудников в отделах и городах</t>
  </si>
  <si>
    <t>Количество сотрудников по дате рождения</t>
  </si>
  <si>
    <t xml:space="preserve">до 1990 г. </t>
  </si>
  <si>
    <t xml:space="preserve">после 1990 г. </t>
  </si>
  <si>
    <t>Функцию СУММЕСЛИ используют, чтобы числовые данные просуммировать по заданному критерию.</t>
  </si>
  <si>
    <t>1) Посчитайте сумму тех позиций, значение которых превышает 70 ед.
2) Посчитайте сумму группы товаров А                                                                                    3) Посчитайте сумму товаров «Название 2» группы А. (используйте функцию СУММЕСЛИМН)</t>
  </si>
  <si>
    <t>Табель учета использования рабочего времени</t>
  </si>
  <si>
    <t>Числа месяца</t>
  </si>
  <si>
    <t>Рабочие дни</t>
  </si>
  <si>
    <t>Больничные дни</t>
  </si>
  <si>
    <t>Отпуск</t>
  </si>
  <si>
    <t>Командировка</t>
  </si>
  <si>
    <t>Выходные дни+
прогулы</t>
  </si>
  <si>
    <t>от</t>
  </si>
  <si>
    <t>в</t>
  </si>
  <si>
    <t>к</t>
  </si>
  <si>
    <t>п</t>
  </si>
  <si>
    <t>б/л</t>
  </si>
  <si>
    <t xml:space="preserve">Рассчитайте количество дней: рабочих, больничных, отпуска, командировочных, выходных и прогулов										
												</t>
  </si>
  <si>
    <t>Обратите внимане на выпадающий список</t>
  </si>
  <si>
    <t>Добавьте выпадающий список по второму критерию на ваше усмотрение (город, отдел, пол). Проведите расчеты по нескольким условиям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</si>
</sst>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₽&quot;;[Red]\-#,##0\ &quot;₽&quot;"/>
    <numFmt numFmtId="165" formatCode="_-* #,##0\ [$₽-419]_-;\-* #,##0\ [$₽-419]_-;_-* &quot;-&quot;??\ [$₽-419]_-;_-@_-"/>
    <numFmt numFmtId="166" formatCode="[$-419]mmmm;@"/>
  </numFmts>
  <fonts count="24" x14ac:knownFonts="1">
    <font>
      <sz val="12"/>
      <color theme="1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206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FF0000"/>
      <name val="Aptos Narrow"/>
      <family val="2"/>
      <charset val="204"/>
      <scheme val="minor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sz val="11"/>
      <color indexed="53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</font>
    <font>
      <b/>
      <sz val="12"/>
      <color rgb="FF002060"/>
      <name val="Arial"/>
      <family val="2"/>
      <charset val="204"/>
    </font>
    <font>
      <b/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 style="thin">
        <color rgb="FF009999"/>
      </right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/>
      <bottom style="thin">
        <color rgb="FF009999"/>
      </bottom>
      <diagonal/>
    </border>
    <border>
      <left/>
      <right style="thin">
        <color rgb="FF009999"/>
      </right>
      <top/>
      <bottom style="thin">
        <color rgb="FF00999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52"/>
      </left>
      <right style="thick">
        <color indexed="52"/>
      </right>
      <top style="hair">
        <color indexed="52"/>
      </top>
      <bottom style="thick">
        <color indexed="52"/>
      </bottom>
      <diagonal/>
    </border>
    <border>
      <left style="thick">
        <color indexed="52"/>
      </left>
      <right style="hair">
        <color indexed="52"/>
      </right>
      <top style="thick">
        <color indexed="52"/>
      </top>
      <bottom style="thick">
        <color indexed="52"/>
      </bottom>
      <diagonal/>
    </border>
    <border>
      <left style="hair">
        <color indexed="52"/>
      </left>
      <right style="hair">
        <color indexed="52"/>
      </right>
      <top style="thick">
        <color indexed="52"/>
      </top>
      <bottom style="thick">
        <color indexed="52"/>
      </bottom>
      <diagonal/>
    </border>
    <border>
      <left style="hair">
        <color indexed="52"/>
      </left>
      <right style="thick">
        <color indexed="52"/>
      </right>
      <top style="thick">
        <color indexed="52"/>
      </top>
      <bottom style="thick">
        <color indexed="52"/>
      </bottom>
      <diagonal/>
    </border>
    <border>
      <left style="thick">
        <color indexed="52"/>
      </left>
      <right/>
      <top/>
      <bottom style="thick">
        <color indexed="52"/>
      </bottom>
      <diagonal/>
    </border>
    <border>
      <left/>
      <right style="thick">
        <color indexed="52"/>
      </right>
      <top/>
      <bottom style="thick">
        <color indexed="52"/>
      </bottom>
      <diagonal/>
    </border>
    <border>
      <left style="thick">
        <color indexed="52"/>
      </left>
      <right style="hair">
        <color indexed="52"/>
      </right>
      <top style="hair">
        <color indexed="52"/>
      </top>
      <bottom style="hair">
        <color indexed="52"/>
      </bottom>
      <diagonal/>
    </border>
    <border>
      <left style="hair">
        <color indexed="52"/>
      </left>
      <right style="hair">
        <color indexed="52"/>
      </right>
      <top style="hair">
        <color indexed="52"/>
      </top>
      <bottom style="hair">
        <color indexed="52"/>
      </bottom>
      <diagonal/>
    </border>
    <border>
      <left style="hair">
        <color indexed="52"/>
      </left>
      <right/>
      <top style="hair">
        <color indexed="52"/>
      </top>
      <bottom style="hair">
        <color indexed="52"/>
      </bottom>
      <diagonal/>
    </border>
    <border>
      <left style="thick">
        <color indexed="52"/>
      </left>
      <right/>
      <top style="thick">
        <color indexed="52"/>
      </top>
      <bottom style="dotted">
        <color indexed="52"/>
      </bottom>
      <diagonal/>
    </border>
    <border>
      <left/>
      <right style="thick">
        <color indexed="52"/>
      </right>
      <top style="thick">
        <color indexed="52"/>
      </top>
      <bottom style="dotted">
        <color indexed="52"/>
      </bottom>
      <diagonal/>
    </border>
    <border>
      <left/>
      <right style="thick">
        <color indexed="52"/>
      </right>
      <top style="dotted">
        <color indexed="52"/>
      </top>
      <bottom style="dotted">
        <color indexed="52"/>
      </bottom>
      <diagonal/>
    </border>
    <border>
      <left style="medium">
        <color indexed="64"/>
      </left>
      <right style="thick">
        <color indexed="52"/>
      </right>
      <top style="medium">
        <color indexed="64"/>
      </top>
      <bottom style="hair">
        <color indexed="52"/>
      </bottom>
      <diagonal/>
    </border>
    <border>
      <left style="thick">
        <color indexed="52"/>
      </left>
      <right style="thick">
        <color indexed="52"/>
      </right>
      <top style="medium">
        <color indexed="64"/>
      </top>
      <bottom style="hair">
        <color indexed="52"/>
      </bottom>
      <diagonal/>
    </border>
    <border>
      <left/>
      <right style="hair">
        <color indexed="52"/>
      </right>
      <top style="medium">
        <color indexed="64"/>
      </top>
      <bottom/>
      <diagonal/>
    </border>
    <border>
      <left style="hair">
        <color indexed="52"/>
      </left>
      <right style="hair">
        <color indexed="52"/>
      </right>
      <top style="medium">
        <color indexed="64"/>
      </top>
      <bottom/>
      <diagonal/>
    </border>
    <border>
      <left style="hair">
        <color indexed="52"/>
      </left>
      <right/>
      <top style="medium">
        <color indexed="64"/>
      </top>
      <bottom/>
      <diagonal/>
    </border>
    <border>
      <left style="thick">
        <color indexed="52"/>
      </left>
      <right/>
      <top style="medium">
        <color indexed="64"/>
      </top>
      <bottom/>
      <diagonal/>
    </border>
    <border>
      <left/>
      <right style="thick">
        <color indexed="52"/>
      </right>
      <top style="medium">
        <color indexed="64"/>
      </top>
      <bottom/>
      <diagonal/>
    </border>
    <border>
      <left style="medium">
        <color indexed="64"/>
      </left>
      <right style="thick">
        <color indexed="52"/>
      </right>
      <top style="hair">
        <color indexed="52"/>
      </top>
      <bottom style="thick">
        <color indexed="52"/>
      </bottom>
      <diagonal/>
    </border>
    <border>
      <left style="thick">
        <color indexed="52"/>
      </left>
      <right style="hair">
        <color indexed="52"/>
      </right>
      <top style="hair">
        <color indexed="52"/>
      </top>
      <bottom style="medium">
        <color indexed="64"/>
      </bottom>
      <diagonal/>
    </border>
    <border>
      <left style="hair">
        <color indexed="52"/>
      </left>
      <right style="hair">
        <color indexed="52"/>
      </right>
      <top style="hair">
        <color indexed="52"/>
      </top>
      <bottom style="medium">
        <color indexed="64"/>
      </bottom>
      <diagonal/>
    </border>
    <border>
      <left style="hair">
        <color indexed="52"/>
      </left>
      <right/>
      <top style="hair">
        <color indexed="52"/>
      </top>
      <bottom style="medium">
        <color indexed="64"/>
      </bottom>
      <diagonal/>
    </border>
    <border>
      <left style="thick">
        <color indexed="52"/>
      </left>
      <right/>
      <top style="thick">
        <color indexed="5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52"/>
      </bottom>
      <diagonal/>
    </border>
    <border>
      <left/>
      <right style="thin">
        <color indexed="64"/>
      </right>
      <top style="thick">
        <color indexed="52"/>
      </top>
      <bottom style="dotted">
        <color indexed="52"/>
      </bottom>
      <diagonal/>
    </border>
    <border>
      <left/>
      <right style="thin">
        <color indexed="64"/>
      </right>
      <top style="dotted">
        <color indexed="52"/>
      </top>
      <bottom style="dotted">
        <color indexed="52"/>
      </bottom>
      <diagonal/>
    </border>
    <border>
      <left style="thick">
        <color indexed="52"/>
      </left>
      <right style="thin">
        <color indexed="64"/>
      </right>
      <top style="thick">
        <color indexed="5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7" fillId="0" borderId="0"/>
    <xf numFmtId="0" fontId="2" fillId="0" borderId="0"/>
  </cellStyleXfs>
  <cellXfs count="94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2" xfId="0" applyFont="1" applyBorder="1" applyAlignment="1">
      <alignment horizontal="center" vertical="center" wrapText="1"/>
    </xf>
    <xf numFmtId="0" fontId="5" fillId="2" borderId="3" xfId="0" applyFont="1" applyFill="1" applyBorder="1"/>
    <xf numFmtId="0" fontId="5" fillId="2" borderId="0" xfId="0" applyFont="1" applyFill="1"/>
    <xf numFmtId="0" fontId="9" fillId="0" borderId="2" xfId="0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4" fillId="0" borderId="0" xfId="0" applyFont="1"/>
    <xf numFmtId="0" fontId="14" fillId="0" borderId="7" xfId="0" applyFont="1" applyBorder="1"/>
    <xf numFmtId="14" fontId="14" fillId="0" borderId="7" xfId="0" applyNumberFormat="1" applyFont="1" applyBorder="1"/>
    <xf numFmtId="0" fontId="14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4" fontId="14" fillId="0" borderId="6" xfId="0" applyNumberFormat="1" applyFont="1" applyBorder="1"/>
    <xf numFmtId="0" fontId="16" fillId="0" borderId="0" xfId="0" applyFont="1" applyAlignment="1">
      <alignment horizontal="left" vertical="center"/>
    </xf>
    <xf numFmtId="14" fontId="14" fillId="0" borderId="0" xfId="0" applyNumberFormat="1" applyFont="1"/>
    <xf numFmtId="0" fontId="14" fillId="0" borderId="7" xfId="0" applyFont="1" applyBorder="1" applyAlignment="1">
      <alignment horizontal="center"/>
    </xf>
    <xf numFmtId="165" fontId="14" fillId="0" borderId="7" xfId="0" applyNumberFormat="1" applyFont="1" applyBorder="1"/>
    <xf numFmtId="14" fontId="14" fillId="0" borderId="6" xfId="0" applyNumberFormat="1" applyFont="1" applyBorder="1" applyAlignment="1">
      <alignment horizontal="center"/>
    </xf>
    <xf numFmtId="0" fontId="0" fillId="0" borderId="8" xfId="0" applyBorder="1"/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7" fillId="0" borderId="2" xfId="0" applyNumberFormat="1" applyFont="1" applyBorder="1" applyAlignment="1">
      <alignment horizontal="center" vertical="center" wrapText="1"/>
    </xf>
    <xf numFmtId="0" fontId="14" fillId="0" borderId="0" xfId="2" applyFont="1"/>
    <xf numFmtId="0" fontId="18" fillId="0" borderId="0" xfId="2" applyFont="1"/>
    <xf numFmtId="0" fontId="17" fillId="0" borderId="0" xfId="2"/>
    <xf numFmtId="0" fontId="14" fillId="0" borderId="0" xfId="2" applyFont="1" applyAlignment="1">
      <alignment horizontal="left" wrapText="1"/>
    </xf>
    <xf numFmtId="0" fontId="18" fillId="0" borderId="10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5" xfId="2" applyFont="1" applyBorder="1" applyAlignment="1">
      <alignment horizontal="center"/>
    </xf>
    <xf numFmtId="0" fontId="18" fillId="0" borderId="16" xfId="2" applyFont="1" applyBorder="1" applyAlignment="1">
      <alignment horizontal="center"/>
    </xf>
    <xf numFmtId="0" fontId="14" fillId="0" borderId="18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4" fillId="0" borderId="19" xfId="2" applyFont="1" applyBorder="1"/>
    <xf numFmtId="0" fontId="14" fillId="0" borderId="18" xfId="2" applyFont="1" applyBorder="1"/>
    <xf numFmtId="0" fontId="14" fillId="0" borderId="20" xfId="2" applyFont="1" applyBorder="1" applyAlignment="1">
      <alignment horizontal="center" vertical="center"/>
    </xf>
    <xf numFmtId="0" fontId="14" fillId="0" borderId="20" xfId="2" applyFont="1" applyBorder="1"/>
    <xf numFmtId="0" fontId="14" fillId="0" borderId="0" xfId="2" applyFont="1" applyAlignment="1">
      <alignment wrapText="1"/>
    </xf>
    <xf numFmtId="0" fontId="18" fillId="0" borderId="29" xfId="2" applyFont="1" applyBorder="1" applyAlignment="1">
      <alignment horizontal="center"/>
    </xf>
    <xf numFmtId="0" fontId="18" fillId="0" borderId="30" xfId="2" applyFont="1" applyBorder="1" applyAlignment="1">
      <alignment horizontal="center"/>
    </xf>
    <xf numFmtId="0" fontId="21" fillId="0" borderId="32" xfId="2" applyFont="1" applyBorder="1" applyAlignment="1">
      <alignment horizontal="center" vertical="center"/>
    </xf>
    <xf numFmtId="0" fontId="21" fillId="0" borderId="32" xfId="2" applyFont="1" applyBorder="1"/>
    <xf numFmtId="0" fontId="18" fillId="0" borderId="15" xfId="2" applyFont="1" applyBorder="1" applyAlignment="1">
      <alignment horizontal="left"/>
    </xf>
    <xf numFmtId="0" fontId="18" fillId="0" borderId="29" xfId="2" applyFont="1" applyBorder="1" applyAlignment="1">
      <alignment horizontal="left"/>
    </xf>
    <xf numFmtId="0" fontId="14" fillId="0" borderId="35" xfId="2" applyFont="1" applyBorder="1"/>
    <xf numFmtId="0" fontId="14" fillId="0" borderId="36" xfId="2" applyFont="1" applyBorder="1"/>
    <xf numFmtId="0" fontId="21" fillId="0" borderId="37" xfId="2" applyFont="1" applyBorder="1"/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4" fontId="8" fillId="4" borderId="5" xfId="0" applyNumberFormat="1" applyFont="1" applyFill="1" applyBorder="1" applyAlignment="1">
      <alignment horizontal="center" vertical="center" wrapText="1"/>
    </xf>
    <xf numFmtId="14" fontId="14" fillId="0" borderId="5" xfId="0" applyNumberFormat="1" applyFont="1" applyBorder="1"/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165" fontId="14" fillId="0" borderId="5" xfId="0" applyNumberFormat="1" applyFont="1" applyBorder="1"/>
    <xf numFmtId="0" fontId="8" fillId="2" borderId="3" xfId="0" applyFont="1" applyFill="1" applyBorder="1" applyAlignment="1">
      <alignment horizontal="center" vertical="center"/>
    </xf>
    <xf numFmtId="0" fontId="13" fillId="0" borderId="0" xfId="0" applyFont="1"/>
    <xf numFmtId="0" fontId="18" fillId="5" borderId="16" xfId="2" applyFont="1" applyFill="1" applyBorder="1" applyAlignment="1">
      <alignment horizontal="center"/>
    </xf>
    <xf numFmtId="0" fontId="18" fillId="5" borderId="30" xfId="2" applyFont="1" applyFill="1" applyBorder="1" applyAlignment="1">
      <alignment horizontal="center"/>
    </xf>
    <xf numFmtId="0" fontId="18" fillId="5" borderId="17" xfId="2" applyFont="1" applyFill="1" applyBorder="1" applyAlignment="1">
      <alignment horizontal="center"/>
    </xf>
    <xf numFmtId="0" fontId="18" fillId="5" borderId="31" xfId="2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horizontal="left" vertical="top"/>
    </xf>
    <xf numFmtId="0" fontId="5" fillId="0" borderId="0" xfId="0" applyFont="1" applyAlignment="1">
      <alignment horizontal="left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 wrapText="1"/>
    </xf>
    <xf numFmtId="0" fontId="22" fillId="3" borderId="0" xfId="2" applyFont="1" applyFill="1" applyAlignment="1">
      <alignment horizontal="center" vertical="center" wrapText="1"/>
    </xf>
    <xf numFmtId="0" fontId="19" fillId="0" borderId="0" xfId="2" applyFont="1"/>
    <xf numFmtId="166" fontId="20" fillId="0" borderId="0" xfId="2" applyNumberFormat="1" applyFont="1" applyAlignment="1">
      <alignment horizontal="center"/>
    </xf>
    <xf numFmtId="0" fontId="20" fillId="0" borderId="0" xfId="2" applyFont="1"/>
    <xf numFmtId="0" fontId="15" fillId="0" borderId="21" xfId="2" applyFont="1" applyBorder="1" applyAlignment="1">
      <alignment horizontal="center" vertical="center"/>
    </xf>
    <xf numFmtId="0" fontId="14" fillId="0" borderId="28" xfId="2" applyFont="1" applyBorder="1"/>
    <xf numFmtId="0" fontId="15" fillId="0" borderId="22" xfId="2" applyFont="1" applyBorder="1" applyAlignment="1">
      <alignment horizontal="center" vertical="center"/>
    </xf>
    <xf numFmtId="0" fontId="14" fillId="0" borderId="9" xfId="2" applyFont="1" applyBorder="1"/>
    <xf numFmtId="0" fontId="20" fillId="0" borderId="23" xfId="2" applyFont="1" applyBorder="1" applyAlignment="1">
      <alignment horizontal="center" vertical="center"/>
    </xf>
    <xf numFmtId="0" fontId="18" fillId="0" borderId="24" xfId="2" applyFont="1" applyBorder="1" applyAlignment="1">
      <alignment horizontal="center" vertical="center"/>
    </xf>
    <xf numFmtId="0" fontId="18" fillId="0" borderId="25" xfId="2" applyFont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1" fillId="0" borderId="26" xfId="2" applyFont="1" applyBorder="1" applyAlignment="1">
      <alignment horizontal="center" vertical="center" textRotation="90"/>
    </xf>
    <xf numFmtId="0" fontId="21" fillId="0" borderId="27" xfId="2" applyFont="1" applyBorder="1" applyAlignment="1">
      <alignment horizontal="center" vertical="center" textRotation="90"/>
    </xf>
    <xf numFmtId="0" fontId="21" fillId="0" borderId="13" xfId="2" applyFont="1" applyBorder="1" applyAlignment="1">
      <alignment horizontal="center" vertical="center" textRotation="90"/>
    </xf>
    <xf numFmtId="0" fontId="21" fillId="0" borderId="14" xfId="2" applyFont="1" applyBorder="1" applyAlignment="1">
      <alignment horizontal="center" vertical="center" textRotation="90"/>
    </xf>
    <xf numFmtId="0" fontId="21" fillId="0" borderId="26" xfId="2" applyFont="1" applyBorder="1" applyAlignment="1">
      <alignment horizontal="center" vertical="center" textRotation="90" wrapText="1"/>
    </xf>
    <xf numFmtId="0" fontId="21" fillId="0" borderId="33" xfId="2" applyFont="1" applyBorder="1" applyAlignment="1">
      <alignment horizontal="center" vertical="center" textRotation="90" wrapText="1"/>
    </xf>
    <xf numFmtId="0" fontId="21" fillId="0" borderId="13" xfId="2" applyFont="1" applyBorder="1" applyAlignment="1">
      <alignment horizontal="center" vertical="center" textRotation="90" wrapText="1"/>
    </xf>
    <xf numFmtId="0" fontId="21" fillId="0" borderId="34" xfId="2" applyFont="1" applyBorder="1" applyAlignment="1">
      <alignment horizontal="center" vertical="center" textRotation="90" wrapText="1"/>
    </xf>
  </cellXfs>
  <cellStyles count="4">
    <cellStyle name="Linked Cell" xfId="1" builtinId="24"/>
    <cellStyle name="Normal" xfId="0" builtinId="0"/>
    <cellStyle name="Обычный 2" xfId="3" xr:uid="{39ED7B26-4DBC-5E49-8027-6088BB281F23}"/>
    <cellStyle name="Обычный 4" xfId="2" xr:uid="{867CB820-42E4-1044-B54E-5279BBFA57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rinareshetnikova\Desktop\&#1069;&#1082;&#1086;&#1085;&#1086;&#1084;&#1080;&#1095;&#1077;&#1089;&#1082;&#1072;&#1103;%20&#1080;&#1085;&#1092;&#1086;&#1088;&#1084;&#1072;&#1090;&#1080;&#1082;&#1072;\&#1051;&#1072;&#1073;%206\&#1059;&#1087;&#1088;&#1072;&#1078;&#1085;&#1077;&#1085;&#1080;&#1077;%206_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PERS\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дание 2"/>
      <sheetName val="задание 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7FFC-F1A4-4246-9827-01F917BB18D5}">
  <dimension ref="A1:M64"/>
  <sheetViews>
    <sheetView showGridLines="0" topLeftCell="A20" zoomScale="94" workbookViewId="0">
      <selection activeCell="D47" sqref="D47"/>
    </sheetView>
  </sheetViews>
  <sheetFormatPr defaultColWidth="10.6640625" defaultRowHeight="16" x14ac:dyDescent="0.4"/>
  <cols>
    <col min="1" max="1" width="15" style="4" customWidth="1"/>
    <col min="2" max="2" width="14.33203125" style="4" customWidth="1"/>
    <col min="3" max="3" width="14.5" style="4" bestFit="1" customWidth="1"/>
    <col min="4" max="4" width="16.33203125" style="4" customWidth="1"/>
    <col min="5" max="7" width="10.83203125" style="4"/>
    <col min="8" max="8" width="24.5" style="4" customWidth="1"/>
    <col min="9" max="9" width="10.83203125" style="4"/>
    <col min="10" max="10" width="21.83203125" style="4" customWidth="1"/>
    <col min="11" max="13" width="10.83203125" style="4"/>
  </cols>
  <sheetData>
    <row r="1" spans="1:10" ht="97" customHeight="1" x14ac:dyDescent="0.4">
      <c r="A1" s="66" t="s">
        <v>0</v>
      </c>
      <c r="B1" s="66"/>
      <c r="C1" s="66"/>
      <c r="D1" s="66"/>
      <c r="G1" s="66" t="s">
        <v>1</v>
      </c>
      <c r="H1" s="66"/>
      <c r="I1" s="66"/>
      <c r="J1" s="66"/>
    </row>
    <row r="3" spans="1:10" x14ac:dyDescent="0.4">
      <c r="A3" s="5">
        <v>7</v>
      </c>
      <c r="B3" s="5">
        <v>15</v>
      </c>
      <c r="C3" s="5">
        <v>-25</v>
      </c>
      <c r="D3" s="5">
        <v>23</v>
      </c>
      <c r="G3" s="1" t="s">
        <v>2</v>
      </c>
      <c r="H3" s="1" t="s">
        <v>3</v>
      </c>
      <c r="I3" s="1" t="s">
        <v>4</v>
      </c>
    </row>
    <row r="4" spans="1:10" ht="16.5" thickBot="1" x14ac:dyDescent="0.45">
      <c r="A4" s="5">
        <v>13</v>
      </c>
      <c r="B4" s="5">
        <v>-3</v>
      </c>
      <c r="C4" s="5">
        <v>11</v>
      </c>
      <c r="D4" s="5">
        <v>98</v>
      </c>
      <c r="E4" s="4" t="s">
        <v>5</v>
      </c>
      <c r="G4" s="2">
        <v>2024</v>
      </c>
      <c r="H4" s="2" t="s">
        <v>6</v>
      </c>
      <c r="I4" s="3">
        <v>100</v>
      </c>
    </row>
    <row r="5" spans="1:10" ht="16.5" thickBot="1" x14ac:dyDescent="0.45">
      <c r="A5" s="5">
        <v>1</v>
      </c>
      <c r="B5" s="5">
        <v>2</v>
      </c>
      <c r="C5" s="5">
        <v>-2</v>
      </c>
      <c r="D5" s="5">
        <v>22</v>
      </c>
      <c r="E5" s="6">
        <f>AVERAGEIF(A3:D5,"&gt;0")</f>
        <v>21.333333333333332</v>
      </c>
      <c r="G5" s="2">
        <v>2024</v>
      </c>
      <c r="H5" s="2" t="s">
        <v>7</v>
      </c>
      <c r="I5" s="3">
        <v>230</v>
      </c>
    </row>
    <row r="6" spans="1:10" x14ac:dyDescent="0.4">
      <c r="G6" s="2">
        <v>2024</v>
      </c>
      <c r="H6" s="2" t="s">
        <v>8</v>
      </c>
      <c r="I6" s="3">
        <v>235</v>
      </c>
    </row>
    <row r="7" spans="1:10" x14ac:dyDescent="0.4">
      <c r="A7" s="67" t="s">
        <v>9</v>
      </c>
      <c r="B7" s="67"/>
      <c r="C7" s="67"/>
      <c r="D7" s="67"/>
      <c r="G7" s="2">
        <v>2024</v>
      </c>
      <c r="H7" s="2" t="s">
        <v>10</v>
      </c>
      <c r="I7" s="3">
        <v>123</v>
      </c>
      <c r="J7" s="4" t="s">
        <v>5</v>
      </c>
    </row>
    <row r="8" spans="1:10" x14ac:dyDescent="0.4">
      <c r="A8" s="67"/>
      <c r="B8" s="67"/>
      <c r="C8" s="67"/>
      <c r="D8" s="67"/>
      <c r="G8" s="2">
        <v>2023</v>
      </c>
      <c r="H8" s="2" t="s">
        <v>11</v>
      </c>
      <c r="I8" s="3">
        <v>240</v>
      </c>
      <c r="J8" s="7">
        <f>AVERAGEIFS(I4:I15, G4:G15, "2024", H4:H15, "*яблок*")</f>
        <v>145.75</v>
      </c>
    </row>
    <row r="9" spans="1:10" x14ac:dyDescent="0.4">
      <c r="G9" s="2">
        <v>2023</v>
      </c>
      <c r="H9" s="2" t="s">
        <v>6</v>
      </c>
      <c r="I9" s="3">
        <v>200</v>
      </c>
    </row>
    <row r="10" spans="1:10" x14ac:dyDescent="0.4">
      <c r="A10" s="8" t="s">
        <v>12</v>
      </c>
      <c r="B10" s="8" t="s">
        <v>13</v>
      </c>
      <c r="C10" s="8" t="s">
        <v>14</v>
      </c>
      <c r="G10" s="2">
        <v>2024</v>
      </c>
      <c r="H10" s="2" t="s">
        <v>15</v>
      </c>
      <c r="I10" s="3">
        <v>123</v>
      </c>
    </row>
    <row r="11" spans="1:10" x14ac:dyDescent="0.4">
      <c r="A11" s="5" t="s">
        <v>16</v>
      </c>
      <c r="B11" s="5" t="s">
        <v>17</v>
      </c>
      <c r="C11" s="25">
        <v>56.45</v>
      </c>
      <c r="G11" s="2">
        <v>2023</v>
      </c>
      <c r="H11" s="2" t="s">
        <v>18</v>
      </c>
      <c r="I11" s="3">
        <v>230</v>
      </c>
    </row>
    <row r="12" spans="1:10" x14ac:dyDescent="0.4">
      <c r="A12" s="5" t="s">
        <v>16</v>
      </c>
      <c r="B12" s="5" t="s">
        <v>19</v>
      </c>
      <c r="C12" s="25">
        <v>23.67</v>
      </c>
      <c r="G12" s="2">
        <v>2024</v>
      </c>
      <c r="H12" s="2" t="s">
        <v>10</v>
      </c>
      <c r="I12" s="3">
        <v>130</v>
      </c>
    </row>
    <row r="13" spans="1:10" ht="16.5" thickBot="1" x14ac:dyDescent="0.45">
      <c r="A13" s="5" t="s">
        <v>16</v>
      </c>
      <c r="B13" s="5" t="s">
        <v>20</v>
      </c>
      <c r="C13" s="25">
        <v>235.78</v>
      </c>
      <c r="D13" s="4" t="s">
        <v>5</v>
      </c>
      <c r="G13" s="2">
        <v>2023</v>
      </c>
      <c r="H13" s="2" t="s">
        <v>15</v>
      </c>
      <c r="I13" s="3">
        <v>215</v>
      </c>
    </row>
    <row r="14" spans="1:10" ht="16.5" thickBot="1" x14ac:dyDescent="0.45">
      <c r="A14" s="5" t="s">
        <v>21</v>
      </c>
      <c r="B14" s="5" t="s">
        <v>22</v>
      </c>
      <c r="C14" s="25">
        <v>123.9</v>
      </c>
      <c r="D14" s="6">
        <f>AVERAGEIF(B11:B22,"Но-шпа",C11:C22)</f>
        <v>49.15</v>
      </c>
      <c r="G14" s="2">
        <v>2023</v>
      </c>
      <c r="H14" s="2" t="s">
        <v>23</v>
      </c>
      <c r="I14" s="3">
        <v>46</v>
      </c>
    </row>
    <row r="15" spans="1:10" x14ac:dyDescent="0.4">
      <c r="A15" s="5" t="s">
        <v>21</v>
      </c>
      <c r="B15" s="5" t="s">
        <v>20</v>
      </c>
      <c r="C15" s="25">
        <v>240</v>
      </c>
      <c r="G15" s="2">
        <v>2023</v>
      </c>
      <c r="H15" s="2" t="s">
        <v>24</v>
      </c>
      <c r="I15" s="3">
        <v>43</v>
      </c>
    </row>
    <row r="16" spans="1:10" x14ac:dyDescent="0.4">
      <c r="A16" s="5" t="s">
        <v>21</v>
      </c>
      <c r="B16" s="5" t="s">
        <v>19</v>
      </c>
      <c r="C16" s="25">
        <v>20</v>
      </c>
    </row>
    <row r="17" spans="1:11" x14ac:dyDescent="0.4">
      <c r="A17" s="5" t="s">
        <v>25</v>
      </c>
      <c r="B17" s="5" t="s">
        <v>17</v>
      </c>
      <c r="C17" s="25">
        <v>45</v>
      </c>
      <c r="G17" s="67" t="s">
        <v>28</v>
      </c>
      <c r="H17" s="67"/>
      <c r="I17" s="67"/>
      <c r="J17" s="67"/>
    </row>
    <row r="18" spans="1:11" x14ac:dyDescent="0.4">
      <c r="A18" s="5" t="s">
        <v>25</v>
      </c>
      <c r="B18" s="5" t="s">
        <v>19</v>
      </c>
      <c r="C18" s="25">
        <v>23</v>
      </c>
    </row>
    <row r="19" spans="1:11" x14ac:dyDescent="0.4">
      <c r="A19" s="5" t="s">
        <v>25</v>
      </c>
      <c r="B19" s="5" t="s">
        <v>22</v>
      </c>
      <c r="C19" s="25">
        <v>130</v>
      </c>
    </row>
    <row r="20" spans="1:11" x14ac:dyDescent="0.4">
      <c r="A20" s="5" t="s">
        <v>26</v>
      </c>
      <c r="B20" s="5" t="s">
        <v>20</v>
      </c>
      <c r="C20" s="25">
        <v>215</v>
      </c>
    </row>
    <row r="21" spans="1:11" x14ac:dyDescent="0.4">
      <c r="A21" s="5" t="s">
        <v>26</v>
      </c>
      <c r="B21" s="5" t="s">
        <v>17</v>
      </c>
      <c r="C21" s="25">
        <v>46</v>
      </c>
    </row>
    <row r="22" spans="1:11" x14ac:dyDescent="0.4">
      <c r="A22" s="5" t="s">
        <v>26</v>
      </c>
      <c r="B22" s="5" t="s">
        <v>19</v>
      </c>
      <c r="C22" s="25">
        <v>43</v>
      </c>
    </row>
    <row r="24" spans="1:11" x14ac:dyDescent="0.4">
      <c r="A24" s="67" t="s">
        <v>27</v>
      </c>
      <c r="B24" s="67"/>
      <c r="C24" s="67"/>
      <c r="D24" s="67"/>
    </row>
    <row r="28" spans="1:11" ht="52" customHeight="1" x14ac:dyDescent="0.4">
      <c r="A28" s="66" t="s">
        <v>29</v>
      </c>
      <c r="B28" s="66"/>
      <c r="C28" s="66"/>
      <c r="D28" s="66"/>
      <c r="G28" s="66" t="s">
        <v>30</v>
      </c>
      <c r="H28" s="66"/>
      <c r="I28" s="66"/>
      <c r="J28" s="66"/>
    </row>
    <row r="30" spans="1:11" ht="16.5" thickBot="1" x14ac:dyDescent="0.45">
      <c r="A30" s="5">
        <v>17</v>
      </c>
      <c r="B30" s="5">
        <v>15</v>
      </c>
      <c r="C30" s="5">
        <v>25</v>
      </c>
      <c r="D30" s="5">
        <v>-1</v>
      </c>
      <c r="E30" s="4" t="s">
        <v>5</v>
      </c>
      <c r="G30" s="5">
        <v>17</v>
      </c>
      <c r="H30" s="5">
        <v>15</v>
      </c>
      <c r="I30" s="5">
        <v>25</v>
      </c>
      <c r="J30" s="5">
        <v>-1</v>
      </c>
      <c r="K30" s="4" t="s">
        <v>5</v>
      </c>
    </row>
    <row r="31" spans="1:11" ht="16.5" thickBot="1" x14ac:dyDescent="0.45">
      <c r="A31" s="5">
        <v>13</v>
      </c>
      <c r="B31" s="5">
        <v>-3</v>
      </c>
      <c r="C31" s="5">
        <v>11</v>
      </c>
      <c r="D31" s="5">
        <v>2</v>
      </c>
      <c r="E31" s="6">
        <f>COUNTIF(A30:D35,"&lt;0")</f>
        <v>2</v>
      </c>
      <c r="G31" s="5">
        <v>13</v>
      </c>
      <c r="H31" s="5">
        <v>-3</v>
      </c>
      <c r="I31" s="5">
        <v>11</v>
      </c>
      <c r="J31" s="5">
        <v>2</v>
      </c>
      <c r="K31" s="6">
        <f>COUNTIFS(G30:J35,"&gt;0",G30:J35,"&lt;50")</f>
        <v>17</v>
      </c>
    </row>
    <row r="32" spans="1:11" x14ac:dyDescent="0.4">
      <c r="A32" s="5">
        <v>1</v>
      </c>
      <c r="B32" s="5">
        <v>2</v>
      </c>
      <c r="C32" s="5">
        <v>2</v>
      </c>
      <c r="D32" s="5">
        <v>25</v>
      </c>
      <c r="G32" s="5">
        <v>-1</v>
      </c>
      <c r="H32" s="5">
        <v>2</v>
      </c>
      <c r="I32" s="5">
        <v>2</v>
      </c>
      <c r="J32" s="5">
        <v>25</v>
      </c>
    </row>
    <row r="33" spans="1:10" x14ac:dyDescent="0.4">
      <c r="A33" s="5">
        <v>5</v>
      </c>
      <c r="B33" s="5">
        <v>10</v>
      </c>
      <c r="C33" s="5">
        <v>25</v>
      </c>
      <c r="D33" s="5">
        <v>11</v>
      </c>
      <c r="G33" s="5">
        <v>5</v>
      </c>
      <c r="H33" s="5">
        <v>10</v>
      </c>
      <c r="I33" s="5">
        <v>25</v>
      </c>
      <c r="J33" s="5">
        <v>11</v>
      </c>
    </row>
    <row r="34" spans="1:10" x14ac:dyDescent="0.4">
      <c r="A34" s="5">
        <v>99</v>
      </c>
      <c r="B34" s="5">
        <v>1</v>
      </c>
      <c r="C34" s="5">
        <v>11</v>
      </c>
      <c r="D34" s="5">
        <v>2</v>
      </c>
      <c r="G34" s="5">
        <v>99</v>
      </c>
      <c r="H34" s="5">
        <v>1</v>
      </c>
      <c r="I34" s="5">
        <v>11</v>
      </c>
      <c r="J34" s="5">
        <v>2</v>
      </c>
    </row>
    <row r="35" spans="1:10" x14ac:dyDescent="0.4">
      <c r="A35" s="5">
        <v>54</v>
      </c>
      <c r="B35" s="5">
        <v>12</v>
      </c>
      <c r="C35" s="5">
        <v>2</v>
      </c>
      <c r="D35" s="5">
        <v>54</v>
      </c>
      <c r="G35" s="5">
        <v>54</v>
      </c>
      <c r="H35" s="5">
        <v>12</v>
      </c>
      <c r="I35" s="5">
        <v>-2</v>
      </c>
      <c r="J35" s="5">
        <v>54</v>
      </c>
    </row>
    <row r="37" spans="1:10" ht="44" customHeight="1" x14ac:dyDescent="0.4">
      <c r="A37" s="67" t="s">
        <v>31</v>
      </c>
      <c r="B37" s="67"/>
      <c r="C37" s="67"/>
      <c r="D37" s="67"/>
      <c r="G37" s="67" t="s">
        <v>32</v>
      </c>
      <c r="H37" s="67"/>
      <c r="I37" s="67"/>
      <c r="J37" s="67"/>
    </row>
    <row r="41" spans="1:10" ht="52" customHeight="1" x14ac:dyDescent="0.4">
      <c r="A41" s="66" t="s">
        <v>124</v>
      </c>
      <c r="B41" s="66"/>
      <c r="C41" s="66"/>
      <c r="D41" s="66"/>
    </row>
    <row r="45" spans="1:10" x14ac:dyDescent="0.4">
      <c r="A45" s="9" t="s">
        <v>33</v>
      </c>
      <c r="B45" s="9" t="s">
        <v>34</v>
      </c>
      <c r="C45" s="9" t="s">
        <v>35</v>
      </c>
      <c r="D45" s="9" t="s">
        <v>36</v>
      </c>
    </row>
    <row r="46" spans="1:10" ht="16.5" thickBot="1" x14ac:dyDescent="0.45">
      <c r="A46" s="10" t="s">
        <v>38</v>
      </c>
      <c r="B46" s="10">
        <v>10001</v>
      </c>
      <c r="C46" s="10" t="s">
        <v>37</v>
      </c>
      <c r="D46" s="10">
        <v>71</v>
      </c>
      <c r="F46" s="70" t="s">
        <v>5</v>
      </c>
      <c r="G46" s="70"/>
    </row>
    <row r="47" spans="1:10" ht="16.5" thickBot="1" x14ac:dyDescent="0.45">
      <c r="A47" s="10" t="s">
        <v>38</v>
      </c>
      <c r="B47" s="10">
        <v>10002</v>
      </c>
      <c r="C47" s="10" t="s">
        <v>39</v>
      </c>
      <c r="D47" s="10">
        <v>56</v>
      </c>
      <c r="F47" s="24">
        <v>1</v>
      </c>
      <c r="G47" s="6">
        <f>SUMIF(D46:D60,"&gt;70",D46:D60)</f>
        <v>325</v>
      </c>
    </row>
    <row r="48" spans="1:10" ht="16.5" thickBot="1" x14ac:dyDescent="0.45">
      <c r="A48" s="10" t="s">
        <v>40</v>
      </c>
      <c r="B48" s="10">
        <v>10003</v>
      </c>
      <c r="C48" s="10" t="s">
        <v>41</v>
      </c>
      <c r="D48" s="10">
        <v>52</v>
      </c>
      <c r="F48" s="24">
        <v>2</v>
      </c>
      <c r="G48" s="6">
        <f>SUMIF(A46:A60,"Группа А",D46:D60)</f>
        <v>310</v>
      </c>
    </row>
    <row r="49" spans="1:7" ht="16.5" thickBot="1" x14ac:dyDescent="0.45">
      <c r="A49" s="10" t="s">
        <v>40</v>
      </c>
      <c r="B49" s="10">
        <v>10004</v>
      </c>
      <c r="C49" s="10" t="s">
        <v>42</v>
      </c>
      <c r="D49" s="10">
        <v>31</v>
      </c>
      <c r="F49" s="24">
        <v>3</v>
      </c>
      <c r="G49" s="6">
        <f>SUMIFS(D46:D60,A46:A60,"Группа А",C46:C60,"Название 2")</f>
        <v>112</v>
      </c>
    </row>
    <row r="50" spans="1:7" x14ac:dyDescent="0.4">
      <c r="A50" s="10" t="s">
        <v>40</v>
      </c>
      <c r="B50" s="10">
        <v>10005</v>
      </c>
      <c r="C50" s="10" t="s">
        <v>37</v>
      </c>
      <c r="D50" s="10">
        <v>24</v>
      </c>
    </row>
    <row r="51" spans="1:7" x14ac:dyDescent="0.4">
      <c r="A51" s="10" t="s">
        <v>38</v>
      </c>
      <c r="B51" s="10">
        <v>10006</v>
      </c>
      <c r="C51" s="10" t="s">
        <v>39</v>
      </c>
      <c r="D51" s="10">
        <v>56</v>
      </c>
    </row>
    <row r="52" spans="1:7" x14ac:dyDescent="0.4">
      <c r="A52" s="10" t="s">
        <v>38</v>
      </c>
      <c r="B52" s="10">
        <v>10007</v>
      </c>
      <c r="C52" s="10" t="s">
        <v>41</v>
      </c>
      <c r="D52" s="10">
        <v>72</v>
      </c>
    </row>
    <row r="53" spans="1:7" x14ac:dyDescent="0.4">
      <c r="A53" s="10" t="s">
        <v>40</v>
      </c>
      <c r="B53" s="10">
        <v>10008</v>
      </c>
      <c r="C53" s="10" t="s">
        <v>42</v>
      </c>
      <c r="D53" s="10">
        <v>51</v>
      </c>
    </row>
    <row r="54" spans="1:7" x14ac:dyDescent="0.4">
      <c r="A54" s="10" t="s">
        <v>40</v>
      </c>
      <c r="B54" s="10">
        <v>10009</v>
      </c>
      <c r="C54" s="10" t="s">
        <v>37</v>
      </c>
      <c r="D54" s="10">
        <v>92</v>
      </c>
    </row>
    <row r="55" spans="1:7" x14ac:dyDescent="0.4">
      <c r="A55" s="10" t="s">
        <v>40</v>
      </c>
      <c r="B55" s="10">
        <v>10010</v>
      </c>
      <c r="C55" s="10" t="s">
        <v>39</v>
      </c>
      <c r="D55" s="10">
        <v>59</v>
      </c>
    </row>
    <row r="56" spans="1:7" x14ac:dyDescent="0.4">
      <c r="A56" s="10" t="s">
        <v>38</v>
      </c>
      <c r="B56" s="10">
        <v>10011</v>
      </c>
      <c r="C56" s="10" t="s">
        <v>41</v>
      </c>
      <c r="D56" s="10">
        <v>21</v>
      </c>
    </row>
    <row r="57" spans="1:7" x14ac:dyDescent="0.4">
      <c r="A57" s="10" t="s">
        <v>38</v>
      </c>
      <c r="B57" s="10">
        <v>10012</v>
      </c>
      <c r="C57" s="10" t="s">
        <v>42</v>
      </c>
      <c r="D57" s="10">
        <v>34</v>
      </c>
    </row>
    <row r="58" spans="1:7" x14ac:dyDescent="0.4">
      <c r="A58" s="10" t="s">
        <v>40</v>
      </c>
      <c r="B58" s="10">
        <v>10013</v>
      </c>
      <c r="C58" s="10" t="s">
        <v>37</v>
      </c>
      <c r="D58" s="10">
        <v>56</v>
      </c>
    </row>
    <row r="59" spans="1:7" x14ac:dyDescent="0.4">
      <c r="A59" s="10" t="s">
        <v>40</v>
      </c>
      <c r="B59" s="10">
        <v>10014</v>
      </c>
      <c r="C59" s="10" t="s">
        <v>39</v>
      </c>
      <c r="D59" s="10">
        <v>42</v>
      </c>
    </row>
    <row r="60" spans="1:7" x14ac:dyDescent="0.4">
      <c r="A60" s="10" t="s">
        <v>40</v>
      </c>
      <c r="B60" s="10">
        <v>10015</v>
      </c>
      <c r="C60" s="10" t="s">
        <v>41</v>
      </c>
      <c r="D60" s="10">
        <v>90</v>
      </c>
    </row>
    <row r="61" spans="1:7" ht="21" x14ac:dyDescent="0.4">
      <c r="A61" s="23" t="s">
        <v>43</v>
      </c>
      <c r="B61" s="22"/>
      <c r="C61" s="22"/>
      <c r="D61" s="23">
        <f>SUM(D46:D60)</f>
        <v>807</v>
      </c>
    </row>
    <row r="63" spans="1:7" x14ac:dyDescent="0.4">
      <c r="A63" s="68" t="s">
        <v>125</v>
      </c>
      <c r="B63" s="69"/>
      <c r="C63" s="69"/>
      <c r="D63" s="69"/>
    </row>
    <row r="64" spans="1:7" ht="56" customHeight="1" x14ac:dyDescent="0.4">
      <c r="A64" s="69"/>
      <c r="B64" s="69"/>
      <c r="C64" s="69"/>
      <c r="D64" s="69"/>
    </row>
  </sheetData>
  <mergeCells count="12">
    <mergeCell ref="A41:D41"/>
    <mergeCell ref="A63:D64"/>
    <mergeCell ref="F46:G46"/>
    <mergeCell ref="A37:D37"/>
    <mergeCell ref="G37:J37"/>
    <mergeCell ref="A28:D28"/>
    <mergeCell ref="G28:J28"/>
    <mergeCell ref="A1:D1"/>
    <mergeCell ref="G1:J1"/>
    <mergeCell ref="A7:D8"/>
    <mergeCell ref="G17:J17"/>
    <mergeCell ref="A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C09B-B426-9F44-8CEF-4BCBF5226921}">
  <dimension ref="A1:O57"/>
  <sheetViews>
    <sheetView showGridLines="0" topLeftCell="E35" zoomScale="123" zoomScaleNormal="80" workbookViewId="0">
      <selection activeCell="J57" sqref="J57"/>
    </sheetView>
  </sheetViews>
  <sheetFormatPr defaultColWidth="10.6640625" defaultRowHeight="16" x14ac:dyDescent="0.4"/>
  <cols>
    <col min="1" max="1" width="35.1640625" customWidth="1"/>
    <col min="2" max="2" width="5.6640625" customWidth="1"/>
    <col min="3" max="3" width="15.83203125" customWidth="1"/>
    <col min="4" max="4" width="23" customWidth="1"/>
    <col min="5" max="5" width="15.1640625" customWidth="1"/>
    <col min="6" max="6" width="13.6640625" customWidth="1"/>
    <col min="9" max="9" width="53.1640625" customWidth="1"/>
    <col min="10" max="10" width="20.33203125" customWidth="1"/>
  </cols>
  <sheetData>
    <row r="1" spans="1:10" ht="31.5" thickBot="1" x14ac:dyDescent="0.45">
      <c r="A1" s="51" t="s">
        <v>63</v>
      </c>
      <c r="B1" s="52" t="s">
        <v>44</v>
      </c>
      <c r="C1" s="53" t="s">
        <v>45</v>
      </c>
      <c r="D1" s="53" t="s">
        <v>46</v>
      </c>
      <c r="E1" s="52" t="s">
        <v>47</v>
      </c>
      <c r="F1" s="52" t="s">
        <v>117</v>
      </c>
      <c r="G1" s="11"/>
      <c r="H1" s="11"/>
      <c r="I1" s="58" t="s">
        <v>50</v>
      </c>
      <c r="J1" s="58"/>
    </row>
    <row r="2" spans="1:10" x14ac:dyDescent="0.4">
      <c r="A2" s="54" t="s">
        <v>75</v>
      </c>
      <c r="B2" s="55" t="s">
        <v>48</v>
      </c>
      <c r="C2" s="54">
        <v>33653</v>
      </c>
      <c r="D2" s="54" t="s">
        <v>49</v>
      </c>
      <c r="E2" s="56" t="s">
        <v>109</v>
      </c>
      <c r="F2" s="57">
        <v>73600</v>
      </c>
      <c r="G2" s="11"/>
      <c r="H2" s="11"/>
      <c r="I2" s="14" t="s">
        <v>109</v>
      </c>
      <c r="J2" s="12">
        <f>COUNTIF($E$2:$E$51,I2)</f>
        <v>9</v>
      </c>
    </row>
    <row r="3" spans="1:10" x14ac:dyDescent="0.4">
      <c r="A3" s="13" t="s">
        <v>101</v>
      </c>
      <c r="B3" s="19" t="s">
        <v>48</v>
      </c>
      <c r="C3" s="13">
        <v>31541</v>
      </c>
      <c r="D3" s="13" t="s">
        <v>49</v>
      </c>
      <c r="E3" s="12" t="s">
        <v>109</v>
      </c>
      <c r="F3" s="20">
        <v>108800</v>
      </c>
      <c r="G3" s="11"/>
      <c r="H3" s="11"/>
      <c r="I3" s="14" t="s">
        <v>110</v>
      </c>
      <c r="J3" s="12">
        <f t="shared" ref="J3:J5" si="0">COUNTIF($E$2:$E$51,I3)</f>
        <v>10</v>
      </c>
    </row>
    <row r="4" spans="1:10" x14ac:dyDescent="0.4">
      <c r="A4" s="13" t="s">
        <v>107</v>
      </c>
      <c r="B4" s="19" t="s">
        <v>48</v>
      </c>
      <c r="C4" s="13">
        <v>32799</v>
      </c>
      <c r="D4" s="13" t="s">
        <v>59</v>
      </c>
      <c r="E4" s="12" t="s">
        <v>113</v>
      </c>
      <c r="F4" s="20">
        <v>90500</v>
      </c>
      <c r="G4" s="11"/>
      <c r="H4" s="11"/>
      <c r="I4" s="14" t="s">
        <v>113</v>
      </c>
      <c r="J4" s="12">
        <f t="shared" si="0"/>
        <v>17</v>
      </c>
    </row>
    <row r="5" spans="1:10" x14ac:dyDescent="0.4">
      <c r="A5" s="13" t="s">
        <v>74</v>
      </c>
      <c r="B5" s="19" t="s">
        <v>48</v>
      </c>
      <c r="C5" s="13">
        <v>33034</v>
      </c>
      <c r="D5" s="13" t="s">
        <v>56</v>
      </c>
      <c r="E5" s="12" t="s">
        <v>113</v>
      </c>
      <c r="F5" s="20">
        <v>30600</v>
      </c>
      <c r="G5" s="11"/>
      <c r="H5" s="11"/>
      <c r="I5" s="14" t="s">
        <v>114</v>
      </c>
      <c r="J5" s="12">
        <f t="shared" si="0"/>
        <v>14</v>
      </c>
    </row>
    <row r="6" spans="1:10" x14ac:dyDescent="0.4">
      <c r="A6" s="13" t="s">
        <v>91</v>
      </c>
      <c r="B6" s="19" t="s">
        <v>48</v>
      </c>
      <c r="C6" s="13">
        <v>33370</v>
      </c>
      <c r="D6" s="13" t="s">
        <v>53</v>
      </c>
      <c r="E6" s="12" t="s">
        <v>110</v>
      </c>
      <c r="F6" s="20">
        <v>40000</v>
      </c>
      <c r="G6" s="11"/>
      <c r="H6" s="11"/>
    </row>
    <row r="7" spans="1:10" ht="16.5" x14ac:dyDescent="0.4">
      <c r="A7" s="13" t="s">
        <v>65</v>
      </c>
      <c r="B7" s="19" t="s">
        <v>48</v>
      </c>
      <c r="C7" s="13">
        <v>30786</v>
      </c>
      <c r="D7" s="13" t="s">
        <v>53</v>
      </c>
      <c r="E7" s="12" t="s">
        <v>109</v>
      </c>
      <c r="F7" s="20">
        <v>64000</v>
      </c>
      <c r="G7" s="11"/>
      <c r="H7" s="11"/>
      <c r="I7" s="15"/>
      <c r="J7" s="11"/>
    </row>
    <row r="8" spans="1:10" ht="16.5" thickBot="1" x14ac:dyDescent="0.45">
      <c r="A8" s="13" t="s">
        <v>96</v>
      </c>
      <c r="B8" s="19" t="s">
        <v>51</v>
      </c>
      <c r="C8" s="13">
        <v>35549</v>
      </c>
      <c r="D8" s="13" t="s">
        <v>49</v>
      </c>
      <c r="E8" s="12" t="s">
        <v>109</v>
      </c>
      <c r="F8" s="20">
        <v>108800</v>
      </c>
      <c r="G8" s="11"/>
      <c r="H8" s="11"/>
      <c r="I8" s="58" t="s">
        <v>115</v>
      </c>
      <c r="J8" s="58" t="s">
        <v>57</v>
      </c>
    </row>
    <row r="9" spans="1:10" x14ac:dyDescent="0.4">
      <c r="A9" s="13" t="s">
        <v>89</v>
      </c>
      <c r="B9" s="19" t="s">
        <v>51</v>
      </c>
      <c r="C9" s="13">
        <v>33153</v>
      </c>
      <c r="D9" s="13" t="s">
        <v>58</v>
      </c>
      <c r="E9" s="12" t="s">
        <v>113</v>
      </c>
      <c r="F9" s="20">
        <v>19000</v>
      </c>
      <c r="G9" s="11"/>
      <c r="H9" s="11"/>
      <c r="I9" s="14" t="s">
        <v>109</v>
      </c>
      <c r="J9" s="12">
        <f>COUNTIFS($E$2:$E$51,I9,$B$2:$B$51,$J$8)</f>
        <v>2</v>
      </c>
    </row>
    <row r="10" spans="1:10" x14ac:dyDescent="0.4">
      <c r="A10" s="13" t="s">
        <v>103</v>
      </c>
      <c r="B10" s="19" t="s">
        <v>48</v>
      </c>
      <c r="C10" s="13">
        <v>36659</v>
      </c>
      <c r="D10" s="13" t="s">
        <v>56</v>
      </c>
      <c r="E10" s="12" t="s">
        <v>114</v>
      </c>
      <c r="F10" s="20">
        <v>46500</v>
      </c>
      <c r="G10" s="11"/>
      <c r="H10" s="11"/>
      <c r="I10" s="14" t="s">
        <v>110</v>
      </c>
      <c r="J10" s="12">
        <f t="shared" ref="J10:J12" si="1">COUNTIFS($E$2:$E$51,I10,$B$2:$B$51,$J$8)</f>
        <v>2</v>
      </c>
    </row>
    <row r="11" spans="1:10" x14ac:dyDescent="0.4">
      <c r="A11" s="13" t="s">
        <v>66</v>
      </c>
      <c r="B11" s="19" t="s">
        <v>48</v>
      </c>
      <c r="C11" s="13">
        <v>24957</v>
      </c>
      <c r="D11" s="13" t="s">
        <v>49</v>
      </c>
      <c r="E11" s="12" t="s">
        <v>113</v>
      </c>
      <c r="F11" s="20">
        <v>31000</v>
      </c>
      <c r="G11" s="11"/>
      <c r="H11" s="11"/>
      <c r="I11" s="14" t="s">
        <v>113</v>
      </c>
      <c r="J11" s="12">
        <f t="shared" si="1"/>
        <v>5</v>
      </c>
    </row>
    <row r="12" spans="1:10" x14ac:dyDescent="0.4">
      <c r="A12" s="13" t="s">
        <v>60</v>
      </c>
      <c r="B12" s="19" t="s">
        <v>48</v>
      </c>
      <c r="C12" s="13">
        <v>26504</v>
      </c>
      <c r="D12" s="13" t="s">
        <v>53</v>
      </c>
      <c r="E12" s="12" t="s">
        <v>113</v>
      </c>
      <c r="F12" s="20">
        <v>180000</v>
      </c>
      <c r="G12" s="11"/>
      <c r="H12" s="11"/>
      <c r="I12" s="14" t="s">
        <v>114</v>
      </c>
      <c r="J12" s="12">
        <f t="shared" si="1"/>
        <v>5</v>
      </c>
    </row>
    <row r="13" spans="1:10" ht="16.5" x14ac:dyDescent="0.4">
      <c r="A13" s="13" t="s">
        <v>72</v>
      </c>
      <c r="B13" s="19" t="s">
        <v>48</v>
      </c>
      <c r="C13" s="13">
        <v>24898</v>
      </c>
      <c r="D13" s="13" t="s">
        <v>49</v>
      </c>
      <c r="E13" s="12" t="s">
        <v>113</v>
      </c>
      <c r="F13" s="20">
        <v>21000</v>
      </c>
      <c r="G13" s="11"/>
      <c r="H13" s="11"/>
      <c r="I13" s="15"/>
      <c r="J13" s="11"/>
    </row>
    <row r="14" spans="1:10" ht="16.5" thickBot="1" x14ac:dyDescent="0.45">
      <c r="A14" s="13" t="s">
        <v>68</v>
      </c>
      <c r="B14" s="19" t="s">
        <v>48</v>
      </c>
      <c r="C14" s="13">
        <v>31967</v>
      </c>
      <c r="D14" s="16" t="s">
        <v>58</v>
      </c>
      <c r="E14" s="12" t="s">
        <v>114</v>
      </c>
      <c r="F14" s="20">
        <v>34500</v>
      </c>
      <c r="G14" s="11"/>
      <c r="H14" s="11"/>
      <c r="I14" s="58" t="s">
        <v>116</v>
      </c>
      <c r="J14" s="58"/>
    </row>
    <row r="15" spans="1:10" x14ac:dyDescent="0.4">
      <c r="A15" s="13" t="s">
        <v>84</v>
      </c>
      <c r="B15" s="19" t="s">
        <v>51</v>
      </c>
      <c r="C15" s="13">
        <v>28010</v>
      </c>
      <c r="D15" s="13" t="s">
        <v>49</v>
      </c>
      <c r="E15" s="12" t="s">
        <v>114</v>
      </c>
      <c r="F15" s="20">
        <v>151000</v>
      </c>
      <c r="G15" s="11"/>
      <c r="H15" s="11"/>
      <c r="I15" s="14" t="s">
        <v>55</v>
      </c>
      <c r="J15" s="20">
        <f>AVERAGEIF($B$2:$B$51,I15,$F$2:$F$51)</f>
        <v>91080.555555555562</v>
      </c>
    </row>
    <row r="16" spans="1:10" x14ac:dyDescent="0.4">
      <c r="A16" s="13" t="s">
        <v>78</v>
      </c>
      <c r="B16" s="19" t="s">
        <v>51</v>
      </c>
      <c r="C16" s="13">
        <v>25887</v>
      </c>
      <c r="D16" s="13" t="s">
        <v>56</v>
      </c>
      <c r="E16" s="12" t="s">
        <v>114</v>
      </c>
      <c r="F16" s="20">
        <v>46500</v>
      </c>
      <c r="G16" s="11"/>
      <c r="H16" s="11"/>
      <c r="I16" s="14" t="s">
        <v>57</v>
      </c>
      <c r="J16" s="20">
        <f>AVERAGEIF($B$2:$B$51,I16,$F$2:$F$51)</f>
        <v>132421.42857142858</v>
      </c>
    </row>
    <row r="17" spans="1:10" ht="16.5" thickBot="1" x14ac:dyDescent="0.45">
      <c r="A17" s="13" t="s">
        <v>82</v>
      </c>
      <c r="B17" s="19" t="s">
        <v>48</v>
      </c>
      <c r="C17" s="13">
        <v>23927</v>
      </c>
      <c r="D17" s="16" t="s">
        <v>58</v>
      </c>
      <c r="E17" s="12" t="s">
        <v>114</v>
      </c>
      <c r="F17" s="20">
        <v>34500</v>
      </c>
      <c r="G17" s="11"/>
      <c r="H17" s="11"/>
      <c r="I17" s="11"/>
      <c r="J17" s="11"/>
    </row>
    <row r="18" spans="1:10" ht="16.5" thickBot="1" x14ac:dyDescent="0.45">
      <c r="A18" s="13" t="s">
        <v>71</v>
      </c>
      <c r="B18" s="19" t="s">
        <v>48</v>
      </c>
      <c r="C18" s="13">
        <v>22127</v>
      </c>
      <c r="D18" s="13" t="s">
        <v>56</v>
      </c>
      <c r="E18" s="12" t="s">
        <v>110</v>
      </c>
      <c r="F18" s="20">
        <v>251500</v>
      </c>
      <c r="G18" s="11"/>
      <c r="H18" s="11"/>
      <c r="I18" s="58" t="s">
        <v>116</v>
      </c>
      <c r="J18" s="58" t="s">
        <v>55</v>
      </c>
    </row>
    <row r="19" spans="1:10" x14ac:dyDescent="0.4">
      <c r="A19" s="13" t="s">
        <v>73</v>
      </c>
      <c r="B19" s="19" t="s">
        <v>48</v>
      </c>
      <c r="C19" s="13">
        <v>29304</v>
      </c>
      <c r="D19" s="13" t="s">
        <v>49</v>
      </c>
      <c r="E19" s="12" t="s">
        <v>113</v>
      </c>
      <c r="F19" s="20">
        <v>208000</v>
      </c>
      <c r="G19" s="11"/>
      <c r="H19" s="11"/>
      <c r="I19" s="21" t="s">
        <v>49</v>
      </c>
      <c r="J19" s="20">
        <f>AVERAGEIFS($F$2:$F$51,$D$2:$D$51,I19,$B$2:$B$51,$J$18)</f>
        <v>116635.71428571429</v>
      </c>
    </row>
    <row r="20" spans="1:10" x14ac:dyDescent="0.4">
      <c r="A20" s="13" t="s">
        <v>105</v>
      </c>
      <c r="B20" s="19" t="s">
        <v>48</v>
      </c>
      <c r="C20" s="13">
        <v>28493</v>
      </c>
      <c r="D20" s="13" t="s">
        <v>54</v>
      </c>
      <c r="E20" s="12" t="s">
        <v>110</v>
      </c>
      <c r="F20" s="20">
        <v>57500</v>
      </c>
      <c r="G20" s="11"/>
      <c r="H20" s="11"/>
      <c r="I20" s="21" t="s">
        <v>59</v>
      </c>
      <c r="J20" s="20">
        <f t="shared" ref="J20:J24" si="2">AVERAGEIFS($F$2:$F$51,$D$2:$D$51,I20,$B$2:$B$51,$J$18)</f>
        <v>135250</v>
      </c>
    </row>
    <row r="21" spans="1:10" x14ac:dyDescent="0.4">
      <c r="A21" s="13" t="s">
        <v>81</v>
      </c>
      <c r="B21" s="19" t="s">
        <v>48</v>
      </c>
      <c r="C21" s="13">
        <v>32763</v>
      </c>
      <c r="D21" s="13" t="s">
        <v>59</v>
      </c>
      <c r="E21" s="12" t="s">
        <v>113</v>
      </c>
      <c r="F21" s="20">
        <v>180000</v>
      </c>
      <c r="G21" s="11"/>
      <c r="H21" s="11"/>
      <c r="I21" s="21" t="s">
        <v>54</v>
      </c>
      <c r="J21" s="20">
        <f t="shared" si="2"/>
        <v>57500</v>
      </c>
    </row>
    <row r="22" spans="1:10" x14ac:dyDescent="0.4">
      <c r="A22" s="13" t="s">
        <v>86</v>
      </c>
      <c r="B22" s="19" t="s">
        <v>48</v>
      </c>
      <c r="C22" s="13">
        <v>23091</v>
      </c>
      <c r="D22" s="13" t="s">
        <v>49</v>
      </c>
      <c r="E22" s="12" t="s">
        <v>110</v>
      </c>
      <c r="F22" s="20">
        <v>57500</v>
      </c>
      <c r="G22" s="11"/>
      <c r="H22" s="11"/>
      <c r="I22" s="21" t="s">
        <v>53</v>
      </c>
      <c r="J22" s="20">
        <f t="shared" si="2"/>
        <v>89400</v>
      </c>
    </row>
    <row r="23" spans="1:10" x14ac:dyDescent="0.4">
      <c r="A23" s="13" t="s">
        <v>64</v>
      </c>
      <c r="B23" s="19" t="s">
        <v>48</v>
      </c>
      <c r="C23" s="13">
        <v>18084</v>
      </c>
      <c r="D23" s="13" t="s">
        <v>49</v>
      </c>
      <c r="E23" s="12" t="s">
        <v>113</v>
      </c>
      <c r="F23" s="20">
        <v>270000</v>
      </c>
      <c r="G23" s="11"/>
      <c r="H23" s="11"/>
      <c r="I23" s="21" t="s">
        <v>56</v>
      </c>
      <c r="J23" s="20">
        <f t="shared" si="2"/>
        <v>108620</v>
      </c>
    </row>
    <row r="24" spans="1:10" x14ac:dyDescent="0.4">
      <c r="A24" s="13" t="s">
        <v>76</v>
      </c>
      <c r="B24" s="19" t="s">
        <v>48</v>
      </c>
      <c r="C24" s="13">
        <v>23627</v>
      </c>
      <c r="D24" s="13" t="s">
        <v>49</v>
      </c>
      <c r="E24" s="12" t="s">
        <v>110</v>
      </c>
      <c r="F24" s="20">
        <v>85000</v>
      </c>
      <c r="G24" s="11"/>
      <c r="H24" s="11"/>
      <c r="I24" s="21" t="s">
        <v>58</v>
      </c>
      <c r="J24" s="20">
        <f t="shared" si="2"/>
        <v>40322.222222222219</v>
      </c>
    </row>
    <row r="25" spans="1:10" ht="16.5" x14ac:dyDescent="0.4">
      <c r="A25" s="13" t="s">
        <v>111</v>
      </c>
      <c r="B25" s="19" t="s">
        <v>48</v>
      </c>
      <c r="C25" s="13">
        <v>23048</v>
      </c>
      <c r="D25" s="13" t="s">
        <v>58</v>
      </c>
      <c r="E25" s="12" t="s">
        <v>114</v>
      </c>
      <c r="F25" s="20">
        <v>34800</v>
      </c>
      <c r="G25" s="11"/>
      <c r="H25" s="11"/>
      <c r="I25" s="11"/>
      <c r="J25" s="11"/>
    </row>
    <row r="26" spans="1:10" ht="16.5" thickBot="1" x14ac:dyDescent="0.45">
      <c r="A26" s="13" t="s">
        <v>70</v>
      </c>
      <c r="B26" s="19" t="s">
        <v>48</v>
      </c>
      <c r="C26" s="13">
        <v>30483</v>
      </c>
      <c r="D26" s="13" t="s">
        <v>58</v>
      </c>
      <c r="E26" s="12" t="s">
        <v>114</v>
      </c>
      <c r="F26" s="20">
        <v>34000</v>
      </c>
      <c r="G26" s="11"/>
      <c r="H26" s="11"/>
      <c r="I26" s="58" t="s">
        <v>118</v>
      </c>
      <c r="J26" s="58"/>
    </row>
    <row r="27" spans="1:10" x14ac:dyDescent="0.4">
      <c r="A27" s="13" t="s">
        <v>88</v>
      </c>
      <c r="B27" s="19" t="s">
        <v>51</v>
      </c>
      <c r="C27" s="13">
        <v>37774</v>
      </c>
      <c r="D27" s="13" t="s">
        <v>49</v>
      </c>
      <c r="E27" s="12" t="s">
        <v>113</v>
      </c>
      <c r="F27" s="20">
        <v>205000</v>
      </c>
      <c r="G27" s="11"/>
      <c r="H27" s="11"/>
      <c r="I27" s="14" t="s">
        <v>109</v>
      </c>
      <c r="J27" s="20">
        <f>SUMIF($E$2:$E$51,I27,$F$2:$F$51)</f>
        <v>643800</v>
      </c>
    </row>
    <row r="28" spans="1:10" x14ac:dyDescent="0.4">
      <c r="A28" s="13" t="s">
        <v>61</v>
      </c>
      <c r="B28" s="19" t="s">
        <v>48</v>
      </c>
      <c r="C28" s="13">
        <v>31225</v>
      </c>
      <c r="D28" s="13" t="s">
        <v>56</v>
      </c>
      <c r="E28" s="12" t="s">
        <v>113</v>
      </c>
      <c r="F28" s="20">
        <v>180000</v>
      </c>
      <c r="G28" s="11"/>
      <c r="H28" s="11"/>
      <c r="I28" s="14" t="s">
        <v>110</v>
      </c>
      <c r="J28" s="20">
        <f t="shared" ref="J28:J30" si="3">SUMIF($E$2:$E$51,I28,$F$2:$F$51)</f>
        <v>809000</v>
      </c>
    </row>
    <row r="29" spans="1:10" x14ac:dyDescent="0.4">
      <c r="A29" s="13" t="s">
        <v>62</v>
      </c>
      <c r="B29" s="19" t="s">
        <v>51</v>
      </c>
      <c r="C29" s="13">
        <v>35588</v>
      </c>
      <c r="D29" s="13" t="s">
        <v>49</v>
      </c>
      <c r="E29" s="12" t="s">
        <v>114</v>
      </c>
      <c r="F29" s="20">
        <v>300000</v>
      </c>
      <c r="G29" s="11"/>
      <c r="H29" s="11"/>
      <c r="I29" s="14" t="s">
        <v>113</v>
      </c>
      <c r="J29" s="20">
        <f t="shared" si="3"/>
        <v>2147700</v>
      </c>
    </row>
    <row r="30" spans="1:10" x14ac:dyDescent="0.4">
      <c r="A30" s="13" t="s">
        <v>77</v>
      </c>
      <c r="B30" s="19" t="s">
        <v>48</v>
      </c>
      <c r="C30" s="13">
        <v>29002</v>
      </c>
      <c r="D30" s="13" t="s">
        <v>49</v>
      </c>
      <c r="E30" s="12" t="s">
        <v>113</v>
      </c>
      <c r="F30" s="20">
        <v>180000</v>
      </c>
      <c r="G30" s="11"/>
      <c r="H30" s="11"/>
      <c r="I30" s="14" t="s">
        <v>114</v>
      </c>
      <c r="J30" s="20">
        <f t="shared" si="3"/>
        <v>1532300</v>
      </c>
    </row>
    <row r="31" spans="1:10" ht="16.5" x14ac:dyDescent="0.4">
      <c r="A31" s="13" t="s">
        <v>67</v>
      </c>
      <c r="B31" s="19" t="s">
        <v>48</v>
      </c>
      <c r="C31" s="13">
        <v>32451</v>
      </c>
      <c r="D31" s="16" t="s">
        <v>58</v>
      </c>
      <c r="E31" s="12" t="s">
        <v>110</v>
      </c>
      <c r="F31" s="20">
        <v>47500</v>
      </c>
      <c r="G31" s="11"/>
      <c r="H31" s="11"/>
    </row>
    <row r="32" spans="1:10" ht="16.5" thickBot="1" x14ac:dyDescent="0.45">
      <c r="A32" s="13" t="s">
        <v>106</v>
      </c>
      <c r="B32" s="19" t="s">
        <v>51</v>
      </c>
      <c r="C32" s="13">
        <v>33761</v>
      </c>
      <c r="D32" s="13" t="s">
        <v>49</v>
      </c>
      <c r="E32" s="12" t="s">
        <v>114</v>
      </c>
      <c r="F32" s="20">
        <v>255000</v>
      </c>
      <c r="G32" s="11"/>
      <c r="H32" s="11"/>
      <c r="I32" s="58" t="s">
        <v>119</v>
      </c>
      <c r="J32" s="58" t="s">
        <v>55</v>
      </c>
    </row>
    <row r="33" spans="1:11" x14ac:dyDescent="0.4">
      <c r="A33" s="13" t="s">
        <v>69</v>
      </c>
      <c r="B33" s="19" t="s">
        <v>48</v>
      </c>
      <c r="C33" s="13">
        <v>32940</v>
      </c>
      <c r="D33" s="16" t="s">
        <v>58</v>
      </c>
      <c r="E33" s="12" t="s">
        <v>109</v>
      </c>
      <c r="F33" s="20">
        <v>73600</v>
      </c>
      <c r="G33" s="11"/>
      <c r="H33" s="11"/>
      <c r="I33" s="21" t="s">
        <v>49</v>
      </c>
      <c r="J33" s="20">
        <f>SUMIFS($F$2:$F$51,$D$2:$D$51,I33,$B$2:$B$51,$J$32)</f>
        <v>1632900</v>
      </c>
    </row>
    <row r="34" spans="1:11" x14ac:dyDescent="0.4">
      <c r="A34" s="13" t="s">
        <v>108</v>
      </c>
      <c r="B34" s="19" t="s">
        <v>51</v>
      </c>
      <c r="C34" s="13">
        <v>23370</v>
      </c>
      <c r="D34" s="13" t="s">
        <v>53</v>
      </c>
      <c r="E34" s="12" t="s">
        <v>113</v>
      </c>
      <c r="F34" s="20">
        <v>207000</v>
      </c>
      <c r="G34" s="11"/>
      <c r="H34" s="11"/>
      <c r="I34" s="21" t="s">
        <v>59</v>
      </c>
      <c r="J34" s="20">
        <f t="shared" ref="J34:J38" si="4">SUMIFS($F$2:$F$51,$D$2:$D$51,I34,$B$2:$B$51,$J$32)</f>
        <v>270500</v>
      </c>
    </row>
    <row r="35" spans="1:11" x14ac:dyDescent="0.4">
      <c r="A35" s="13" t="s">
        <v>100</v>
      </c>
      <c r="B35" s="19" t="s">
        <v>51</v>
      </c>
      <c r="C35" s="13">
        <v>22390</v>
      </c>
      <c r="D35" s="16" t="s">
        <v>58</v>
      </c>
      <c r="E35" s="12" t="s">
        <v>114</v>
      </c>
      <c r="F35" s="20">
        <v>255000</v>
      </c>
      <c r="G35" s="11"/>
      <c r="H35" s="11"/>
      <c r="I35" s="21" t="s">
        <v>54</v>
      </c>
      <c r="J35" s="20">
        <f t="shared" si="4"/>
        <v>57500</v>
      </c>
    </row>
    <row r="36" spans="1:11" x14ac:dyDescent="0.4">
      <c r="A36" s="13" t="s">
        <v>92</v>
      </c>
      <c r="B36" s="19" t="s">
        <v>51</v>
      </c>
      <c r="C36" s="13">
        <v>28648</v>
      </c>
      <c r="D36" s="13" t="s">
        <v>49</v>
      </c>
      <c r="E36" s="12" t="s">
        <v>110</v>
      </c>
      <c r="F36" s="20">
        <v>50000</v>
      </c>
      <c r="G36" s="11"/>
      <c r="H36" s="11"/>
      <c r="I36" s="21" t="s">
        <v>53</v>
      </c>
      <c r="J36" s="20">
        <f t="shared" si="4"/>
        <v>357600</v>
      </c>
    </row>
    <row r="37" spans="1:11" x14ac:dyDescent="0.4">
      <c r="A37" s="13" t="s">
        <v>94</v>
      </c>
      <c r="B37" s="19" t="s">
        <v>48</v>
      </c>
      <c r="C37" s="13">
        <v>30735</v>
      </c>
      <c r="D37" s="13" t="s">
        <v>58</v>
      </c>
      <c r="E37" s="12" t="s">
        <v>109</v>
      </c>
      <c r="F37" s="20">
        <v>36000</v>
      </c>
      <c r="G37" s="11"/>
      <c r="H37" s="11"/>
      <c r="I37" s="21" t="s">
        <v>56</v>
      </c>
      <c r="J37" s="20">
        <f t="shared" si="4"/>
        <v>543100</v>
      </c>
    </row>
    <row r="38" spans="1:11" x14ac:dyDescent="0.4">
      <c r="A38" s="13" t="s">
        <v>90</v>
      </c>
      <c r="B38" s="19" t="s">
        <v>48</v>
      </c>
      <c r="C38" s="13">
        <v>28994</v>
      </c>
      <c r="D38" s="13" t="s">
        <v>52</v>
      </c>
      <c r="E38" s="12" t="s">
        <v>109</v>
      </c>
      <c r="F38" s="20">
        <v>54400</v>
      </c>
      <c r="G38" s="11"/>
      <c r="H38" s="11"/>
      <c r="I38" s="21" t="s">
        <v>58</v>
      </c>
      <c r="J38" s="20">
        <f t="shared" si="4"/>
        <v>362900</v>
      </c>
    </row>
    <row r="39" spans="1:11" ht="16.5" x14ac:dyDescent="0.4">
      <c r="A39" s="13" t="s">
        <v>80</v>
      </c>
      <c r="B39" s="19" t="s">
        <v>48</v>
      </c>
      <c r="C39" s="13">
        <v>25013</v>
      </c>
      <c r="D39" s="13" t="s">
        <v>49</v>
      </c>
      <c r="E39" s="12" t="s">
        <v>114</v>
      </c>
      <c r="F39" s="20">
        <v>36000</v>
      </c>
      <c r="G39" s="11"/>
      <c r="H39" s="11"/>
    </row>
    <row r="40" spans="1:11" ht="16.5" thickBot="1" x14ac:dyDescent="0.45">
      <c r="A40" s="13" t="s">
        <v>95</v>
      </c>
      <c r="B40" s="19" t="s">
        <v>48</v>
      </c>
      <c r="C40" s="13">
        <v>33906</v>
      </c>
      <c r="D40" s="13" t="s">
        <v>49</v>
      </c>
      <c r="E40" s="12" t="s">
        <v>114</v>
      </c>
      <c r="F40" s="20">
        <v>30000</v>
      </c>
      <c r="G40" s="11"/>
      <c r="H40" s="11"/>
      <c r="I40" s="58" t="s">
        <v>120</v>
      </c>
      <c r="J40" s="58" t="s">
        <v>114</v>
      </c>
      <c r="K40" s="59" t="s">
        <v>139</v>
      </c>
    </row>
    <row r="41" spans="1:11" x14ac:dyDescent="0.4">
      <c r="A41" s="13" t="s">
        <v>87</v>
      </c>
      <c r="B41" s="19" t="s">
        <v>48</v>
      </c>
      <c r="C41" s="13">
        <v>37218</v>
      </c>
      <c r="D41" s="13" t="s">
        <v>49</v>
      </c>
      <c r="E41" s="12" t="s">
        <v>113</v>
      </c>
      <c r="F41" s="20">
        <v>207000</v>
      </c>
      <c r="G41" s="17"/>
      <c r="H41" s="17"/>
      <c r="I41" s="21" t="s">
        <v>49</v>
      </c>
      <c r="J41" s="12">
        <f>COUNTIFS(D$2:D$51,I41,E$2:E$51,J$40)</f>
        <v>6</v>
      </c>
    </row>
    <row r="42" spans="1:11" x14ac:dyDescent="0.4">
      <c r="A42" s="13" t="s">
        <v>79</v>
      </c>
      <c r="B42" s="19" t="s">
        <v>48</v>
      </c>
      <c r="C42" s="13">
        <v>28320</v>
      </c>
      <c r="D42" s="13" t="s">
        <v>49</v>
      </c>
      <c r="E42" s="12" t="s">
        <v>114</v>
      </c>
      <c r="F42" s="20">
        <v>240000</v>
      </c>
      <c r="G42" s="11"/>
      <c r="H42" s="11"/>
      <c r="I42" s="21" t="s">
        <v>59</v>
      </c>
      <c r="J42" s="12">
        <f t="shared" ref="J42:J46" si="5">COUNTIFS(D$2:D$51,I42,E$2:E$51,J$40)</f>
        <v>0</v>
      </c>
    </row>
    <row r="43" spans="1:11" x14ac:dyDescent="0.4">
      <c r="A43" s="13" t="s">
        <v>99</v>
      </c>
      <c r="B43" s="19" t="s">
        <v>51</v>
      </c>
      <c r="C43" s="13">
        <v>36086</v>
      </c>
      <c r="D43" s="13" t="s">
        <v>49</v>
      </c>
      <c r="E43" s="12" t="s">
        <v>113</v>
      </c>
      <c r="F43" s="20">
        <v>30600</v>
      </c>
      <c r="G43" s="11"/>
      <c r="H43" s="11"/>
      <c r="I43" s="21" t="s">
        <v>54</v>
      </c>
      <c r="J43" s="12">
        <f t="shared" si="5"/>
        <v>0</v>
      </c>
    </row>
    <row r="44" spans="1:11" x14ac:dyDescent="0.4">
      <c r="A44" s="13" t="s">
        <v>98</v>
      </c>
      <c r="B44" s="19" t="s">
        <v>51</v>
      </c>
      <c r="C44" s="13">
        <v>36060</v>
      </c>
      <c r="D44" s="13" t="s">
        <v>49</v>
      </c>
      <c r="E44" s="12" t="s">
        <v>113</v>
      </c>
      <c r="F44" s="20">
        <v>90000</v>
      </c>
      <c r="G44" s="11"/>
      <c r="H44" s="11"/>
      <c r="I44" s="21" t="s">
        <v>53</v>
      </c>
      <c r="J44" s="12">
        <f t="shared" si="5"/>
        <v>0</v>
      </c>
    </row>
    <row r="45" spans="1:11" x14ac:dyDescent="0.4">
      <c r="A45" s="13" t="s">
        <v>102</v>
      </c>
      <c r="B45" s="19" t="s">
        <v>51</v>
      </c>
      <c r="C45" s="13">
        <v>35292</v>
      </c>
      <c r="D45" s="13" t="s">
        <v>58</v>
      </c>
      <c r="E45" s="12" t="s">
        <v>109</v>
      </c>
      <c r="F45" s="20">
        <v>51000</v>
      </c>
      <c r="G45" s="11"/>
      <c r="H45" s="11"/>
      <c r="I45" s="21" t="s">
        <v>56</v>
      </c>
      <c r="J45" s="12">
        <f t="shared" si="5"/>
        <v>3</v>
      </c>
    </row>
    <row r="46" spans="1:11" x14ac:dyDescent="0.4">
      <c r="A46" s="13" t="s">
        <v>104</v>
      </c>
      <c r="B46" s="19" t="s">
        <v>51</v>
      </c>
      <c r="C46" s="13">
        <v>25538</v>
      </c>
      <c r="D46" s="13" t="s">
        <v>56</v>
      </c>
      <c r="E46" s="12" t="s">
        <v>110</v>
      </c>
      <c r="F46" s="20">
        <v>85000</v>
      </c>
      <c r="G46" s="11"/>
      <c r="H46" s="11"/>
      <c r="I46" s="21" t="s">
        <v>58</v>
      </c>
      <c r="J46" s="12">
        <f t="shared" si="5"/>
        <v>5</v>
      </c>
    </row>
    <row r="47" spans="1:11" x14ac:dyDescent="0.4">
      <c r="A47" s="13" t="s">
        <v>112</v>
      </c>
      <c r="B47" s="19" t="s">
        <v>48</v>
      </c>
      <c r="C47" s="13">
        <v>21929</v>
      </c>
      <c r="D47" s="13" t="s">
        <v>58</v>
      </c>
      <c r="E47" s="12" t="s">
        <v>110</v>
      </c>
      <c r="F47" s="20">
        <v>50000</v>
      </c>
      <c r="G47" s="11"/>
      <c r="H47" s="11"/>
      <c r="I47" s="11"/>
      <c r="J47" s="11"/>
    </row>
    <row r="48" spans="1:11" ht="16.5" thickBot="1" x14ac:dyDescent="0.45">
      <c r="A48" s="13" t="s">
        <v>97</v>
      </c>
      <c r="B48" s="19" t="s">
        <v>48</v>
      </c>
      <c r="C48" s="13">
        <v>34397</v>
      </c>
      <c r="D48" s="13" t="s">
        <v>56</v>
      </c>
      <c r="E48" s="12" t="s">
        <v>114</v>
      </c>
      <c r="F48" s="20">
        <v>34500</v>
      </c>
      <c r="G48" s="11"/>
      <c r="H48" s="11"/>
      <c r="I48" s="11"/>
      <c r="J48" s="11"/>
    </row>
    <row r="49" spans="1:15" ht="16.5" thickBot="1" x14ac:dyDescent="0.45">
      <c r="A49" s="13" t="s">
        <v>85</v>
      </c>
      <c r="B49" s="19" t="s">
        <v>48</v>
      </c>
      <c r="C49" s="13">
        <v>35130</v>
      </c>
      <c r="D49" s="13" t="s">
        <v>58</v>
      </c>
      <c r="E49" s="12" t="s">
        <v>113</v>
      </c>
      <c r="F49" s="20">
        <v>18000</v>
      </c>
      <c r="G49" s="11"/>
      <c r="H49" s="11"/>
      <c r="I49" s="58" t="s">
        <v>121</v>
      </c>
      <c r="J49" s="58"/>
      <c r="K49" s="71"/>
      <c r="L49" s="72"/>
      <c r="M49" s="72"/>
    </row>
    <row r="50" spans="1:15" x14ac:dyDescent="0.4">
      <c r="A50" s="13" t="s">
        <v>93</v>
      </c>
      <c r="B50" s="19" t="s">
        <v>48</v>
      </c>
      <c r="C50" s="13">
        <v>24714</v>
      </c>
      <c r="D50" s="13" t="s">
        <v>53</v>
      </c>
      <c r="E50" s="12" t="s">
        <v>109</v>
      </c>
      <c r="F50" s="20">
        <v>73600</v>
      </c>
      <c r="G50" s="11"/>
      <c r="H50" s="11"/>
      <c r="I50" s="21" t="s">
        <v>122</v>
      </c>
      <c r="J50" s="12">
        <f>COUNTIF(C2:C51,"&lt;=1/1/1990")</f>
        <v>33</v>
      </c>
    </row>
    <row r="51" spans="1:15" x14ac:dyDescent="0.4">
      <c r="A51" s="13" t="s">
        <v>83</v>
      </c>
      <c r="B51" s="19" t="s">
        <v>48</v>
      </c>
      <c r="C51" s="13">
        <v>27437</v>
      </c>
      <c r="D51" s="13" t="s">
        <v>49</v>
      </c>
      <c r="E51" s="12" t="s">
        <v>110</v>
      </c>
      <c r="F51" s="20">
        <v>85000</v>
      </c>
      <c r="G51" s="11"/>
      <c r="H51" s="11"/>
      <c r="I51" s="21" t="s">
        <v>123</v>
      </c>
      <c r="J51" s="12">
        <f>COUNTIF(C2:C51,"&gt;1/1/1990")</f>
        <v>17</v>
      </c>
    </row>
    <row r="52" spans="1:15" x14ac:dyDescent="0.4">
      <c r="A52" s="11"/>
      <c r="B52" s="11"/>
      <c r="C52" s="18"/>
      <c r="D52" s="18"/>
      <c r="E52" s="11"/>
      <c r="F52" s="11"/>
      <c r="G52" s="11"/>
      <c r="H52" s="11"/>
      <c r="I52" s="11"/>
      <c r="J52" s="11"/>
    </row>
    <row r="53" spans="1:15" x14ac:dyDescent="0.4">
      <c r="A53" s="11"/>
      <c r="B53" s="11"/>
      <c r="C53" s="18"/>
      <c r="D53" s="18"/>
      <c r="E53" s="11"/>
      <c r="F53" s="11"/>
      <c r="G53" s="11"/>
      <c r="H53" s="11"/>
      <c r="I53" s="11"/>
      <c r="J53" s="11"/>
    </row>
    <row r="54" spans="1:15" ht="16.5" thickBot="1" x14ac:dyDescent="0.45"/>
    <row r="55" spans="1:15" ht="17" customHeight="1" thickBot="1" x14ac:dyDescent="0.45">
      <c r="I55" s="64" t="s">
        <v>121</v>
      </c>
      <c r="J55" s="65" t="s">
        <v>55</v>
      </c>
      <c r="K55" s="73" t="s">
        <v>140</v>
      </c>
      <c r="L55" s="73"/>
      <c r="M55" s="73"/>
      <c r="N55" s="73"/>
      <c r="O55" s="73"/>
    </row>
    <row r="56" spans="1:15" x14ac:dyDescent="0.4">
      <c r="I56" s="21" t="s">
        <v>122</v>
      </c>
      <c r="J56" s="12">
        <f>COUNTIFS(C2:C51,"&lt;=1/1/1990",B2:B51,J55)</f>
        <v>27</v>
      </c>
      <c r="K56" s="73"/>
      <c r="L56" s="73"/>
      <c r="M56" s="73"/>
      <c r="N56" s="73"/>
      <c r="O56" s="73"/>
    </row>
    <row r="57" spans="1:15" x14ac:dyDescent="0.4">
      <c r="I57" s="21" t="s">
        <v>123</v>
      </c>
      <c r="J57" s="12">
        <f>COUNTIFS(C2:C51,"&gt;1/1/1990",B2:B51,J55)</f>
        <v>9</v>
      </c>
      <c r="K57" s="73"/>
      <c r="L57" s="73"/>
      <c r="M57" s="73"/>
      <c r="N57" s="73"/>
      <c r="O57" s="73"/>
    </row>
  </sheetData>
  <autoFilter ref="A1:F51" xr:uid="{A783C09B-B426-9F44-8CEF-4BCBF5226921}"/>
  <sortState xmlns:xlrd2="http://schemas.microsoft.com/office/spreadsheetml/2017/richdata2" ref="A2:F51">
    <sortCondition ref="A2:A51"/>
  </sortState>
  <mergeCells count="2">
    <mergeCell ref="K49:M49"/>
    <mergeCell ref="K55:O57"/>
  </mergeCells>
  <dataValidations count="1">
    <dataValidation type="list" allowBlank="1" showInputMessage="1" showErrorMessage="1" sqref="J40" xr:uid="{167BCA39-3189-0641-B7C9-E6A3CD1B93BA}">
      <formula1>$I$2:$I$5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19D2-6B37-E34B-B334-03D5BBEAE75C}">
  <dimension ref="A1:AR20"/>
  <sheetViews>
    <sheetView showGridLines="0" tabSelected="1" topLeftCell="C4" zoomScale="135" zoomScaleNormal="135" workbookViewId="0">
      <selection activeCell="AR9" sqref="AR9"/>
    </sheetView>
  </sheetViews>
  <sheetFormatPr defaultColWidth="8.83203125" defaultRowHeight="14.5" x14ac:dyDescent="0.35"/>
  <cols>
    <col min="1" max="1" width="31.1640625" style="28" bestFit="1" customWidth="1"/>
    <col min="2" max="2" width="17.5" style="28" customWidth="1"/>
    <col min="3" max="33" width="4.33203125" style="28" customWidth="1"/>
    <col min="34" max="34" width="6.1640625" style="28" customWidth="1"/>
    <col min="35" max="35" width="0.33203125" style="28" customWidth="1"/>
    <col min="36" max="36" width="7.5" style="28" customWidth="1"/>
    <col min="37" max="37" width="9.1640625" style="28" hidden="1" customWidth="1"/>
    <col min="38" max="38" width="6.33203125" style="28" customWidth="1"/>
    <col min="39" max="39" width="9.1640625" style="28" hidden="1" customWidth="1"/>
    <col min="40" max="40" width="6" style="28" customWidth="1"/>
    <col min="41" max="41" width="9.1640625" style="28" hidden="1" customWidth="1"/>
    <col min="42" max="42" width="8.5" style="28" customWidth="1"/>
    <col min="43" max="43" width="0.5" style="28" hidden="1" customWidth="1"/>
    <col min="44" max="44" width="3" style="28" customWidth="1"/>
    <col min="45" max="16384" width="8.83203125" style="28"/>
  </cols>
  <sheetData>
    <row r="1" spans="1:44" x14ac:dyDescent="0.35">
      <c r="A1" s="29"/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</row>
    <row r="2" spans="1:44" x14ac:dyDescent="0.35">
      <c r="A2" s="29"/>
      <c r="B2" s="75"/>
      <c r="C2" s="75"/>
      <c r="D2" s="75"/>
      <c r="E2" s="27"/>
      <c r="F2" s="27"/>
      <c r="G2" s="27"/>
      <c r="H2" s="27"/>
      <c r="I2" s="27"/>
      <c r="J2" s="27"/>
      <c r="K2" s="27"/>
      <c r="L2" s="85" t="s">
        <v>126</v>
      </c>
      <c r="M2" s="85"/>
      <c r="N2" s="85"/>
      <c r="O2" s="85"/>
      <c r="P2" s="85"/>
      <c r="Q2" s="85"/>
      <c r="R2" s="85"/>
      <c r="S2" s="85"/>
      <c r="T2" s="85"/>
      <c r="U2" s="85"/>
      <c r="V2" s="85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</row>
    <row r="3" spans="1:44" ht="15" thickBot="1" x14ac:dyDescent="0.4">
      <c r="A3" s="41"/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76"/>
      <c r="N3" s="76"/>
      <c r="O3" s="76"/>
      <c r="P3" s="27"/>
      <c r="Q3" s="77"/>
      <c r="R3" s="7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</row>
    <row r="4" spans="1:44" ht="16" customHeight="1" thickBot="1" x14ac:dyDescent="0.4">
      <c r="A4" s="78" t="s">
        <v>63</v>
      </c>
      <c r="B4" s="80" t="s">
        <v>47</v>
      </c>
      <c r="C4" s="82" t="s">
        <v>127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4"/>
      <c r="AH4" s="86" t="s">
        <v>128</v>
      </c>
      <c r="AI4" s="87"/>
      <c r="AJ4" s="86" t="s">
        <v>129</v>
      </c>
      <c r="AK4" s="87"/>
      <c r="AL4" s="86" t="s">
        <v>130</v>
      </c>
      <c r="AM4" s="87"/>
      <c r="AN4" s="86" t="s">
        <v>131</v>
      </c>
      <c r="AO4" s="87"/>
      <c r="AP4" s="90" t="s">
        <v>132</v>
      </c>
      <c r="AQ4" s="91"/>
    </row>
    <row r="5" spans="1:44" ht="90" customHeight="1" thickTop="1" thickBot="1" x14ac:dyDescent="0.4">
      <c r="A5" s="79"/>
      <c r="B5" s="81"/>
      <c r="C5" s="30">
        <v>1</v>
      </c>
      <c r="D5" s="31">
        <v>2</v>
      </c>
      <c r="E5" s="31">
        <v>3</v>
      </c>
      <c r="F5" s="31">
        <v>4</v>
      </c>
      <c r="G5" s="31">
        <v>5</v>
      </c>
      <c r="H5" s="31">
        <v>6</v>
      </c>
      <c r="I5" s="31">
        <v>7</v>
      </c>
      <c r="J5" s="31">
        <v>8</v>
      </c>
      <c r="K5" s="31">
        <v>9</v>
      </c>
      <c r="L5" s="31">
        <v>10</v>
      </c>
      <c r="M5" s="31">
        <v>11</v>
      </c>
      <c r="N5" s="31">
        <v>12</v>
      </c>
      <c r="O5" s="31">
        <v>13</v>
      </c>
      <c r="P5" s="31">
        <v>14</v>
      </c>
      <c r="Q5" s="31">
        <v>15</v>
      </c>
      <c r="R5" s="31">
        <v>16</v>
      </c>
      <c r="S5" s="31">
        <v>17</v>
      </c>
      <c r="T5" s="31">
        <v>18</v>
      </c>
      <c r="U5" s="31">
        <v>19</v>
      </c>
      <c r="V5" s="31">
        <v>20</v>
      </c>
      <c r="W5" s="31">
        <v>21</v>
      </c>
      <c r="X5" s="31">
        <v>22</v>
      </c>
      <c r="Y5" s="31">
        <v>23</v>
      </c>
      <c r="Z5" s="31">
        <v>24</v>
      </c>
      <c r="AA5" s="31">
        <v>25</v>
      </c>
      <c r="AB5" s="31">
        <v>26</v>
      </c>
      <c r="AC5" s="31">
        <v>27</v>
      </c>
      <c r="AD5" s="31">
        <v>28</v>
      </c>
      <c r="AE5" s="31">
        <v>29</v>
      </c>
      <c r="AF5" s="31">
        <v>30</v>
      </c>
      <c r="AG5" s="32">
        <v>31</v>
      </c>
      <c r="AH5" s="88"/>
      <c r="AI5" s="89"/>
      <c r="AJ5" s="88"/>
      <c r="AK5" s="89"/>
      <c r="AL5" s="88"/>
      <c r="AM5" s="89"/>
      <c r="AN5" s="88"/>
      <c r="AO5" s="89"/>
      <c r="AP5" s="92"/>
      <c r="AQ5" s="93"/>
    </row>
    <row r="6" spans="1:44" ht="15.5" thickTop="1" thickBot="1" x14ac:dyDescent="0.4">
      <c r="A6" s="46" t="s">
        <v>75</v>
      </c>
      <c r="B6" s="46" t="s">
        <v>109</v>
      </c>
      <c r="C6" s="33" t="s">
        <v>133</v>
      </c>
      <c r="D6" s="60" t="s">
        <v>134</v>
      </c>
      <c r="E6" s="60" t="s">
        <v>134</v>
      </c>
      <c r="F6" s="34" t="s">
        <v>133</v>
      </c>
      <c r="G6" s="34" t="s">
        <v>133</v>
      </c>
      <c r="H6" s="34">
        <v>8</v>
      </c>
      <c r="I6" s="34">
        <v>8</v>
      </c>
      <c r="J6" s="34">
        <v>8</v>
      </c>
      <c r="K6" s="60" t="s">
        <v>134</v>
      </c>
      <c r="L6" s="60" t="s">
        <v>134</v>
      </c>
      <c r="M6" s="34" t="s">
        <v>135</v>
      </c>
      <c r="N6" s="34" t="s">
        <v>135</v>
      </c>
      <c r="O6" s="34" t="s">
        <v>133</v>
      </c>
      <c r="P6" s="34" t="s">
        <v>133</v>
      </c>
      <c r="Q6" s="34">
        <v>8</v>
      </c>
      <c r="R6" s="60" t="s">
        <v>134</v>
      </c>
      <c r="S6" s="60" t="s">
        <v>134</v>
      </c>
      <c r="T6" s="34">
        <v>8</v>
      </c>
      <c r="U6" s="34">
        <v>8</v>
      </c>
      <c r="V6" s="34">
        <v>8</v>
      </c>
      <c r="W6" s="34">
        <v>8</v>
      </c>
      <c r="X6" s="34">
        <v>8</v>
      </c>
      <c r="Y6" s="60" t="s">
        <v>134</v>
      </c>
      <c r="Z6" s="60" t="s">
        <v>134</v>
      </c>
      <c r="AA6" s="34">
        <v>8</v>
      </c>
      <c r="AB6" s="34">
        <v>8</v>
      </c>
      <c r="AC6" s="34">
        <v>10</v>
      </c>
      <c r="AD6" s="34">
        <v>8</v>
      </c>
      <c r="AE6" s="34">
        <v>8</v>
      </c>
      <c r="AF6" s="60" t="s">
        <v>134</v>
      </c>
      <c r="AG6" s="62" t="s">
        <v>134</v>
      </c>
      <c r="AH6" s="35">
        <f>COUNT(C6:AG6)</f>
        <v>14</v>
      </c>
      <c r="AI6" s="36"/>
      <c r="AJ6" s="35">
        <f>COUNTIF(C6:AG6,"б/л")</f>
        <v>0</v>
      </c>
      <c r="AK6" s="37"/>
      <c r="AL6" s="35">
        <f>COUNTIF(C6:AG6,"от")</f>
        <v>5</v>
      </c>
      <c r="AM6" s="38"/>
      <c r="AN6" s="35">
        <f>COUNTIF(C6:AG6,"к")</f>
        <v>2</v>
      </c>
      <c r="AO6" s="37"/>
      <c r="AP6" s="35" cm="1">
        <f t="array" ref="AP6">SUM(COUNTIF(C6:AG6,{"в","п"}))</f>
        <v>10</v>
      </c>
      <c r="AQ6" s="48"/>
    </row>
    <row r="7" spans="1:44" ht="15.5" thickTop="1" thickBot="1" x14ac:dyDescent="0.4">
      <c r="A7" s="46" t="s">
        <v>101</v>
      </c>
      <c r="B7" s="46" t="s">
        <v>109</v>
      </c>
      <c r="C7" s="33">
        <v>8</v>
      </c>
      <c r="D7" s="60" t="s">
        <v>134</v>
      </c>
      <c r="E7" s="60" t="s">
        <v>134</v>
      </c>
      <c r="F7" s="34">
        <v>8</v>
      </c>
      <c r="G7" s="34">
        <v>8</v>
      </c>
      <c r="H7" s="34">
        <v>8</v>
      </c>
      <c r="I7" s="34">
        <v>8</v>
      </c>
      <c r="J7" s="34" t="s">
        <v>136</v>
      </c>
      <c r="K7" s="60" t="s">
        <v>134</v>
      </c>
      <c r="L7" s="60" t="s">
        <v>134</v>
      </c>
      <c r="M7" s="34">
        <v>8</v>
      </c>
      <c r="N7" s="34">
        <v>8</v>
      </c>
      <c r="O7" s="34">
        <v>8</v>
      </c>
      <c r="P7" s="34">
        <v>8</v>
      </c>
      <c r="Q7" s="34">
        <v>8</v>
      </c>
      <c r="R7" s="60" t="s">
        <v>134</v>
      </c>
      <c r="S7" s="60" t="s">
        <v>134</v>
      </c>
      <c r="T7" s="34" t="s">
        <v>137</v>
      </c>
      <c r="U7" s="34" t="s">
        <v>137</v>
      </c>
      <c r="V7" s="34">
        <v>8</v>
      </c>
      <c r="W7" s="34">
        <v>8</v>
      </c>
      <c r="X7" s="34">
        <v>8</v>
      </c>
      <c r="Y7" s="60" t="s">
        <v>134</v>
      </c>
      <c r="Z7" s="60" t="s">
        <v>134</v>
      </c>
      <c r="AA7" s="34" t="s">
        <v>135</v>
      </c>
      <c r="AB7" s="34" t="s">
        <v>135</v>
      </c>
      <c r="AC7" s="34" t="s">
        <v>135</v>
      </c>
      <c r="AD7" s="34" t="s">
        <v>135</v>
      </c>
      <c r="AE7" s="34">
        <v>8</v>
      </c>
      <c r="AF7" s="60" t="s">
        <v>134</v>
      </c>
      <c r="AG7" s="62" t="s">
        <v>134</v>
      </c>
      <c r="AH7" s="35">
        <f t="shared" ref="AH7:AH12" si="0">COUNT(C7:AG7)</f>
        <v>14</v>
      </c>
      <c r="AI7" s="39"/>
      <c r="AJ7" s="35">
        <f t="shared" ref="AJ7:AJ12" si="1">COUNTIF(C7:AG7,"б/л")</f>
        <v>2</v>
      </c>
      <c r="AK7" s="40"/>
      <c r="AL7" s="35">
        <f t="shared" ref="AL7:AL12" si="2">COUNTIF(C7:AG7,"от")</f>
        <v>0</v>
      </c>
      <c r="AM7" s="40"/>
      <c r="AN7" s="35">
        <f t="shared" ref="AN7:AN12" si="3">COUNTIF(C7:AG7,"к")</f>
        <v>4</v>
      </c>
      <c r="AO7" s="40"/>
      <c r="AP7" s="35" cm="1">
        <f t="array" ref="AP7">SUM(COUNTIF(C7:AG7,{"в","п"}))</f>
        <v>11</v>
      </c>
      <c r="AQ7" s="49"/>
    </row>
    <row r="8" spans="1:44" ht="15.5" thickTop="1" thickBot="1" x14ac:dyDescent="0.4">
      <c r="A8" s="46" t="s">
        <v>107</v>
      </c>
      <c r="B8" s="46" t="s">
        <v>113</v>
      </c>
      <c r="C8" s="33">
        <v>8</v>
      </c>
      <c r="D8" s="60" t="s">
        <v>134</v>
      </c>
      <c r="E8" s="60" t="s">
        <v>134</v>
      </c>
      <c r="F8" s="34" t="s">
        <v>135</v>
      </c>
      <c r="G8" s="34" t="s">
        <v>135</v>
      </c>
      <c r="H8" s="34">
        <v>8</v>
      </c>
      <c r="I8" s="34">
        <v>6</v>
      </c>
      <c r="J8" s="34">
        <v>8</v>
      </c>
      <c r="K8" s="60" t="s">
        <v>134</v>
      </c>
      <c r="L8" s="60" t="s">
        <v>134</v>
      </c>
      <c r="M8" s="34">
        <v>8</v>
      </c>
      <c r="N8" s="34">
        <v>8</v>
      </c>
      <c r="O8" s="34">
        <v>8</v>
      </c>
      <c r="P8" s="34">
        <v>8</v>
      </c>
      <c r="Q8" s="34">
        <v>8</v>
      </c>
      <c r="R8" s="60" t="s">
        <v>134</v>
      </c>
      <c r="S8" s="60" t="s">
        <v>134</v>
      </c>
      <c r="T8" s="34">
        <v>8</v>
      </c>
      <c r="U8" s="34">
        <v>8</v>
      </c>
      <c r="V8" s="34">
        <v>8</v>
      </c>
      <c r="W8" s="34" t="s">
        <v>133</v>
      </c>
      <c r="X8" s="34" t="s">
        <v>133</v>
      </c>
      <c r="Y8" s="60" t="s">
        <v>134</v>
      </c>
      <c r="Z8" s="60" t="s">
        <v>134</v>
      </c>
      <c r="AA8" s="34">
        <v>8</v>
      </c>
      <c r="AB8" s="34">
        <v>8</v>
      </c>
      <c r="AC8" s="34">
        <v>8</v>
      </c>
      <c r="AD8" s="34">
        <v>8</v>
      </c>
      <c r="AE8" s="34">
        <v>8</v>
      </c>
      <c r="AF8" s="60" t="s">
        <v>134</v>
      </c>
      <c r="AG8" s="62" t="s">
        <v>134</v>
      </c>
      <c r="AH8" s="35">
        <f t="shared" si="0"/>
        <v>17</v>
      </c>
      <c r="AI8" s="39"/>
      <c r="AJ8" s="35">
        <f t="shared" si="1"/>
        <v>0</v>
      </c>
      <c r="AK8" s="40"/>
      <c r="AL8" s="35">
        <f t="shared" si="2"/>
        <v>2</v>
      </c>
      <c r="AM8" s="40"/>
      <c r="AN8" s="35">
        <f t="shared" si="3"/>
        <v>2</v>
      </c>
      <c r="AO8" s="40"/>
      <c r="AP8" s="35" cm="1">
        <f t="array" ref="AP8">SUM(COUNTIF(C8:AG8,{"в","п"}))</f>
        <v>10</v>
      </c>
      <c r="AQ8" s="49"/>
    </row>
    <row r="9" spans="1:44" ht="15.5" thickTop="1" thickBot="1" x14ac:dyDescent="0.4">
      <c r="A9" s="46" t="s">
        <v>74</v>
      </c>
      <c r="B9" s="46" t="s">
        <v>113</v>
      </c>
      <c r="C9" s="33">
        <v>6</v>
      </c>
      <c r="D9" s="60" t="s">
        <v>134</v>
      </c>
      <c r="E9" s="60" t="s">
        <v>134</v>
      </c>
      <c r="F9" s="34">
        <v>8</v>
      </c>
      <c r="G9" s="34">
        <v>8</v>
      </c>
      <c r="H9" s="34">
        <v>8</v>
      </c>
      <c r="I9" s="34">
        <v>8</v>
      </c>
      <c r="J9" s="34">
        <v>8</v>
      </c>
      <c r="K9" s="60" t="s">
        <v>134</v>
      </c>
      <c r="L9" s="60" t="s">
        <v>134</v>
      </c>
      <c r="M9" s="34">
        <v>8</v>
      </c>
      <c r="N9" s="34">
        <v>8</v>
      </c>
      <c r="O9" s="34">
        <v>8</v>
      </c>
      <c r="P9" s="34">
        <v>8</v>
      </c>
      <c r="Q9" s="34">
        <v>8</v>
      </c>
      <c r="R9" s="60" t="s">
        <v>134</v>
      </c>
      <c r="S9" s="60" t="s">
        <v>134</v>
      </c>
      <c r="T9" s="34">
        <v>4</v>
      </c>
      <c r="U9" s="34">
        <v>4</v>
      </c>
      <c r="V9" s="34">
        <v>8</v>
      </c>
      <c r="W9" s="34">
        <v>8</v>
      </c>
      <c r="X9" s="34">
        <v>8</v>
      </c>
      <c r="Y9" s="60" t="s">
        <v>134</v>
      </c>
      <c r="Z9" s="60" t="s">
        <v>134</v>
      </c>
      <c r="AA9" s="34">
        <v>8</v>
      </c>
      <c r="AB9" s="34">
        <v>8</v>
      </c>
      <c r="AC9" s="34">
        <v>6</v>
      </c>
      <c r="AD9" s="34">
        <v>4</v>
      </c>
      <c r="AE9" s="34">
        <v>4</v>
      </c>
      <c r="AF9" s="60" t="s">
        <v>134</v>
      </c>
      <c r="AG9" s="62" t="s">
        <v>134</v>
      </c>
      <c r="AH9" s="35">
        <f t="shared" si="0"/>
        <v>21</v>
      </c>
      <c r="AI9" s="39"/>
      <c r="AJ9" s="35">
        <f t="shared" si="1"/>
        <v>0</v>
      </c>
      <c r="AK9" s="40"/>
      <c r="AL9" s="35">
        <f t="shared" si="2"/>
        <v>0</v>
      </c>
      <c r="AM9" s="40"/>
      <c r="AN9" s="35">
        <f t="shared" si="3"/>
        <v>0</v>
      </c>
      <c r="AO9" s="40"/>
      <c r="AP9" s="35" cm="1">
        <f t="array" ref="AP9">SUM(COUNTIF(C9:AG9,{"в","п"}))</f>
        <v>10</v>
      </c>
      <c r="AQ9" s="49"/>
    </row>
    <row r="10" spans="1:44" ht="15.5" thickTop="1" thickBot="1" x14ac:dyDescent="0.4">
      <c r="A10" s="46" t="s">
        <v>91</v>
      </c>
      <c r="B10" s="46" t="s">
        <v>110</v>
      </c>
      <c r="C10" s="33">
        <v>8</v>
      </c>
      <c r="D10" s="60" t="s">
        <v>134</v>
      </c>
      <c r="E10" s="60" t="s">
        <v>134</v>
      </c>
      <c r="F10" s="34">
        <v>8</v>
      </c>
      <c r="G10" s="34">
        <v>8</v>
      </c>
      <c r="H10" s="34">
        <v>8</v>
      </c>
      <c r="I10" s="34">
        <v>8</v>
      </c>
      <c r="J10" s="34">
        <v>8</v>
      </c>
      <c r="K10" s="60" t="s">
        <v>134</v>
      </c>
      <c r="L10" s="60" t="s">
        <v>134</v>
      </c>
      <c r="M10" s="34" t="s">
        <v>137</v>
      </c>
      <c r="N10" s="34" t="s">
        <v>137</v>
      </c>
      <c r="O10" s="34" t="s">
        <v>137</v>
      </c>
      <c r="P10" s="34" t="s">
        <v>137</v>
      </c>
      <c r="Q10" s="34" t="s">
        <v>137</v>
      </c>
      <c r="R10" s="60" t="s">
        <v>134</v>
      </c>
      <c r="S10" s="60" t="s">
        <v>134</v>
      </c>
      <c r="T10" s="34">
        <v>8</v>
      </c>
      <c r="U10" s="34">
        <v>8</v>
      </c>
      <c r="V10" s="34">
        <v>8</v>
      </c>
      <c r="W10" s="34">
        <v>8</v>
      </c>
      <c r="X10" s="34" t="s">
        <v>136</v>
      </c>
      <c r="Y10" s="60" t="s">
        <v>134</v>
      </c>
      <c r="Z10" s="60" t="s">
        <v>134</v>
      </c>
      <c r="AA10" s="34" t="s">
        <v>133</v>
      </c>
      <c r="AB10" s="34" t="s">
        <v>133</v>
      </c>
      <c r="AC10" s="34" t="s">
        <v>133</v>
      </c>
      <c r="AD10" s="34" t="s">
        <v>133</v>
      </c>
      <c r="AE10" s="34">
        <v>8</v>
      </c>
      <c r="AF10" s="60" t="s">
        <v>134</v>
      </c>
      <c r="AG10" s="62" t="s">
        <v>134</v>
      </c>
      <c r="AH10" s="35">
        <f t="shared" si="0"/>
        <v>11</v>
      </c>
      <c r="AI10" s="39"/>
      <c r="AJ10" s="35">
        <f t="shared" si="1"/>
        <v>5</v>
      </c>
      <c r="AK10" s="40"/>
      <c r="AL10" s="35">
        <f t="shared" si="2"/>
        <v>4</v>
      </c>
      <c r="AM10" s="40"/>
      <c r="AN10" s="35">
        <f t="shared" si="3"/>
        <v>0</v>
      </c>
      <c r="AO10" s="40"/>
      <c r="AP10" s="35" cm="1">
        <f t="array" ref="AP10">SUM(COUNTIF(C10:AG10,{"в","п"}))</f>
        <v>11</v>
      </c>
      <c r="AQ10" s="49"/>
    </row>
    <row r="11" spans="1:44" ht="15.5" thickTop="1" thickBot="1" x14ac:dyDescent="0.4">
      <c r="A11" s="46" t="s">
        <v>65</v>
      </c>
      <c r="B11" s="46" t="s">
        <v>109</v>
      </c>
      <c r="C11" s="33" t="s">
        <v>133</v>
      </c>
      <c r="D11" s="60" t="s">
        <v>134</v>
      </c>
      <c r="E11" s="60" t="s">
        <v>134</v>
      </c>
      <c r="F11" s="34" t="s">
        <v>133</v>
      </c>
      <c r="G11" s="34" t="s">
        <v>133</v>
      </c>
      <c r="H11" s="34">
        <v>8</v>
      </c>
      <c r="I11" s="34">
        <v>8</v>
      </c>
      <c r="J11" s="34">
        <v>8</v>
      </c>
      <c r="K11" s="60" t="s">
        <v>134</v>
      </c>
      <c r="L11" s="60" t="s">
        <v>134</v>
      </c>
      <c r="M11" s="34">
        <v>4</v>
      </c>
      <c r="N11" s="34">
        <v>8</v>
      </c>
      <c r="O11" s="34">
        <v>8</v>
      </c>
      <c r="P11" s="34">
        <v>8</v>
      </c>
      <c r="Q11" s="34">
        <v>8</v>
      </c>
      <c r="R11" s="60" t="s">
        <v>134</v>
      </c>
      <c r="S11" s="60" t="s">
        <v>134</v>
      </c>
      <c r="T11" s="34" t="s">
        <v>135</v>
      </c>
      <c r="U11" s="34" t="s">
        <v>135</v>
      </c>
      <c r="V11" s="34">
        <v>4</v>
      </c>
      <c r="W11" s="34">
        <v>8</v>
      </c>
      <c r="X11" s="34">
        <v>8</v>
      </c>
      <c r="Y11" s="60" t="s">
        <v>134</v>
      </c>
      <c r="Z11" s="60" t="s">
        <v>134</v>
      </c>
      <c r="AA11" s="34">
        <v>8</v>
      </c>
      <c r="AB11" s="34">
        <v>8</v>
      </c>
      <c r="AC11" s="34">
        <v>8</v>
      </c>
      <c r="AD11" s="34">
        <v>8</v>
      </c>
      <c r="AE11" s="34">
        <v>8</v>
      </c>
      <c r="AF11" s="60" t="s">
        <v>134</v>
      </c>
      <c r="AG11" s="62" t="s">
        <v>134</v>
      </c>
      <c r="AH11" s="35">
        <f t="shared" si="0"/>
        <v>16</v>
      </c>
      <c r="AI11" s="39"/>
      <c r="AJ11" s="35">
        <f t="shared" si="1"/>
        <v>0</v>
      </c>
      <c r="AK11" s="40"/>
      <c r="AL11" s="35">
        <f t="shared" si="2"/>
        <v>3</v>
      </c>
      <c r="AM11" s="40"/>
      <c r="AN11" s="35">
        <f t="shared" si="3"/>
        <v>2</v>
      </c>
      <c r="AO11" s="40"/>
      <c r="AP11" s="35" cm="1">
        <f t="array" ref="AP11">SUM(COUNTIF(C11:AG11,{"в","п"}))</f>
        <v>10</v>
      </c>
      <c r="AQ11" s="49"/>
    </row>
    <row r="12" spans="1:44" ht="15.5" thickTop="1" thickBot="1" x14ac:dyDescent="0.4">
      <c r="A12" s="47" t="s">
        <v>96</v>
      </c>
      <c r="B12" s="47" t="s">
        <v>109</v>
      </c>
      <c r="C12" s="42">
        <v>8</v>
      </c>
      <c r="D12" s="61" t="s">
        <v>134</v>
      </c>
      <c r="E12" s="61" t="s">
        <v>134</v>
      </c>
      <c r="F12" s="43" t="s">
        <v>135</v>
      </c>
      <c r="G12" s="43" t="s">
        <v>135</v>
      </c>
      <c r="H12" s="43" t="s">
        <v>135</v>
      </c>
      <c r="I12" s="43" t="s">
        <v>135</v>
      </c>
      <c r="J12" s="43" t="s">
        <v>135</v>
      </c>
      <c r="K12" s="61" t="s">
        <v>134</v>
      </c>
      <c r="L12" s="61" t="s">
        <v>134</v>
      </c>
      <c r="M12" s="43">
        <v>4</v>
      </c>
      <c r="N12" s="43">
        <v>6</v>
      </c>
      <c r="O12" s="43">
        <v>8</v>
      </c>
      <c r="P12" s="43">
        <v>6</v>
      </c>
      <c r="Q12" s="43">
        <v>4</v>
      </c>
      <c r="R12" s="61" t="s">
        <v>134</v>
      </c>
      <c r="S12" s="61" t="s">
        <v>134</v>
      </c>
      <c r="T12" s="43">
        <v>6</v>
      </c>
      <c r="U12" s="43">
        <v>8</v>
      </c>
      <c r="V12" s="43">
        <v>6</v>
      </c>
      <c r="W12" s="43">
        <v>8</v>
      </c>
      <c r="X12" s="43">
        <v>6</v>
      </c>
      <c r="Y12" s="61" t="s">
        <v>134</v>
      </c>
      <c r="Z12" s="61" t="s">
        <v>134</v>
      </c>
      <c r="AA12" s="43">
        <v>8</v>
      </c>
      <c r="AB12" s="43">
        <v>6</v>
      </c>
      <c r="AC12" s="43">
        <v>8</v>
      </c>
      <c r="AD12" s="43">
        <v>6</v>
      </c>
      <c r="AE12" s="43">
        <v>8</v>
      </c>
      <c r="AF12" s="61" t="s">
        <v>134</v>
      </c>
      <c r="AG12" s="63" t="s">
        <v>134</v>
      </c>
      <c r="AH12" s="35">
        <f t="shared" si="0"/>
        <v>16</v>
      </c>
      <c r="AI12" s="44"/>
      <c r="AJ12" s="35">
        <f t="shared" si="1"/>
        <v>0</v>
      </c>
      <c r="AK12" s="45"/>
      <c r="AL12" s="35">
        <f t="shared" si="2"/>
        <v>0</v>
      </c>
      <c r="AM12" s="45"/>
      <c r="AN12" s="35">
        <f t="shared" si="3"/>
        <v>5</v>
      </c>
      <c r="AO12" s="45"/>
      <c r="AP12" s="35" cm="1">
        <f t="array" ref="AP12">SUM(COUNTIF(C12:AG12,{"в","п"}))</f>
        <v>10</v>
      </c>
      <c r="AQ12" s="50"/>
    </row>
    <row r="14" spans="1:44" ht="16" customHeight="1" x14ac:dyDescent="0.35">
      <c r="A14" s="74" t="s">
        <v>138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</row>
    <row r="15" spans="1:44" ht="16" customHeight="1" x14ac:dyDescent="0.35"/>
    <row r="16" spans="1:44" ht="16" customHeight="1" x14ac:dyDescent="0.35"/>
    <row r="17" ht="16" customHeight="1" x14ac:dyDescent="0.35"/>
    <row r="18" ht="16" customHeight="1" x14ac:dyDescent="0.35"/>
    <row r="19" ht="16" customHeight="1" x14ac:dyDescent="0.35"/>
    <row r="20" ht="15" customHeight="1" x14ac:dyDescent="0.35"/>
  </sheetData>
  <mergeCells count="13">
    <mergeCell ref="AH4:AI5"/>
    <mergeCell ref="AJ4:AK5"/>
    <mergeCell ref="AL4:AM5"/>
    <mergeCell ref="AN4:AO5"/>
    <mergeCell ref="AP4:AQ5"/>
    <mergeCell ref="A14:S14"/>
    <mergeCell ref="B2:D2"/>
    <mergeCell ref="M3:O3"/>
    <mergeCell ref="Q3:R3"/>
    <mergeCell ref="A4:A5"/>
    <mergeCell ref="B4:B5"/>
    <mergeCell ref="C4:AG4"/>
    <mergeCell ref="L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2025-12-18T14:42:25Z</dcterms:created>
  <dcterms:modified xsi:type="dcterms:W3CDTF">2026-03-31T19:32:09Z</dcterms:modified>
</cp:coreProperties>
</file>