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12C7E7B1-C025-458A-8B02-18BCE9B02B86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raw_data" sheetId="1" r:id="rId1"/>
    <sheet name="analysis" sheetId="2" r:id="rId2"/>
    <sheet name="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 a="1"/>
  <c r="E17" i="3" s="1"/>
  <c r="K2" i="2"/>
  <c r="L2" i="2"/>
  <c r="I2" i="2" a="1"/>
  <c r="I2" i="2" s="1"/>
  <c r="D18" i="3" s="1"/>
  <c r="F6" i="2"/>
  <c r="E7" i="2"/>
  <c r="E2" i="2"/>
  <c r="D4" i="2"/>
  <c r="E4" i="2"/>
  <c r="F4" i="2"/>
  <c r="G4" i="2"/>
  <c r="D5" i="2"/>
  <c r="E5" i="2"/>
  <c r="F5" i="2"/>
  <c r="G5" i="2"/>
  <c r="D6" i="2"/>
  <c r="E6" i="2"/>
  <c r="G6" i="2"/>
  <c r="D7" i="2"/>
  <c r="F7" i="2"/>
  <c r="G7" i="2"/>
  <c r="C7" i="2"/>
  <c r="B7" i="2"/>
  <c r="B6" i="2"/>
  <c r="C6" i="2"/>
  <c r="C5" i="2"/>
  <c r="B5" i="2"/>
  <c r="C4" i="2"/>
  <c r="B4" i="2"/>
  <c r="B3" i="2"/>
  <c r="G3" i="2"/>
  <c r="E3" i="2"/>
  <c r="F3" i="2"/>
  <c r="D3" i="2"/>
  <c r="C3" i="2"/>
  <c r="B2" i="2"/>
  <c r="D2" i="2"/>
  <c r="F2" i="2"/>
  <c r="G2" i="2"/>
  <c r="C2" i="2"/>
  <c r="A2" i="2" a="1"/>
  <c r="A2" i="2" s="1"/>
  <c r="D2" i="3" l="1"/>
  <c r="D5" i="3"/>
  <c r="D4" i="3"/>
  <c r="D19" i="3"/>
  <c r="D3" i="3"/>
  <c r="D17" i="3"/>
  <c r="D16" i="3"/>
  <c r="D15" i="3"/>
  <c r="D14" i="3"/>
  <c r="D13" i="3"/>
  <c r="D12" i="3"/>
  <c r="D11" i="3"/>
  <c r="D10" i="3"/>
  <c r="D9" i="3"/>
  <c r="D8" i="3"/>
  <c r="D7" i="3"/>
  <c r="D6" i="3"/>
  <c r="D21" i="3"/>
  <c r="D2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<sst xmlns="http://schemas.openxmlformats.org/spreadsheetml/2006/main" count="30" uniqueCount="21">
  <si>
    <t>Год</t>
  </si>
  <si>
    <t>Темп роста инвестиций (%)</t>
  </si>
  <si>
    <t>Уровень безработицы (%)</t>
  </si>
  <si>
    <t>Уровень инфляции (%)</t>
  </si>
  <si>
    <t>Темп роста экспорта (%)</t>
  </si>
  <si>
    <t>Уровень процентных ставок (%)</t>
  </si>
  <si>
    <t>Рост ВВП (%)</t>
  </si>
  <si>
    <t>0,893629</t>
  </si>
  <si>
    <t>0,789649</t>
  </si>
  <si>
    <t>0,875991</t>
  </si>
  <si>
    <t>0,402912</t>
  </si>
  <si>
    <t>0,690127</t>
  </si>
  <si>
    <t>Для анализа был выбран фактор с наибольшей корреляцией. Поскольку это однофакторная модель, многоколлинеарность не учитывалась.</t>
  </si>
  <si>
    <t>k</t>
  </si>
  <si>
    <t>b</t>
  </si>
  <si>
    <t>X</t>
  </si>
  <si>
    <t>Y</t>
  </si>
  <si>
    <t>Рост ВВП (%) (Y=kX+b)</t>
  </si>
  <si>
    <t>Рост ВВП (%) (ТЕНДЕНЦИЯ)</t>
  </si>
  <si>
    <t>Y = k X + b</t>
  </si>
  <si>
    <t>уравнение линейной регрессии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</si>
</sst>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7">
    <xf numFmtId="0" fontId="0" fillId="0" borderId="0" xfId="0"/>
    <xf numFmtId="3" fontId="0" fillId="0" borderId="0" xfId="0" applyNumberForma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2" fontId="0" fillId="0" borderId="1" xfId="0" applyNumberFormat="1" applyBorder="1"/>
    <xf numFmtId="2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2" fontId="0" fillId="5" borderId="1" xfId="0" applyNumberForma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2" xfId="0" applyBorder="1"/>
    <xf numFmtId="3" fontId="0" fillId="0" borderId="2" xfId="0" applyNumberFormat="1" applyBorder="1"/>
    <xf numFmtId="3" fontId="7" fillId="7" borderId="2" xfId="0" applyNumberFormat="1" applyFont="1" applyFill="1" applyBorder="1"/>
    <xf numFmtId="3" fontId="8" fillId="6" borderId="2" xfId="0" applyNumberFormat="1" applyFont="1" applyFill="1" applyBorder="1"/>
    <xf numFmtId="0" fontId="6" fillId="2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5" fillId="4" borderId="2" xfId="3" applyFont="1" applyBorder="1" applyAlignment="1">
      <alignment vertical="center" wrapText="1"/>
    </xf>
    <xf numFmtId="3" fontId="0" fillId="8" borderId="3" xfId="0" applyNumberFormat="1" applyFill="1" applyBorder="1" applyAlignment="1">
      <alignment horizontal="center"/>
    </xf>
    <xf numFmtId="3" fontId="0" fillId="8" borderId="4" xfId="0" applyNumberFormat="1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</cellXfs>
  <cellStyles count="4">
    <cellStyle name="20% - Accent3" xfId="3" builtinId="38"/>
    <cellStyle name="40% - Accent1" xfId="2" builtinId="31"/>
    <cellStyle name="Accent1" xfId="1" builtinId="29"/>
    <cellStyle name="Normal" xfId="0" builtinId="0"/>
  </cellStyles>
  <dxfs count="1"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K16" sqref="K1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2001</v>
      </c>
      <c r="B2" s="1">
        <v>887987</v>
      </c>
      <c r="C2" s="1">
        <v>29411</v>
      </c>
      <c r="D2" s="1">
        <v>176041</v>
      </c>
      <c r="E2" s="1">
        <v>552869</v>
      </c>
      <c r="F2" t="s">
        <v>7</v>
      </c>
      <c r="G2" s="1">
        <v>349671</v>
      </c>
    </row>
    <row r="3" spans="1:7" x14ac:dyDescent="0.35">
      <c r="A3">
        <v>2002</v>
      </c>
      <c r="B3" s="1">
        <v>746267</v>
      </c>
      <c r="C3" s="1">
        <v>288198</v>
      </c>
      <c r="D3" s="1">
        <v>190717</v>
      </c>
      <c r="E3" s="1">
        <v>578798</v>
      </c>
      <c r="F3" s="1">
        <v>164498</v>
      </c>
      <c r="G3" s="1">
        <v>286174</v>
      </c>
    </row>
    <row r="4" spans="1:7" x14ac:dyDescent="0.35">
      <c r="A4">
        <v>2003</v>
      </c>
      <c r="B4" s="1">
        <v>831668</v>
      </c>
      <c r="C4" s="1">
        <v>19662</v>
      </c>
      <c r="D4" s="1">
        <v>144683</v>
      </c>
      <c r="E4" s="1">
        <v>730174</v>
      </c>
      <c r="F4" s="1">
        <v>136957</v>
      </c>
      <c r="G4" s="1">
        <v>364769</v>
      </c>
    </row>
    <row r="5" spans="1:7" x14ac:dyDescent="0.35">
      <c r="A5">
        <v>2004</v>
      </c>
      <c r="B5" s="1">
        <v>835835</v>
      </c>
      <c r="C5" s="1">
        <v>108047</v>
      </c>
      <c r="D5" s="1">
        <v>14019</v>
      </c>
      <c r="E5" s="1">
        <v>574324</v>
      </c>
      <c r="F5" t="s">
        <v>8</v>
      </c>
      <c r="G5" s="1">
        <v>452303</v>
      </c>
    </row>
    <row r="6" spans="1:7" x14ac:dyDescent="0.35">
      <c r="A6">
        <v>2005</v>
      </c>
      <c r="B6" s="1">
        <v>721707</v>
      </c>
      <c r="C6" s="1">
        <v>13088</v>
      </c>
      <c r="D6" s="1">
        <v>240626</v>
      </c>
      <c r="E6" s="1">
        <v>457443</v>
      </c>
      <c r="F6" s="1">
        <v>181302</v>
      </c>
      <c r="G6" s="1">
        <v>276585</v>
      </c>
    </row>
    <row r="7" spans="1:7" x14ac:dyDescent="0.35">
      <c r="A7">
        <v>2006</v>
      </c>
      <c r="B7" s="1">
        <v>754474</v>
      </c>
      <c r="C7" s="1">
        <v>206747</v>
      </c>
      <c r="D7" s="1">
        <v>267812</v>
      </c>
      <c r="E7" s="1">
        <v>488117</v>
      </c>
      <c r="F7" s="1">
        <v>209568</v>
      </c>
      <c r="G7" s="1">
        <v>276586</v>
      </c>
    </row>
    <row r="8" spans="1:7" x14ac:dyDescent="0.35">
      <c r="A8">
        <v>2007</v>
      </c>
      <c r="B8" s="1">
        <v>854579</v>
      </c>
      <c r="C8" t="s">
        <v>9</v>
      </c>
      <c r="D8" s="1">
        <v>196399</v>
      </c>
      <c r="E8" s="1">
        <v>720501</v>
      </c>
      <c r="F8" s="1">
        <v>211141</v>
      </c>
      <c r="G8" s="1">
        <v>457921</v>
      </c>
    </row>
    <row r="9" spans="1:7" x14ac:dyDescent="0.35">
      <c r="A9">
        <v>2008</v>
      </c>
      <c r="B9" s="1">
        <v>857854</v>
      </c>
      <c r="C9" s="1">
        <v>304317</v>
      </c>
      <c r="D9" s="1">
        <v>250177</v>
      </c>
      <c r="E9" s="1">
        <v>621247</v>
      </c>
      <c r="F9" s="1">
        <v>158032</v>
      </c>
      <c r="G9" s="1">
        <v>376743</v>
      </c>
    </row>
    <row r="10" spans="1:7" x14ac:dyDescent="0.35">
      <c r="A10">
        <v>2009</v>
      </c>
      <c r="B10" s="1">
        <v>697715</v>
      </c>
      <c r="C10" s="1">
        <v>33192</v>
      </c>
      <c r="D10" s="1">
        <v>218082</v>
      </c>
      <c r="E10" s="1">
        <v>47355</v>
      </c>
      <c r="F10" s="1">
        <v>211656</v>
      </c>
      <c r="G10" s="1">
        <v>253053</v>
      </c>
    </row>
    <row r="11" spans="1:7" x14ac:dyDescent="0.35">
      <c r="A11">
        <v>2010</v>
      </c>
      <c r="B11" s="1">
        <v>804246</v>
      </c>
      <c r="C11" t="s">
        <v>10</v>
      </c>
      <c r="D11" s="1">
        <v>167744</v>
      </c>
      <c r="E11" s="1">
        <v>628455</v>
      </c>
      <c r="F11" s="1">
        <v>154575</v>
      </c>
      <c r="G11" s="1">
        <v>354256</v>
      </c>
    </row>
    <row r="12" spans="1:7" x14ac:dyDescent="0.35">
      <c r="A12">
        <v>2011</v>
      </c>
      <c r="B12" s="1">
        <v>698207</v>
      </c>
      <c r="C12" s="1">
        <v>329482</v>
      </c>
      <c r="D12" s="1">
        <v>21807</v>
      </c>
      <c r="E12" s="1">
        <v>536537</v>
      </c>
      <c r="F12" s="1">
        <v>102598</v>
      </c>
      <c r="G12" s="1">
        <v>253658</v>
      </c>
    </row>
    <row r="13" spans="1:7" x14ac:dyDescent="0.35">
      <c r="A13">
        <v>2012</v>
      </c>
      <c r="B13" s="1">
        <v>820698</v>
      </c>
      <c r="C13" s="1">
        <v>25875</v>
      </c>
      <c r="D13" s="1">
        <v>276902</v>
      </c>
      <c r="E13" s="1">
        <v>623578</v>
      </c>
      <c r="F13" s="1">
        <v>197303</v>
      </c>
      <c r="G13" s="1">
        <v>253427</v>
      </c>
    </row>
    <row r="14" spans="1:7" x14ac:dyDescent="0.35">
      <c r="A14">
        <v>2013</v>
      </c>
      <c r="B14" s="1">
        <v>791102</v>
      </c>
      <c r="C14" s="1">
        <v>172951</v>
      </c>
      <c r="D14" s="1">
        <v>198209</v>
      </c>
      <c r="E14" s="1">
        <v>491893</v>
      </c>
      <c r="F14" s="1">
        <v>173333</v>
      </c>
      <c r="G14" s="1">
        <v>324196</v>
      </c>
    </row>
    <row r="15" spans="1:7" x14ac:dyDescent="0.35">
      <c r="A15">
        <v>2014</v>
      </c>
      <c r="B15" s="1">
        <v>544919</v>
      </c>
      <c r="C15" s="1">
        <v>47423</v>
      </c>
      <c r="D15" s="1">
        <v>278232</v>
      </c>
      <c r="E15" s="1">
        <v>42157</v>
      </c>
      <c r="F15" s="1">
        <v>379693</v>
      </c>
      <c r="G15" s="1">
        <v>108672</v>
      </c>
    </row>
    <row r="16" spans="1:7" x14ac:dyDescent="0.35">
      <c r="A16">
        <v>2015</v>
      </c>
      <c r="B16" s="1">
        <v>655885</v>
      </c>
      <c r="C16" s="1">
        <v>501093</v>
      </c>
      <c r="D16" t="s">
        <v>11</v>
      </c>
      <c r="E16" s="1">
        <v>424543</v>
      </c>
      <c r="F16" s="1">
        <v>239379</v>
      </c>
      <c r="G16" s="1">
        <v>127508</v>
      </c>
    </row>
    <row r="17" spans="1:6" x14ac:dyDescent="0.35">
      <c r="A17">
        <v>2016</v>
      </c>
      <c r="B17" s="1">
        <v>658352</v>
      </c>
      <c r="C17" s="1">
        <v>398111</v>
      </c>
      <c r="D17" s="1">
        <v>241095</v>
      </c>
      <c r="E17" s="1">
        <v>375534</v>
      </c>
      <c r="F17" s="1">
        <v>217569</v>
      </c>
    </row>
    <row r="18" spans="1:6" x14ac:dyDescent="0.35">
      <c r="A18">
        <v>2017</v>
      </c>
      <c r="B18" s="1">
        <v>689288</v>
      </c>
      <c r="C18" s="1">
        <v>257105</v>
      </c>
      <c r="D18" s="1">
        <v>204352</v>
      </c>
      <c r="E18" s="1">
        <v>52897</v>
      </c>
      <c r="F18" s="1">
        <v>218778</v>
      </c>
    </row>
    <row r="19" spans="1:6" x14ac:dyDescent="0.35">
      <c r="A19">
        <v>2018</v>
      </c>
      <c r="B19" s="1">
        <v>700299</v>
      </c>
      <c r="C19" s="1">
        <v>203939</v>
      </c>
      <c r="D19" s="1">
        <v>18505</v>
      </c>
      <c r="E19" s="1">
        <v>591818</v>
      </c>
      <c r="F19" s="1">
        <v>108996</v>
      </c>
    </row>
    <row r="20" spans="1:6" x14ac:dyDescent="0.35">
      <c r="A20">
        <v>2019</v>
      </c>
      <c r="B20" s="1">
        <v>621869</v>
      </c>
      <c r="C20" s="1">
        <v>365768</v>
      </c>
      <c r="D20" s="1">
        <v>204588</v>
      </c>
      <c r="E20" s="1">
        <v>50511</v>
      </c>
      <c r="F20" s="1">
        <v>273462</v>
      </c>
    </row>
    <row r="21" spans="1:6" x14ac:dyDescent="0.35">
      <c r="A21">
        <v>2020</v>
      </c>
      <c r="B21" s="1">
        <v>652736</v>
      </c>
      <c r="C21" s="1">
        <v>470539</v>
      </c>
      <c r="D21" s="1">
        <v>100622</v>
      </c>
      <c r="E21" s="1">
        <v>455926</v>
      </c>
      <c r="F21" s="1">
        <v>274089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A5A9-C3CD-4331-A1AF-7611EBC9D196}">
  <dimension ref="A1:L10"/>
  <sheetViews>
    <sheetView tabSelected="1" workbookViewId="0">
      <selection activeCell="I1" sqref="I1"/>
    </sheetView>
  </sheetViews>
  <sheetFormatPr defaultRowHeight="14.5" x14ac:dyDescent="0.35"/>
  <cols>
    <col min="2" max="7" width="9" bestFit="1" customWidth="1"/>
    <col min="9" max="9" width="11.36328125" bestFit="1" customWidth="1"/>
    <col min="10" max="10" width="12" bestFit="1" customWidth="1"/>
  </cols>
  <sheetData>
    <row r="1" spans="1:12" ht="72.5" x14ac:dyDescent="0.35">
      <c r="A1" s="7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3" t="s">
        <v>6</v>
      </c>
      <c r="I1" s="18" t="s">
        <v>13</v>
      </c>
      <c r="J1" s="18" t="s">
        <v>14</v>
      </c>
      <c r="K1" s="18" t="s">
        <v>16</v>
      </c>
      <c r="L1" s="18" t="s">
        <v>15</v>
      </c>
    </row>
    <row r="2" spans="1:12" ht="58" x14ac:dyDescent="0.35">
      <c r="A2" s="9" t="str" cm="1">
        <f t="array" ref="A2:A7">TRANSPOSE(B1:G1)</f>
        <v>Темп роста инвестиций (%)</v>
      </c>
      <c r="B2" s="8">
        <f>CORREL(raw_data!$B$2:$B$16,raw_data!B$2:B$16)</f>
        <v>0.99999999999999989</v>
      </c>
      <c r="C2" s="4">
        <f>CORREL(raw_data!$B$2:$B$16,raw_data!C2:C16)</f>
        <v>-0.19477355590156559</v>
      </c>
      <c r="D2" s="4">
        <f>CORREL(raw_data!$B$2:$B$16,raw_data!D2:D16)</f>
        <v>-0.20296838399000752</v>
      </c>
      <c r="E2" s="4">
        <f>CORREL(raw_data!$B$2:$B$16,raw_data!E$2:E$16)</f>
        <v>0.78768804693301875</v>
      </c>
      <c r="F2" s="4">
        <f>CORREL(raw_data!$B$2:$B$16,raw_data!F2:F16)</f>
        <v>-0.66403355472105385</v>
      </c>
      <c r="G2" s="5">
        <f>CORREL(raw_data!$B$2:$B$16,raw_data!G2:G16)</f>
        <v>0.87062016500609962</v>
      </c>
      <c r="I2" s="19" cm="1">
        <f t="array" ref="I2:J2">LINEST(raw_data!G2:G16,raw_data!B2:B16)</f>
        <v>0.94208551611869751</v>
      </c>
      <c r="J2" s="19">
        <v>-421428.16067614552</v>
      </c>
      <c r="K2" s="19" t="str">
        <f>G1</f>
        <v>Рост ВВП (%)</v>
      </c>
      <c r="L2" s="19" t="str">
        <f>B1</f>
        <v>Темп роста инвестиций (%)</v>
      </c>
    </row>
    <row r="3" spans="1:12" ht="43.5" x14ac:dyDescent="0.35">
      <c r="A3" s="9" t="str">
        <v>Уровень безработицы (%)</v>
      </c>
      <c r="B3" s="4">
        <f>CORREL(raw_data!$C$2:$C$16,raw_data!B$2:B$16)</f>
        <v>-0.19477355590156559</v>
      </c>
      <c r="C3" s="8">
        <f>CORREL(raw_data!$C$2:$C$16,raw_data!C$2:C$16)</f>
        <v>1.0000000000000002</v>
      </c>
      <c r="D3" s="4">
        <f>CORREL(raw_data!$C$2:$C$16,raw_data!D$2:D$16)</f>
        <v>-0.25606037834614404</v>
      </c>
      <c r="E3" s="4">
        <f>CORREL(raw_data!$C$2:$C$16,raw_data!E$2:E$16)</f>
        <v>0.16253473407010463</v>
      </c>
      <c r="F3" s="4">
        <f>CORREL(raw_data!$C$2:$C$16,raw_data!F$2:F$16)</f>
        <v>-0.1917059069945892</v>
      </c>
      <c r="G3" s="5">
        <f>CORREL(raw_data!$C$2:$C$16,raw_data!G$2:G$16)</f>
        <v>-0.25085992738116253</v>
      </c>
    </row>
    <row r="4" spans="1:12" ht="43.5" x14ac:dyDescent="0.35">
      <c r="A4" s="9" t="str">
        <v>Уровень инфляции (%)</v>
      </c>
      <c r="B4" s="4">
        <f>CORREL(raw_data!$D$2:$D$16,raw_data!B$2:B$16)</f>
        <v>-0.20296838399000752</v>
      </c>
      <c r="C4" s="4">
        <f>CORREL(raw_data!$D$2:$D$16,raw_data!C$2:C$16)</f>
        <v>-0.25606037834614404</v>
      </c>
      <c r="D4" s="8">
        <f>CORREL(raw_data!$D$2:$D$16,raw_data!D$2:D$16)</f>
        <v>1</v>
      </c>
      <c r="E4" s="4">
        <f>CORREL(raw_data!$D$2:$D$16,raw_data!E$2:E$16)</f>
        <v>-0.3051317739953297</v>
      </c>
      <c r="F4" s="4">
        <f>CORREL(raw_data!$D$2:$D$16,raw_data!F$2:F$16)</f>
        <v>0.64952389005944589</v>
      </c>
      <c r="G4" s="5">
        <f>CORREL(raw_data!$D$2:$D$16,raw_data!G$2:G$16)</f>
        <v>-0.43925132881232865</v>
      </c>
      <c r="I4" s="16" t="s">
        <v>20</v>
      </c>
      <c r="J4" s="16"/>
      <c r="K4" s="16"/>
      <c r="L4" s="16"/>
    </row>
    <row r="5" spans="1:12" ht="58" x14ac:dyDescent="0.35">
      <c r="A5" s="9" t="str">
        <v>Темп роста экспорта (%)</v>
      </c>
      <c r="B5" s="4">
        <f>CORREL(raw_data!$E$2:$E$16,raw_data!B$2:B$16)</f>
        <v>0.78768804693301875</v>
      </c>
      <c r="C5" s="4">
        <f>CORREL(raw_data!$E$2:$E$16,raw_data!C$2:C$16)</f>
        <v>0.16253473407010463</v>
      </c>
      <c r="D5" s="4">
        <f>CORREL(raw_data!$E$2:$E$16,raw_data!D$2:D$16)</f>
        <v>-0.3051317739953297</v>
      </c>
      <c r="E5" s="8">
        <f>CORREL(raw_data!$E$2:$E$16,raw_data!E$2:E$16)</f>
        <v>1</v>
      </c>
      <c r="F5" s="4">
        <f>CORREL(raw_data!$E$2:$E$16,raw_data!F$2:F$16)</f>
        <v>-0.68399593950712401</v>
      </c>
      <c r="G5" s="5">
        <f>CORREL(raw_data!$E$2:$E$16,raw_data!G$2:G$16)</f>
        <v>0.68239605473008091</v>
      </c>
      <c r="I5" s="17" t="s">
        <v>19</v>
      </c>
      <c r="J5" s="17"/>
      <c r="K5" s="17"/>
      <c r="L5" s="17"/>
    </row>
    <row r="6" spans="1:12" ht="72.5" x14ac:dyDescent="0.35">
      <c r="A6" s="9" t="str">
        <v>Уровень процентных ставок (%)</v>
      </c>
      <c r="B6" s="4">
        <f>CORREL(raw_data!$F$2:$F$16,raw_data!B$2:B$16)</f>
        <v>-0.66403355472105385</v>
      </c>
      <c r="C6" s="4">
        <f>CORREL(raw_data!$F$2:$F$16,raw_data!C$2:C$16)</f>
        <v>-0.1917059069945892</v>
      </c>
      <c r="D6" s="4">
        <f>CORREL(raw_data!$F$2:$F$16,raw_data!D$2:D$16)</f>
        <v>0.64952389005944589</v>
      </c>
      <c r="E6" s="4">
        <f>CORREL(raw_data!$F$2:$F$16,raw_data!E$2:E$16)</f>
        <v>-0.68399593950712401</v>
      </c>
      <c r="F6" s="8">
        <f>CORREL(raw_data!$F$2:$F$16,raw_data!F$2:F$16)</f>
        <v>0.99999999999999989</v>
      </c>
      <c r="G6" s="5">
        <f>CORREL(raw_data!$F$2:$F$16,raw_data!G$2:G$16)</f>
        <v>-0.60286060376995787</v>
      </c>
      <c r="I6" s="2"/>
      <c r="J6" s="2"/>
      <c r="K6" s="2"/>
      <c r="L6" s="2"/>
    </row>
    <row r="7" spans="1:12" ht="29" x14ac:dyDescent="0.35">
      <c r="A7" s="6" t="str">
        <v>Рост ВВП (%)</v>
      </c>
      <c r="B7" s="5">
        <f>CORREL(raw_data!$G$2:$G$16,raw_data!B$2:B$16)</f>
        <v>0.87062016500609962</v>
      </c>
      <c r="C7" s="5">
        <f>CORREL(raw_data!$G$2:$G$16,raw_data!C$2:C16)</f>
        <v>-0.25085992738116253</v>
      </c>
      <c r="D7" s="5">
        <f>CORREL(raw_data!$G$2:$G$16,raw_data!D$2:D$16)</f>
        <v>-0.43925132881232865</v>
      </c>
      <c r="E7" s="5">
        <f>CORREL(raw_data!$G$2:$G$16,raw_data!E$2:E$16)</f>
        <v>0.68239605473008091</v>
      </c>
      <c r="F7" s="5">
        <f>CORREL(raw_data!$G$2:$G$16,raw_data!F$2:F$16)</f>
        <v>-0.60286060376995787</v>
      </c>
      <c r="G7" s="5">
        <f>CORREL(raw_data!$G$2:$G$16,raw_data!G$2:G16)</f>
        <v>1</v>
      </c>
    </row>
    <row r="9" spans="1:12" x14ac:dyDescent="0.35">
      <c r="A9" s="11" t="s">
        <v>12</v>
      </c>
      <c r="B9" s="11"/>
      <c r="C9" s="11"/>
      <c r="D9" s="11"/>
      <c r="E9" s="11"/>
      <c r="F9" s="11"/>
      <c r="G9" s="11"/>
    </row>
    <row r="10" spans="1:12" x14ac:dyDescent="0.35">
      <c r="A10" s="11"/>
      <c r="B10" s="11"/>
      <c r="C10" s="11"/>
      <c r="D10" s="11"/>
      <c r="E10" s="11"/>
      <c r="F10" s="11"/>
      <c r="G10" s="11"/>
    </row>
  </sheetData>
  <mergeCells count="3">
    <mergeCell ref="A9:G10"/>
    <mergeCell ref="I5:L5"/>
    <mergeCell ref="I4:L4"/>
  </mergeCells>
  <conditionalFormatting sqref="B7:G7 G2:G6">
    <cfRule type="cellIs" dxfId="0" priority="1" operator="equal">
      <formula>1</formula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E74E-4790-49D7-8F71-CF2E2038C6E8}">
  <dimension ref="A1:F21"/>
  <sheetViews>
    <sheetView workbookViewId="0">
      <selection activeCell="A16" sqref="A16"/>
    </sheetView>
  </sheetViews>
  <sheetFormatPr defaultRowHeight="14.5" x14ac:dyDescent="0.35"/>
  <cols>
    <col min="1" max="5" width="15.6328125" customWidth="1"/>
  </cols>
  <sheetData>
    <row r="1" spans="1:6" ht="29" x14ac:dyDescent="0.35">
      <c r="A1" s="20" t="s">
        <v>0</v>
      </c>
      <c r="B1" s="20" t="s">
        <v>1</v>
      </c>
      <c r="C1" s="20" t="s">
        <v>6</v>
      </c>
      <c r="D1" s="20" t="s">
        <v>17</v>
      </c>
      <c r="E1" s="20" t="s">
        <v>18</v>
      </c>
    </row>
    <row r="2" spans="1:6" x14ac:dyDescent="0.35">
      <c r="A2" s="12">
        <v>2001</v>
      </c>
      <c r="B2" s="13">
        <v>887987</v>
      </c>
      <c r="C2" s="13">
        <v>349671</v>
      </c>
      <c r="D2" s="14">
        <f>analysis!$I$2*result!B2+analysis!$J$2</f>
        <v>415131.53052554833</v>
      </c>
      <c r="E2" s="21"/>
    </row>
    <row r="3" spans="1:6" x14ac:dyDescent="0.35">
      <c r="A3" s="12">
        <v>2002</v>
      </c>
      <c r="B3" s="13">
        <v>746267</v>
      </c>
      <c r="C3" s="13">
        <v>286174</v>
      </c>
      <c r="D3" s="14">
        <f>analysis!$I$2*result!B3+analysis!$J$2</f>
        <v>281619.17118120653</v>
      </c>
      <c r="E3" s="22"/>
      <c r="F3" s="1"/>
    </row>
    <row r="4" spans="1:6" x14ac:dyDescent="0.35">
      <c r="A4" s="12">
        <v>2003</v>
      </c>
      <c r="B4" s="13">
        <v>831668</v>
      </c>
      <c r="C4" s="13">
        <v>364769</v>
      </c>
      <c r="D4" s="14">
        <f>analysis!$I$2*result!B4+analysis!$J$2</f>
        <v>362074.21634325938</v>
      </c>
      <c r="E4" s="22"/>
      <c r="F4" s="1"/>
    </row>
    <row r="5" spans="1:6" x14ac:dyDescent="0.35">
      <c r="A5" s="12">
        <v>2004</v>
      </c>
      <c r="B5" s="13">
        <v>835835</v>
      </c>
      <c r="C5" s="13">
        <v>452303</v>
      </c>
      <c r="D5" s="14">
        <f>analysis!$I$2*result!B5+analysis!$J$2</f>
        <v>365999.88668892597</v>
      </c>
      <c r="E5" s="22"/>
    </row>
    <row r="6" spans="1:6" x14ac:dyDescent="0.35">
      <c r="A6" s="12">
        <v>2005</v>
      </c>
      <c r="B6" s="13">
        <v>721707</v>
      </c>
      <c r="C6" s="13">
        <v>276585</v>
      </c>
      <c r="D6" s="14">
        <f>analysis!$I$2*result!B6+analysis!$J$2</f>
        <v>258481.55090533133</v>
      </c>
      <c r="E6" s="22"/>
      <c r="F6" s="1"/>
    </row>
    <row r="7" spans="1:6" x14ac:dyDescent="0.35">
      <c r="A7" s="12">
        <v>2006</v>
      </c>
      <c r="B7" s="13">
        <v>754474</v>
      </c>
      <c r="C7" s="13">
        <v>276586</v>
      </c>
      <c r="D7" s="14">
        <f>analysis!$I$2*result!B7+analysis!$J$2</f>
        <v>289350.86701199267</v>
      </c>
      <c r="E7" s="22"/>
      <c r="F7" s="1"/>
    </row>
    <row r="8" spans="1:6" x14ac:dyDescent="0.35">
      <c r="A8" s="12">
        <v>2007</v>
      </c>
      <c r="B8" s="13">
        <v>854579</v>
      </c>
      <c r="C8" s="13">
        <v>457921</v>
      </c>
      <c r="D8" s="14">
        <f>analysis!$I$2*result!B8+analysis!$J$2</f>
        <v>383658.33760305488</v>
      </c>
      <c r="E8" s="22"/>
      <c r="F8" s="1"/>
    </row>
    <row r="9" spans="1:6" x14ac:dyDescent="0.35">
      <c r="A9" s="12">
        <v>2008</v>
      </c>
      <c r="B9" s="13">
        <v>857854</v>
      </c>
      <c r="C9" s="13">
        <v>376743</v>
      </c>
      <c r="D9" s="14">
        <f>analysis!$I$2*result!B9+analysis!$J$2</f>
        <v>386743.66766834358</v>
      </c>
      <c r="E9" s="22"/>
      <c r="F9" s="1"/>
    </row>
    <row r="10" spans="1:6" x14ac:dyDescent="0.35">
      <c r="A10" s="12">
        <v>2009</v>
      </c>
      <c r="B10" s="13">
        <v>697715</v>
      </c>
      <c r="C10" s="13">
        <v>253053</v>
      </c>
      <c r="D10" s="14">
        <f>analysis!$I$2*result!B10+analysis!$J$2</f>
        <v>235879.03520261153</v>
      </c>
      <c r="E10" s="22"/>
      <c r="F10" s="1"/>
    </row>
    <row r="11" spans="1:6" x14ac:dyDescent="0.35">
      <c r="A11" s="12">
        <v>2010</v>
      </c>
      <c r="B11" s="13">
        <v>804246</v>
      </c>
      <c r="C11" s="13">
        <v>354256</v>
      </c>
      <c r="D11" s="14">
        <f>analysis!$I$2*result!B11+analysis!$J$2</f>
        <v>336240.34732025251</v>
      </c>
      <c r="E11" s="22"/>
      <c r="F11" s="1"/>
    </row>
    <row r="12" spans="1:6" x14ac:dyDescent="0.35">
      <c r="A12" s="12">
        <v>2011</v>
      </c>
      <c r="B12" s="13">
        <v>698207</v>
      </c>
      <c r="C12" s="13">
        <v>253658</v>
      </c>
      <c r="D12" s="14">
        <f>analysis!$I$2*result!B12+analysis!$J$2</f>
        <v>236342.54127654195</v>
      </c>
      <c r="E12" s="22"/>
      <c r="F12" s="1"/>
    </row>
    <row r="13" spans="1:6" x14ac:dyDescent="0.35">
      <c r="A13" s="12">
        <v>2012</v>
      </c>
      <c r="B13" s="13">
        <v>820698</v>
      </c>
      <c r="C13" s="13">
        <v>253427</v>
      </c>
      <c r="D13" s="14">
        <f>analysis!$I$2*result!B13+analysis!$J$2</f>
        <v>351739.53823143727</v>
      </c>
      <c r="E13" s="22"/>
      <c r="F13" s="1"/>
    </row>
    <row r="14" spans="1:6" x14ac:dyDescent="0.35">
      <c r="A14" s="12">
        <v>2013</v>
      </c>
      <c r="B14" s="13">
        <v>791102</v>
      </c>
      <c r="C14" s="13">
        <v>324196</v>
      </c>
      <c r="D14" s="14">
        <f>analysis!$I$2*result!B14+analysis!$J$2</f>
        <v>323857.5752963883</v>
      </c>
      <c r="E14" s="22"/>
      <c r="F14" s="1"/>
    </row>
    <row r="15" spans="1:6" x14ac:dyDescent="0.35">
      <c r="A15" s="12">
        <v>2014</v>
      </c>
      <c r="B15" s="13">
        <v>544919</v>
      </c>
      <c r="C15" s="13">
        <v>108672</v>
      </c>
      <c r="D15" s="14">
        <f>analysis!$I$2*result!B15+analysis!$J$2</f>
        <v>91932.136681739008</v>
      </c>
      <c r="E15" s="22"/>
      <c r="F15" s="1"/>
    </row>
    <row r="16" spans="1:6" x14ac:dyDescent="0.35">
      <c r="A16" s="12">
        <v>2015</v>
      </c>
      <c r="B16" s="13">
        <v>655885</v>
      </c>
      <c r="C16" s="13">
        <v>127508</v>
      </c>
      <c r="D16" s="14">
        <f>analysis!$I$2*result!B16+analysis!$J$2</f>
        <v>196471.59806336643</v>
      </c>
      <c r="E16" s="23"/>
      <c r="F16" s="1"/>
    </row>
    <row r="17" spans="1:6" x14ac:dyDescent="0.35">
      <c r="A17" s="12">
        <v>2016</v>
      </c>
      <c r="B17" s="13">
        <v>658352</v>
      </c>
      <c r="C17" s="24"/>
      <c r="D17" s="14">
        <f>analysis!$I$2*result!B17+analysis!$J$2</f>
        <v>198795.72303163126</v>
      </c>
      <c r="E17" s="15" cm="1">
        <f t="array" ref="E17:E21">TREND(C2:C16,B2:B16,B17:B21)</f>
        <v>198795.72303163126</v>
      </c>
      <c r="F17" s="1"/>
    </row>
    <row r="18" spans="1:6" x14ac:dyDescent="0.35">
      <c r="A18" s="12">
        <v>2017</v>
      </c>
      <c r="B18" s="13">
        <v>689288</v>
      </c>
      <c r="C18" s="25"/>
      <c r="D18" s="14">
        <f>analysis!$I$2*result!B18+analysis!$J$2</f>
        <v>227940.08055827924</v>
      </c>
      <c r="E18" s="15">
        <v>227940.08055827924</v>
      </c>
      <c r="F18" s="1"/>
    </row>
    <row r="19" spans="1:6" x14ac:dyDescent="0.35">
      <c r="A19" s="12">
        <v>2018</v>
      </c>
      <c r="B19" s="13">
        <v>700299</v>
      </c>
      <c r="C19" s="25"/>
      <c r="D19" s="14">
        <f>analysis!$I$2*result!B19+analysis!$J$2</f>
        <v>238313.38417626225</v>
      </c>
      <c r="E19" s="15">
        <v>238313.38417626225</v>
      </c>
      <c r="F19" s="1"/>
    </row>
    <row r="20" spans="1:6" x14ac:dyDescent="0.35">
      <c r="A20" s="12">
        <v>2019</v>
      </c>
      <c r="B20" s="13">
        <v>621869</v>
      </c>
      <c r="C20" s="25"/>
      <c r="D20" s="14">
        <f>analysis!$I$2*result!B20+analysis!$J$2</f>
        <v>164425.61714707274</v>
      </c>
      <c r="E20" s="15">
        <v>164425.61714707274</v>
      </c>
      <c r="F20" s="1"/>
    </row>
    <row r="21" spans="1:6" x14ac:dyDescent="0.35">
      <c r="A21" s="12">
        <v>2020</v>
      </c>
      <c r="B21" s="13">
        <v>652736</v>
      </c>
      <c r="C21" s="26"/>
      <c r="D21" s="14">
        <f>analysis!$I$2*result!B21+analysis!$J$2</f>
        <v>193504.97077310859</v>
      </c>
      <c r="E21" s="15">
        <v>193504.97077310859</v>
      </c>
      <c r="F21" s="1"/>
    </row>
  </sheetData>
  <mergeCells count="2">
    <mergeCell ref="E2:E16"/>
    <mergeCell ref="C17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</dc:creator>
  <cp:lastModifiedBy>Erland Adestio Sadana</cp:lastModifiedBy>
  <dcterms:created xsi:type="dcterms:W3CDTF">2015-06-05T18:17:20Z</dcterms:created>
  <dcterms:modified xsi:type="dcterms:W3CDTF">2026-05-04T10:03:20Z</dcterms:modified>
</cp:coreProperties>
</file>