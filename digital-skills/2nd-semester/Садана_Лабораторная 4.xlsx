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New folder\college\sem2\digital skills\"/>
    </mc:Choice>
  </mc:AlternateContent>
  <xr:revisionPtr revIDLastSave="0" documentId="13_ncr:1_{D6D1BDBE-D5C3-4682-884B-5EC34694D4EB}" xr6:coauthVersionLast="47" xr6:coauthVersionMax="47" xr10:uidLastSave="{00000000-0000-0000-0000-000000000000}"/>
  <bookViews>
    <workbookView xWindow="-110" yWindow="-110" windowWidth="29020" windowHeight="17500" activeTab="1" xr2:uid="{00000000-000D-0000-FFFF-FFFF00000000}"/>
  </bookViews>
  <sheets>
    <sheet name="Счет из магазина" sheetId="1" r:id="rId1"/>
    <sheet name="Продаж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2" l="1"/>
  <c r="F8" i="2" s="1"/>
  <c r="F5" i="2" s="1"/>
  <c r="F6" i="2" s="1"/>
  <c r="J8" i="2"/>
  <c r="J2" i="2"/>
  <c r="L4" i="2" s="1"/>
  <c r="C8" i="2"/>
  <c r="D8" i="2"/>
  <c r="E8" i="2"/>
  <c r="B8" i="2"/>
  <c r="F2" i="2"/>
  <c r="F4" i="2" s="1"/>
  <c r="C4" i="2"/>
  <c r="C6" i="2" s="1"/>
  <c r="D4" i="2"/>
  <c r="D6" i="2" s="1"/>
  <c r="E4" i="2"/>
  <c r="E6" i="2" s="1"/>
  <c r="B4" i="2"/>
  <c r="B6" i="2" s="1"/>
  <c r="G3" i="1"/>
  <c r="G13" i="1" s="1"/>
  <c r="G4" i="1"/>
  <c r="G5" i="1"/>
  <c r="G6" i="1"/>
  <c r="G7" i="1"/>
  <c r="G8" i="1"/>
  <c r="G9" i="1"/>
  <c r="G10" i="1"/>
  <c r="G11" i="1"/>
  <c r="G12" i="1"/>
  <c r="F13" i="1"/>
  <c r="F4" i="1"/>
  <c r="F5" i="1"/>
  <c r="F6" i="1"/>
  <c r="F7" i="1"/>
  <c r="F8" i="1"/>
  <c r="F9" i="1"/>
  <c r="F10" i="1"/>
  <c r="F11" i="1"/>
  <c r="F12" i="1"/>
  <c r="F3" i="1"/>
  <c r="K4" i="2" l="1"/>
  <c r="N4" i="2"/>
  <c r="M4" i="2"/>
  <c r="O4" i="2" l="1"/>
  <c r="M3" i="2"/>
  <c r="N3" i="2"/>
  <c r="L3" i="2"/>
  <c r="K3" i="2"/>
  <c r="O3" i="2"/>
  <c r="P5" i="2"/>
</calcChain>
</file>

<file path=xl/sharedStrings.xml><?xml version="1.0" encoding="utf-8"?>
<sst xmlns="http://schemas.openxmlformats.org/spreadsheetml/2006/main" count="46" uniqueCount="41">
  <si>
    <t>Наименование товара</t>
  </si>
  <si>
    <t>Единица измерения</t>
  </si>
  <si>
    <t>Цена</t>
  </si>
  <si>
    <t>Количество</t>
  </si>
  <si>
    <t>Стоимость</t>
  </si>
  <si>
    <t>Хлеб</t>
  </si>
  <si>
    <t>штуки</t>
  </si>
  <si>
    <t>Молоко</t>
  </si>
  <si>
    <t>литры</t>
  </si>
  <si>
    <t>Сахар</t>
  </si>
  <si>
    <t>килограммы</t>
  </si>
  <si>
    <t>Яблоки</t>
  </si>
  <si>
    <t>Сыр</t>
  </si>
  <si>
    <t>Масло сливочное</t>
  </si>
  <si>
    <t>Яйца</t>
  </si>
  <si>
    <t>десяток</t>
  </si>
  <si>
    <t>Курица</t>
  </si>
  <si>
    <t>Чай</t>
  </si>
  <si>
    <t>упаковка</t>
  </si>
  <si>
    <t>Вода минеральная</t>
  </si>
  <si>
    <t>Стоимость со скидкой</t>
  </si>
  <si>
    <t>Счет из магазина</t>
  </si>
  <si>
    <t>Итого</t>
  </si>
  <si>
    <t>Январь</t>
  </si>
  <si>
    <t>Февраль</t>
  </si>
  <si>
    <t>Март</t>
  </si>
  <si>
    <t>Апрель</t>
  </si>
  <si>
    <t>Объем продаж</t>
  </si>
  <si>
    <t>Цена за 1 шт.</t>
  </si>
  <si>
    <t>Доходы</t>
  </si>
  <si>
    <t>Расходы</t>
  </si>
  <si>
    <t>Прибыль</t>
  </si>
  <si>
    <t>Май</t>
  </si>
  <si>
    <t>Расходы / единица</t>
  </si>
  <si>
    <t>avg</t>
  </si>
  <si>
    <t>numerator</t>
  </si>
  <si>
    <t>sum</t>
  </si>
  <si>
    <t>denominator</t>
  </si>
  <si>
    <t>slope</t>
  </si>
  <si>
    <t>intercept</t>
  </si>
  <si>
    <t>Y=a+b*X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</si>
</sst>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ourier New"/>
      <family val="3"/>
    </font>
    <font>
      <b/>
      <sz val="11"/>
      <color theme="1"/>
      <name val="Courier New"/>
      <family val="3"/>
    </font>
    <font>
      <sz val="11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22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left" vertical="center" wrapText="1"/>
    </xf>
    <xf numFmtId="9" fontId="5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43" fontId="6" fillId="0" borderId="0" xfId="1" applyFont="1" applyAlignment="1">
      <alignment vertical="center" wrapText="1"/>
    </xf>
    <xf numFmtId="43" fontId="6" fillId="0" borderId="0" xfId="1" applyFont="1" applyAlignment="1">
      <alignment vertical="center"/>
    </xf>
    <xf numFmtId="43" fontId="5" fillId="0" borderId="0" xfId="1" applyFont="1" applyAlignment="1">
      <alignment vertical="center" wrapText="1"/>
    </xf>
    <xf numFmtId="43" fontId="5" fillId="0" borderId="0" xfId="1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 wrapText="1"/>
    </xf>
    <xf numFmtId="43" fontId="0" fillId="0" borderId="0" xfId="1" applyFont="1" applyAlignment="1">
      <alignment vertical="center" wrapText="1"/>
    </xf>
    <xf numFmtId="0" fontId="3" fillId="0" borderId="0" xfId="0" applyFont="1" applyAlignment="1">
      <alignment vertical="center"/>
    </xf>
    <xf numFmtId="43" fontId="0" fillId="0" borderId="0" xfId="0" applyNumberFormat="1" applyAlignment="1">
      <alignment vertical="center"/>
    </xf>
    <xf numFmtId="43" fontId="2" fillId="2" borderId="0" xfId="2" applyNumberFormat="1" applyAlignment="1">
      <alignment vertical="center"/>
    </xf>
    <xf numFmtId="0" fontId="1" fillId="3" borderId="0" xfId="3" applyAlignment="1">
      <alignment vertical="center" wrapText="1"/>
    </xf>
    <xf numFmtId="43" fontId="1" fillId="3" borderId="0" xfId="3" applyNumberFormat="1" applyAlignment="1">
      <alignment vertical="center"/>
    </xf>
    <xf numFmtId="43" fontId="2" fillId="2" borderId="0" xfId="1" applyFont="1" applyFill="1" applyAlignment="1">
      <alignment vertical="center"/>
    </xf>
    <xf numFmtId="43" fontId="0" fillId="0" borderId="0" xfId="1" applyFont="1" applyAlignment="1">
      <alignment vertical="center"/>
    </xf>
  </cellXfs>
  <cellStyles count="4">
    <cellStyle name="20% - Accent1" xfId="3" builtinId="30"/>
    <cellStyle name="Comma" xfId="1" builtinId="3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Q21"/>
  <sheetViews>
    <sheetView workbookViewId="0">
      <selection activeCell="D33" sqref="D33"/>
    </sheetView>
  </sheetViews>
  <sheetFormatPr defaultRowHeight="14.5" x14ac:dyDescent="0.35"/>
  <cols>
    <col min="2" max="7" width="16.6328125" style="2" customWidth="1"/>
    <col min="8" max="8" width="3.54296875" style="12" customWidth="1"/>
  </cols>
  <sheetData>
    <row r="1" spans="2:17" ht="18.5" x14ac:dyDescent="0.35">
      <c r="B1" s="6" t="s">
        <v>21</v>
      </c>
      <c r="C1" s="6"/>
      <c r="D1" s="6"/>
      <c r="E1" s="6"/>
      <c r="F1" s="6"/>
      <c r="G1" s="6"/>
      <c r="H1" s="6"/>
    </row>
    <row r="2" spans="2:17" s="5" customFormat="1" ht="30" x14ac:dyDescent="0.3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20</v>
      </c>
      <c r="H2" s="4">
        <v>0.05</v>
      </c>
    </row>
    <row r="3" spans="2:17" x14ac:dyDescent="0.35">
      <c r="B3" s="7" t="s">
        <v>5</v>
      </c>
      <c r="C3" s="7" t="s">
        <v>6</v>
      </c>
      <c r="D3" s="8">
        <v>45</v>
      </c>
      <c r="E3" s="7">
        <v>12</v>
      </c>
      <c r="F3" s="8">
        <f>D3*E3</f>
        <v>540</v>
      </c>
      <c r="G3" s="9">
        <f>F3-F3*$H$2</f>
        <v>513</v>
      </c>
      <c r="H3" s="9"/>
    </row>
    <row r="4" spans="2:17" x14ac:dyDescent="0.35">
      <c r="B4" s="7" t="s">
        <v>7</v>
      </c>
      <c r="C4" s="7" t="s">
        <v>8</v>
      </c>
      <c r="D4" s="8">
        <v>70</v>
      </c>
      <c r="E4" s="7">
        <v>8</v>
      </c>
      <c r="F4" s="8">
        <f t="shared" ref="F4:F12" si="0">D4*E4</f>
        <v>560</v>
      </c>
      <c r="G4" s="9">
        <f t="shared" ref="G4:G12" si="1">F4-F4*$H$2</f>
        <v>532</v>
      </c>
      <c r="H4" s="9"/>
    </row>
    <row r="5" spans="2:17" x14ac:dyDescent="0.35">
      <c r="B5" s="7" t="s">
        <v>9</v>
      </c>
      <c r="C5" s="7" t="s">
        <v>10</v>
      </c>
      <c r="D5" s="8">
        <v>60</v>
      </c>
      <c r="E5" s="7">
        <v>5</v>
      </c>
      <c r="F5" s="8">
        <f t="shared" si="0"/>
        <v>300</v>
      </c>
      <c r="G5" s="9">
        <f t="shared" si="1"/>
        <v>285</v>
      </c>
      <c r="H5" s="9"/>
    </row>
    <row r="6" spans="2:17" x14ac:dyDescent="0.35">
      <c r="B6" s="7" t="s">
        <v>11</v>
      </c>
      <c r="C6" s="7" t="s">
        <v>10</v>
      </c>
      <c r="D6" s="8">
        <v>95</v>
      </c>
      <c r="E6" s="7">
        <v>6</v>
      </c>
      <c r="F6" s="8">
        <f t="shared" si="0"/>
        <v>570</v>
      </c>
      <c r="G6" s="9">
        <f t="shared" si="1"/>
        <v>541.5</v>
      </c>
      <c r="H6" s="9"/>
    </row>
    <row r="7" spans="2:17" x14ac:dyDescent="0.35">
      <c r="B7" s="7" t="s">
        <v>12</v>
      </c>
      <c r="C7" s="7" t="s">
        <v>10</v>
      </c>
      <c r="D7" s="8">
        <v>520</v>
      </c>
      <c r="E7" s="7">
        <v>2</v>
      </c>
      <c r="F7" s="8">
        <f t="shared" si="0"/>
        <v>1040</v>
      </c>
      <c r="G7" s="9">
        <f t="shared" si="1"/>
        <v>988</v>
      </c>
      <c r="H7" s="9"/>
    </row>
    <row r="8" spans="2:17" ht="29" x14ac:dyDescent="0.35">
      <c r="B8" s="7" t="s">
        <v>13</v>
      </c>
      <c r="C8" s="7" t="s">
        <v>6</v>
      </c>
      <c r="D8" s="8">
        <v>180</v>
      </c>
      <c r="E8" s="7">
        <v>3</v>
      </c>
      <c r="F8" s="8">
        <f t="shared" si="0"/>
        <v>540</v>
      </c>
      <c r="G8" s="9">
        <f t="shared" si="1"/>
        <v>513</v>
      </c>
      <c r="H8" s="9"/>
    </row>
    <row r="9" spans="2:17" x14ac:dyDescent="0.35">
      <c r="B9" s="7" t="s">
        <v>14</v>
      </c>
      <c r="C9" s="7" t="s">
        <v>15</v>
      </c>
      <c r="D9" s="8">
        <v>110</v>
      </c>
      <c r="E9" s="7">
        <v>4</v>
      </c>
      <c r="F9" s="8">
        <f t="shared" si="0"/>
        <v>440</v>
      </c>
      <c r="G9" s="9">
        <f t="shared" si="1"/>
        <v>418</v>
      </c>
      <c r="H9" s="9"/>
    </row>
    <row r="10" spans="2:17" x14ac:dyDescent="0.35">
      <c r="B10" s="7" t="s">
        <v>16</v>
      </c>
      <c r="C10" s="7" t="s">
        <v>10</v>
      </c>
      <c r="D10" s="8">
        <v>260</v>
      </c>
      <c r="E10" s="7">
        <v>3</v>
      </c>
      <c r="F10" s="8">
        <f t="shared" si="0"/>
        <v>780</v>
      </c>
      <c r="G10" s="9">
        <f t="shared" si="1"/>
        <v>741</v>
      </c>
      <c r="H10" s="9"/>
    </row>
    <row r="11" spans="2:17" x14ac:dyDescent="0.35">
      <c r="B11" s="7" t="s">
        <v>17</v>
      </c>
      <c r="C11" s="7" t="s">
        <v>18</v>
      </c>
      <c r="D11" s="8">
        <v>210</v>
      </c>
      <c r="E11" s="7">
        <v>2</v>
      </c>
      <c r="F11" s="8">
        <f t="shared" si="0"/>
        <v>420</v>
      </c>
      <c r="G11" s="9">
        <f t="shared" si="1"/>
        <v>399</v>
      </c>
      <c r="H11" s="9"/>
      <c r="N11" s="1"/>
      <c r="O11" s="1"/>
      <c r="P11" s="1"/>
      <c r="Q11" s="1"/>
    </row>
    <row r="12" spans="2:17" ht="29" x14ac:dyDescent="0.35">
      <c r="B12" s="7" t="s">
        <v>19</v>
      </c>
      <c r="C12" s="7" t="s">
        <v>8</v>
      </c>
      <c r="D12" s="8">
        <v>35</v>
      </c>
      <c r="E12" s="7">
        <v>10</v>
      </c>
      <c r="F12" s="8">
        <f t="shared" si="0"/>
        <v>350</v>
      </c>
      <c r="G12" s="9">
        <f t="shared" si="1"/>
        <v>332.5</v>
      </c>
      <c r="H12" s="9"/>
      <c r="N12" s="2"/>
      <c r="O12" s="2"/>
      <c r="P12" s="2"/>
      <c r="Q12" s="2"/>
    </row>
    <row r="13" spans="2:17" ht="15" x14ac:dyDescent="0.35">
      <c r="B13" s="13" t="s">
        <v>22</v>
      </c>
      <c r="C13" s="13"/>
      <c r="D13" s="13"/>
      <c r="E13" s="13"/>
      <c r="F13" s="10">
        <f>SUM(F3:F12)</f>
        <v>5540</v>
      </c>
      <c r="G13" s="11">
        <f>SUM(G3:G12)</f>
        <v>5263</v>
      </c>
      <c r="H13" s="11"/>
      <c r="N13" s="2"/>
      <c r="O13" s="2"/>
      <c r="P13" s="2"/>
      <c r="Q13" s="2"/>
    </row>
    <row r="14" spans="2:17" x14ac:dyDescent="0.35">
      <c r="N14" s="2"/>
      <c r="O14" s="2"/>
      <c r="P14" s="2"/>
      <c r="Q14" s="2"/>
    </row>
    <row r="15" spans="2:17" x14ac:dyDescent="0.35">
      <c r="N15" s="2"/>
      <c r="O15" s="2"/>
      <c r="P15" s="2"/>
      <c r="Q15" s="2"/>
    </row>
    <row r="16" spans="2:17" x14ac:dyDescent="0.35">
      <c r="N16" s="2"/>
      <c r="O16" s="2"/>
      <c r="P16" s="2"/>
      <c r="Q16" s="2"/>
    </row>
    <row r="17" spans="14:17" x14ac:dyDescent="0.35">
      <c r="N17" s="2"/>
      <c r="O17" s="2"/>
      <c r="P17" s="2"/>
      <c r="Q17" s="2"/>
    </row>
    <row r="18" spans="14:17" x14ac:dyDescent="0.35">
      <c r="N18" s="2"/>
      <c r="O18" s="2"/>
      <c r="P18" s="2"/>
      <c r="Q18" s="2"/>
    </row>
    <row r="19" spans="14:17" x14ac:dyDescent="0.35">
      <c r="N19" s="2"/>
      <c r="O19" s="2"/>
      <c r="P19" s="2"/>
      <c r="Q19" s="2"/>
    </row>
    <row r="20" spans="14:17" x14ac:dyDescent="0.35">
      <c r="N20" s="2"/>
      <c r="O20" s="2"/>
      <c r="P20" s="2"/>
      <c r="Q20" s="2"/>
    </row>
    <row r="21" spans="14:17" x14ac:dyDescent="0.35">
      <c r="N21" s="2"/>
      <c r="O21" s="2"/>
      <c r="P21" s="2"/>
      <c r="Q21" s="2"/>
    </row>
  </sheetData>
  <mergeCells count="13">
    <mergeCell ref="G9:H9"/>
    <mergeCell ref="G10:H10"/>
    <mergeCell ref="G11:H11"/>
    <mergeCell ref="G12:H12"/>
    <mergeCell ref="G13:H13"/>
    <mergeCell ref="B1:H1"/>
    <mergeCell ref="B13:E13"/>
    <mergeCell ref="G3:H3"/>
    <mergeCell ref="G4:H4"/>
    <mergeCell ref="G5:H5"/>
    <mergeCell ref="G6:H6"/>
    <mergeCell ref="G7:H7"/>
    <mergeCell ref="G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B216C-8A32-49BE-BF69-BF6A348E45D3}">
  <sheetPr>
    <tabColor theme="5"/>
  </sheetPr>
  <dimension ref="A1:Q8"/>
  <sheetViews>
    <sheetView tabSelected="1" workbookViewId="0">
      <selection activeCell="N7" sqref="N7"/>
    </sheetView>
  </sheetViews>
  <sheetFormatPr defaultRowHeight="14.5" x14ac:dyDescent="0.35"/>
  <cols>
    <col min="1" max="6" width="15.6328125" style="12" customWidth="1"/>
    <col min="9" max="9" width="8.7265625" style="12"/>
    <col min="10" max="10" width="9.08984375" style="12" bestFit="1" customWidth="1"/>
    <col min="11" max="14" width="10.6328125" style="12" customWidth="1"/>
    <col min="15" max="15" width="10.7265625" style="12" bestFit="1" customWidth="1"/>
    <col min="16" max="16" width="9.08984375" bestFit="1" customWidth="1"/>
  </cols>
  <sheetData>
    <row r="1" spans="1:17" x14ac:dyDescent="0.35">
      <c r="A1" s="1"/>
      <c r="B1" s="1" t="s">
        <v>23</v>
      </c>
      <c r="C1" s="1" t="s">
        <v>24</v>
      </c>
      <c r="D1" s="1" t="s">
        <v>25</v>
      </c>
      <c r="E1" s="1" t="s">
        <v>26</v>
      </c>
      <c r="F1" s="15" t="s">
        <v>32</v>
      </c>
      <c r="J1" s="12" t="s">
        <v>34</v>
      </c>
      <c r="O1" s="12" t="s">
        <v>36</v>
      </c>
      <c r="Q1" t="s">
        <v>40</v>
      </c>
    </row>
    <row r="2" spans="1:17" x14ac:dyDescent="0.35">
      <c r="A2" s="2" t="s">
        <v>27</v>
      </c>
      <c r="B2" s="2">
        <v>33</v>
      </c>
      <c r="C2" s="2">
        <v>43</v>
      </c>
      <c r="D2" s="2">
        <v>58</v>
      </c>
      <c r="E2" s="2">
        <v>74</v>
      </c>
      <c r="F2" s="12">
        <f>ROUND(E2*1.1,0)</f>
        <v>81</v>
      </c>
      <c r="J2" s="12">
        <f>AVERAGE(B2:E2)</f>
        <v>52</v>
      </c>
    </row>
    <row r="3" spans="1:17" x14ac:dyDescent="0.35">
      <c r="A3" s="2" t="s">
        <v>28</v>
      </c>
      <c r="B3" s="14">
        <v>11450</v>
      </c>
      <c r="C3" s="14">
        <v>10700</v>
      </c>
      <c r="D3" s="14">
        <v>10800</v>
      </c>
      <c r="E3" s="14">
        <v>11200</v>
      </c>
      <c r="F3" s="14">
        <v>11200</v>
      </c>
      <c r="I3" s="12" t="s">
        <v>35</v>
      </c>
      <c r="K3" s="16">
        <f>(B2-$J$2)*(B8-$J$8)</f>
        <v>-20965.253872438803</v>
      </c>
      <c r="L3" s="16">
        <f t="shared" ref="L3:N3" si="0">(C2-$J$2)*(C8-$J$8)</f>
        <v>-8217.8019066398192</v>
      </c>
      <c r="M3" s="16">
        <f t="shared" si="0"/>
        <v>-5904.4060531516434</v>
      </c>
      <c r="N3" s="16">
        <f t="shared" si="0"/>
        <v>-22714.028470130121</v>
      </c>
      <c r="O3" s="16">
        <f>SUM(K3:N3)</f>
        <v>-57801.490302360384</v>
      </c>
    </row>
    <row r="4" spans="1:17" x14ac:dyDescent="0.35">
      <c r="A4" s="2" t="s">
        <v>29</v>
      </c>
      <c r="B4" s="14">
        <f>B2*B3</f>
        <v>377850</v>
      </c>
      <c r="C4" s="14">
        <f t="shared" ref="C4:F4" si="1">C2*C3</f>
        <v>460100</v>
      </c>
      <c r="D4" s="14">
        <f t="shared" si="1"/>
        <v>626400</v>
      </c>
      <c r="E4" s="14">
        <f t="shared" si="1"/>
        <v>828800</v>
      </c>
      <c r="F4" s="14">
        <f t="shared" si="1"/>
        <v>907200</v>
      </c>
      <c r="I4" s="12" t="s">
        <v>37</v>
      </c>
      <c r="K4" s="12">
        <f>(B2-$J$2)^2</f>
        <v>361</v>
      </c>
      <c r="L4" s="12">
        <f t="shared" ref="L4:N4" si="2">(C2-$J$2)^2</f>
        <v>81</v>
      </c>
      <c r="M4" s="12">
        <f t="shared" si="2"/>
        <v>36</v>
      </c>
      <c r="N4" s="12">
        <f t="shared" si="2"/>
        <v>484</v>
      </c>
      <c r="O4" s="16">
        <f>SUM(K4:N4)</f>
        <v>962</v>
      </c>
    </row>
    <row r="5" spans="1:17" x14ac:dyDescent="0.35">
      <c r="A5" s="2" t="s">
        <v>30</v>
      </c>
      <c r="B5" s="14">
        <v>160000</v>
      </c>
      <c r="C5" s="14">
        <v>200300</v>
      </c>
      <c r="D5" s="14">
        <v>160137</v>
      </c>
      <c r="E5" s="14">
        <v>200732</v>
      </c>
      <c r="F5" s="17">
        <f>F2*F8</f>
        <v>162210.10312814682</v>
      </c>
      <c r="I5" s="12" t="s">
        <v>38</v>
      </c>
      <c r="P5" s="21">
        <f>O3/O4</f>
        <v>-60.084709254012871</v>
      </c>
    </row>
    <row r="6" spans="1:17" x14ac:dyDescent="0.35">
      <c r="A6" s="2" t="s">
        <v>31</v>
      </c>
      <c r="B6" s="14">
        <f>B4-B5</f>
        <v>217850</v>
      </c>
      <c r="C6" s="14">
        <f t="shared" ref="C6:F6" si="3">C4-C5</f>
        <v>259800</v>
      </c>
      <c r="D6" s="14">
        <f t="shared" si="3"/>
        <v>466263</v>
      </c>
      <c r="E6" s="14">
        <f t="shared" si="3"/>
        <v>628068</v>
      </c>
      <c r="F6" s="14">
        <f t="shared" si="3"/>
        <v>744989.89687185315</v>
      </c>
      <c r="I6" s="12" t="s">
        <v>39</v>
      </c>
      <c r="P6" s="21">
        <f>J8-P5*J2</f>
        <v>6869.4553153546331</v>
      </c>
    </row>
    <row r="8" spans="1:17" ht="29" x14ac:dyDescent="0.35">
      <c r="A8" s="18" t="s">
        <v>33</v>
      </c>
      <c r="B8" s="19">
        <f>B5/B2</f>
        <v>4848.484848484848</v>
      </c>
      <c r="C8" s="19">
        <f t="shared" ref="C8:E8" si="4">C5/C2</f>
        <v>4658.1395348837214</v>
      </c>
      <c r="D8" s="19">
        <f t="shared" si="4"/>
        <v>2760.9827586206898</v>
      </c>
      <c r="E8" s="19">
        <f t="shared" si="4"/>
        <v>2712.5945945945946</v>
      </c>
      <c r="F8" s="20">
        <f>P6+(P5*F2)</f>
        <v>2002.5938657795905</v>
      </c>
      <c r="J8" s="21">
        <f>AVERAGE(B8:E8)</f>
        <v>3745.0504341459637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Счет из магазина</vt:lpstr>
      <vt:lpstr>Продажи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Erland</dc:creator>
  <cp:lastModifiedBy>Erland Adestio Sadana</cp:lastModifiedBy>
  <dcterms:created xsi:type="dcterms:W3CDTF">2015-06-05T18:17:20Z</dcterms:created>
  <dcterms:modified xsi:type="dcterms:W3CDTF">2026-02-21T03:10:50Z</dcterms:modified>
</cp:coreProperties>
</file>