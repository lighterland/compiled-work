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99AABE09-00C3-4189-A028-5DE7D39CCADC}" xr6:coauthVersionLast="47" xr6:coauthVersionMax="47" xr10:uidLastSave="{00000000-0000-0000-0000-000000000000}"/>
  <bookViews>
    <workbookView xWindow="-110" yWindow="-110" windowWidth="29020" windowHeight="17500" activeTab="1" xr2:uid="{00000000-000D-0000-FFFF-FFFF00000000}"/>
  </bookViews>
  <sheets>
    <sheet name="Специальная вставка" sheetId="7" r:id="rId1"/>
    <sheet name="Статистические функции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6" i="8" l="1"/>
  <c r="A46" i="8"/>
  <c r="X29" i="8"/>
  <c r="R29" i="8"/>
  <c r="L29" i="8"/>
  <c r="E29" i="8"/>
  <c r="K5" i="8"/>
  <c r="E18" i="8"/>
  <c r="E5" i="8"/>
</calcChain>
</file>

<file path=xl/sharedStrings.xml><?xml version="1.0" encoding="utf-8"?>
<sst xmlns="http://schemas.openxmlformats.org/spreadsheetml/2006/main" count="35" uniqueCount="19">
  <si>
    <t>Пример работы со специальной вставкой</t>
  </si>
  <si>
    <t>Статистическая функция СРЗНАЧ возвращает среднее арифметическое своих аргументов</t>
  </si>
  <si>
    <t>Ответ</t>
  </si>
  <si>
    <t>текст</t>
  </si>
  <si>
    <t>Найдите среднее значение произвольных чисел в нескольких несмежных диапазонах и ячейках</t>
  </si>
  <si>
    <t>А теперь используйте функцию СРЗНАЧА для вычисления среднего значения в диапазоне. Сравните полученные значения</t>
  </si>
  <si>
    <t>Статистическая функция МАКС возвращает наибольшее значение в диапазоне ячеек</t>
  </si>
  <si>
    <t>Статистическая функция МИН возвращает наименьшее значение в диапазоне ячеек</t>
  </si>
  <si>
    <t>Статистическая функция СЧЕТ подсчитывает количество ячеек в списке аргументов, которые содержат только числовые значения</t>
  </si>
  <si>
    <t>Если необходимо подсчитать количество непустых ячеек в диапазоне, то можно воспользоваться статистической функцией СЧЕТЗ</t>
  </si>
  <si>
    <t xml:space="preserve">Функция НАИБОЛЬШИЙ( ) возвращает k-ое по величине значение из массива данных.
</t>
  </si>
  <si>
    <t xml:space="preserve">Функция НАИМЕНЬШИЙ ( ) возвращает k-ое наименьшее значение из заданного массива данных
</t>
  </si>
  <si>
    <t>Найдите второе наименьшее значение</t>
  </si>
  <si>
    <t>Найдите пятое наибольшее значение</t>
  </si>
  <si>
    <t>Только форматы</t>
  </si>
  <si>
    <t>Транспонирование</t>
  </si>
  <si>
    <t xml:space="preserve"> Только значения</t>
  </si>
  <si>
    <t>Произвольное число</t>
  </si>
  <si>
    <t>Функция МЕДИАНА - статистический инструмент, который находит центральное число в упорядоченном наборе данных, разделяя его на две равные части (50% значений меньше медианы, 50% — больше)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</si>
</sst>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1" x14ac:knownFonts="1">
    <font>
      <sz val="11"/>
      <color theme="1"/>
      <name val="Calibri"/>
      <scheme val="minor"/>
    </font>
    <font>
      <sz val="10"/>
      <name val="Arial"/>
      <family val="2"/>
    </font>
    <font>
      <sz val="10"/>
      <name val="MS Sans Serif"/>
    </font>
    <font>
      <sz val="10"/>
      <color indexed="64"/>
      <name val="Arial"/>
      <family val="2"/>
    </font>
    <font>
      <b/>
      <sz val="12"/>
      <color rgb="FF002060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b/>
      <sz val="12"/>
      <color rgb="FF002060"/>
      <name val="Times New Roman"/>
      <family val="1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5" fillId="0" borderId="0" xfId="0" applyFont="1"/>
    <xf numFmtId="0" fontId="5" fillId="3" borderId="1" xfId="0" applyFont="1" applyFill="1" applyBorder="1"/>
    <xf numFmtId="0" fontId="5" fillId="3" borderId="2" xfId="0" applyFont="1" applyFill="1" applyBorder="1"/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4" borderId="8" xfId="0" applyFont="1" applyFill="1" applyBorder="1"/>
    <xf numFmtId="0" fontId="0" fillId="6" borderId="8" xfId="0" applyFill="1" applyBorder="1"/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0" fillId="7" borderId="1" xfId="0" applyFill="1" applyBorder="1"/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/>
    </xf>
  </cellXfs>
  <cellStyles count="2">
    <cellStyle name="Normal" xfId="0" builtinId="0"/>
    <cellStyle name="Обычный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190500</xdr:rowOff>
    </xdr:from>
    <xdr:to>
      <xdr:col>5</xdr:col>
      <xdr:colOff>742950</xdr:colOff>
      <xdr:row>22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071DC1-E2BA-4A5C-B814-E4CB629926BF}"/>
            </a:ext>
          </a:extLst>
        </xdr:cNvPr>
        <xdr:cNvSpPr txBox="1"/>
      </xdr:nvSpPr>
      <xdr:spPr>
        <a:xfrm>
          <a:off x="0" y="3562350"/>
          <a:ext cx="4552950" cy="1381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rgbClr val="002060"/>
              </a:solidFill>
            </a:rPr>
            <a:t>1. Скопируйте ячейки </a:t>
          </a:r>
          <a:r>
            <a:rPr lang="en-US" sz="1100" b="1">
              <a:solidFill>
                <a:srgbClr val="002060"/>
              </a:solidFill>
            </a:rPr>
            <a:t>A4:A8.                            </a:t>
          </a:r>
          <a:r>
            <a:rPr lang="ru-RU" sz="1100" b="1">
              <a:solidFill>
                <a:srgbClr val="002060"/>
              </a:solidFill>
            </a:rPr>
            <a:t>                                                       </a:t>
          </a:r>
          <a:r>
            <a:rPr lang="en-US" sz="1100" b="1">
              <a:solidFill>
                <a:srgbClr val="002060"/>
              </a:solidFill>
            </a:rPr>
            <a:t>2. </a:t>
          </a:r>
          <a:r>
            <a:rPr lang="ru-RU" sz="1100" b="1">
              <a:solidFill>
                <a:srgbClr val="002060"/>
              </a:solidFill>
            </a:rPr>
            <a:t>С помощью специальной вставки попробуйте различные варианты работы (вставка только форматов, вставка только значений)                                                                                                        3. С помощью специальной вставки транспонируйте исходный диапазон.                                                                                                                     4. С помощью специальной вставки увеличьте/уменьшите исходный диапазон на произвольное число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7961-52DD-404B-A2A8-3969EAF3D604}">
  <dimension ref="A1:K27"/>
  <sheetViews>
    <sheetView workbookViewId="0">
      <selection activeCell="K4" sqref="K4:K8"/>
    </sheetView>
  </sheetViews>
  <sheetFormatPr defaultColWidth="11.453125" defaultRowHeight="14.5" x14ac:dyDescent="0.35"/>
  <cols>
    <col min="3" max="5" width="11.453125" customWidth="1"/>
    <col min="7" max="7" width="18.7265625" bestFit="1" customWidth="1"/>
    <col min="10" max="10" width="18.1796875" customWidth="1"/>
  </cols>
  <sheetData>
    <row r="1" spans="1:11" ht="15.5" x14ac:dyDescent="0.35">
      <c r="A1" s="21" t="s">
        <v>0</v>
      </c>
      <c r="B1" s="21"/>
      <c r="C1" s="21"/>
      <c r="D1" s="21"/>
    </row>
    <row r="2" spans="1:11" ht="15.5" x14ac:dyDescent="0.35">
      <c r="A2" s="1"/>
      <c r="B2" s="1"/>
      <c r="C2" s="1"/>
      <c r="D2" s="1"/>
    </row>
    <row r="3" spans="1:11" ht="31" x14ac:dyDescent="0.35">
      <c r="A3" s="1"/>
      <c r="B3" s="1"/>
      <c r="C3" s="13" t="s">
        <v>16</v>
      </c>
      <c r="D3" s="1"/>
      <c r="E3" s="13" t="s">
        <v>14</v>
      </c>
      <c r="J3" s="13" t="s">
        <v>17</v>
      </c>
    </row>
    <row r="4" spans="1:11" ht="15.5" x14ac:dyDescent="0.35">
      <c r="A4" s="2">
        <v>5</v>
      </c>
      <c r="B4" s="1"/>
      <c r="C4" s="1">
        <v>5</v>
      </c>
      <c r="D4" s="1"/>
      <c r="E4" s="2"/>
      <c r="J4" s="14">
        <v>8</v>
      </c>
      <c r="K4" s="14">
        <v>13</v>
      </c>
    </row>
    <row r="5" spans="1:11" ht="15.5" x14ac:dyDescent="0.35">
      <c r="A5" s="3">
        <v>6</v>
      </c>
      <c r="B5" s="1"/>
      <c r="C5" s="1">
        <v>6</v>
      </c>
      <c r="D5" s="1"/>
      <c r="E5" s="3"/>
      <c r="K5" s="14">
        <v>14</v>
      </c>
    </row>
    <row r="6" spans="1:11" ht="15.5" x14ac:dyDescent="0.35">
      <c r="A6" s="3">
        <v>7</v>
      </c>
      <c r="B6" s="1"/>
      <c r="C6" s="1">
        <v>7</v>
      </c>
      <c r="D6" s="1"/>
      <c r="E6" s="3"/>
      <c r="K6" s="14">
        <v>15</v>
      </c>
    </row>
    <row r="7" spans="1:11" ht="15.5" x14ac:dyDescent="0.35">
      <c r="A7" s="3">
        <v>12</v>
      </c>
      <c r="B7" s="1"/>
      <c r="C7" s="1">
        <v>12</v>
      </c>
      <c r="D7" s="1"/>
      <c r="E7" s="3"/>
      <c r="K7" s="14">
        <v>20</v>
      </c>
    </row>
    <row r="8" spans="1:11" ht="15.5" x14ac:dyDescent="0.35">
      <c r="A8" s="3">
        <v>124</v>
      </c>
      <c r="B8" s="1"/>
      <c r="C8" s="1">
        <v>124</v>
      </c>
      <c r="D8" s="1"/>
      <c r="E8" s="3"/>
      <c r="K8" s="14">
        <v>132</v>
      </c>
    </row>
    <row r="10" spans="1:11" ht="31.5" customHeight="1" x14ac:dyDescent="0.35">
      <c r="C10" s="20" t="s">
        <v>15</v>
      </c>
      <c r="D10" s="20"/>
      <c r="E10" s="20"/>
      <c r="F10" s="20"/>
      <c r="G10" s="20"/>
    </row>
    <row r="11" spans="1:11" ht="15.5" x14ac:dyDescent="0.35">
      <c r="A11" s="2">
        <v>5</v>
      </c>
      <c r="B11" s="3">
        <v>6</v>
      </c>
      <c r="C11" s="3">
        <v>7</v>
      </c>
      <c r="D11" s="3">
        <v>12</v>
      </c>
      <c r="E11" s="3">
        <v>124</v>
      </c>
    </row>
    <row r="13" spans="1:11" ht="15.75" customHeight="1" x14ac:dyDescent="0.35"/>
    <row r="14" spans="1:11" ht="15.75" customHeight="1" x14ac:dyDescent="0.35"/>
    <row r="15" spans="1:11" ht="15.75" customHeight="1" x14ac:dyDescent="0.35"/>
    <row r="16" spans="1:11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</sheetData>
  <mergeCells count="2">
    <mergeCell ref="C10:G10"/>
    <mergeCell ref="A1:D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9B24-6891-804B-8FD1-7193C6FB0392}">
  <dimension ref="A1:X46"/>
  <sheetViews>
    <sheetView showGridLines="0" tabSelected="1" topLeftCell="A23" zoomScale="112" zoomScaleNormal="80" workbookViewId="0">
      <selection activeCell="H46" sqref="H46"/>
    </sheetView>
  </sheetViews>
  <sheetFormatPr defaultColWidth="11.453125" defaultRowHeight="14.5" x14ac:dyDescent="0.35"/>
  <sheetData>
    <row r="1" spans="1:13" ht="75.75" customHeight="1" x14ac:dyDescent="0.35">
      <c r="A1" s="16" t="s">
        <v>1</v>
      </c>
      <c r="B1" s="17"/>
      <c r="C1" s="17"/>
      <c r="D1" s="18"/>
      <c r="E1" s="4"/>
      <c r="F1" s="4"/>
      <c r="G1" s="16" t="s">
        <v>18</v>
      </c>
      <c r="H1" s="17"/>
      <c r="I1" s="17"/>
      <c r="J1" s="17"/>
      <c r="K1" s="17"/>
      <c r="L1" s="17"/>
      <c r="M1" s="18"/>
    </row>
    <row r="2" spans="1:13" x14ac:dyDescent="0.35">
      <c r="A2" s="4"/>
      <c r="B2" s="4"/>
      <c r="C2" s="4"/>
      <c r="D2" s="4"/>
      <c r="E2" s="4"/>
      <c r="F2" s="4"/>
    </row>
    <row r="3" spans="1:13" ht="15.5" x14ac:dyDescent="0.35">
      <c r="A3" s="5">
        <v>17</v>
      </c>
      <c r="B3" s="6">
        <v>15</v>
      </c>
      <c r="C3" s="6">
        <v>25</v>
      </c>
      <c r="D3" s="6">
        <v>23</v>
      </c>
      <c r="E3" s="4"/>
      <c r="F3" s="4"/>
      <c r="G3" s="5">
        <v>17</v>
      </c>
      <c r="H3" s="6">
        <v>15</v>
      </c>
      <c r="I3" s="6">
        <v>25</v>
      </c>
      <c r="J3" s="6">
        <v>23</v>
      </c>
    </row>
    <row r="4" spans="1:13" ht="16" thickBot="1" x14ac:dyDescent="0.4">
      <c r="A4" s="7">
        <v>13</v>
      </c>
      <c r="B4" s="8">
        <v>3</v>
      </c>
      <c r="C4" s="8">
        <v>11</v>
      </c>
      <c r="D4" s="8">
        <v>98</v>
      </c>
      <c r="E4" s="4" t="s">
        <v>2</v>
      </c>
      <c r="F4" s="4"/>
      <c r="G4" s="7">
        <v>13</v>
      </c>
      <c r="H4" s="8">
        <v>3</v>
      </c>
      <c r="I4" s="8">
        <v>11</v>
      </c>
      <c r="J4" s="8">
        <v>98</v>
      </c>
      <c r="K4" s="4" t="s">
        <v>2</v>
      </c>
    </row>
    <row r="5" spans="1:13" ht="16" thickBot="1" x14ac:dyDescent="0.4">
      <c r="A5" s="7">
        <v>1</v>
      </c>
      <c r="B5" s="8">
        <v>2</v>
      </c>
      <c r="C5" s="8">
        <v>2</v>
      </c>
      <c r="D5" s="9">
        <v>22</v>
      </c>
      <c r="E5" s="10">
        <f>AVERAGE(A3:D8)</f>
        <v>21.727272727272727</v>
      </c>
      <c r="F5" s="4"/>
      <c r="G5" s="7">
        <v>1</v>
      </c>
      <c r="H5" s="8">
        <v>2</v>
      </c>
      <c r="I5" s="8">
        <v>2</v>
      </c>
      <c r="J5" s="5">
        <v>22</v>
      </c>
      <c r="K5" s="10">
        <f>MEDIAN(G3:J8)</f>
        <v>11.5</v>
      </c>
    </row>
    <row r="6" spans="1:13" ht="15.5" x14ac:dyDescent="0.35">
      <c r="A6" s="7">
        <v>5</v>
      </c>
      <c r="B6" s="8">
        <v>10</v>
      </c>
      <c r="C6" s="8">
        <v>25</v>
      </c>
      <c r="D6" s="8">
        <v>12</v>
      </c>
      <c r="E6" s="4"/>
      <c r="F6" s="4"/>
      <c r="G6" s="7">
        <v>5</v>
      </c>
      <c r="H6" s="8">
        <v>10</v>
      </c>
      <c r="I6" s="8">
        <v>25</v>
      </c>
      <c r="J6" s="8">
        <v>12</v>
      </c>
    </row>
    <row r="7" spans="1:13" ht="15.5" x14ac:dyDescent="0.35">
      <c r="A7" s="7" t="s">
        <v>3</v>
      </c>
      <c r="B7" s="8">
        <v>1</v>
      </c>
      <c r="C7" s="8">
        <v>11</v>
      </c>
      <c r="D7" s="8">
        <v>78</v>
      </c>
      <c r="E7" s="4"/>
      <c r="F7" s="4"/>
      <c r="G7" s="7" t="s">
        <v>3</v>
      </c>
      <c r="H7" s="8">
        <v>1</v>
      </c>
      <c r="I7" s="8">
        <v>11</v>
      </c>
      <c r="J7" s="8">
        <v>78</v>
      </c>
    </row>
    <row r="8" spans="1:13" ht="17.149999999999999" customHeight="1" x14ac:dyDescent="0.35">
      <c r="A8" s="7">
        <v>4</v>
      </c>
      <c r="B8" s="8" t="s">
        <v>3</v>
      </c>
      <c r="C8" s="8">
        <v>2</v>
      </c>
      <c r="D8" s="8">
        <v>98</v>
      </c>
      <c r="E8" s="4"/>
      <c r="F8" s="4"/>
      <c r="G8" s="7">
        <v>4</v>
      </c>
      <c r="H8" s="8" t="s">
        <v>3</v>
      </c>
      <c r="I8" s="8">
        <v>2</v>
      </c>
      <c r="J8" s="8">
        <v>98</v>
      </c>
    </row>
    <row r="10" spans="1:13" x14ac:dyDescent="0.35">
      <c r="A10" s="19" t="s">
        <v>4</v>
      </c>
      <c r="B10" s="19"/>
      <c r="C10" s="19"/>
      <c r="D10" s="19"/>
    </row>
    <row r="11" spans="1:13" x14ac:dyDescent="0.35">
      <c r="A11" s="19"/>
      <c r="B11" s="19"/>
      <c r="C11" s="19"/>
      <c r="D11" s="19"/>
    </row>
    <row r="14" spans="1:13" ht="15.5" x14ac:dyDescent="0.35">
      <c r="A14" s="5">
        <v>17</v>
      </c>
      <c r="B14" s="5">
        <v>15</v>
      </c>
      <c r="C14" s="5">
        <v>25</v>
      </c>
      <c r="D14" s="5">
        <v>23</v>
      </c>
    </row>
    <row r="15" spans="1:13" ht="15.5" x14ac:dyDescent="0.35">
      <c r="A15" s="5">
        <v>13</v>
      </c>
      <c r="B15" s="5">
        <v>3</v>
      </c>
      <c r="C15" s="5">
        <v>11</v>
      </c>
      <c r="D15" s="5">
        <v>98</v>
      </c>
    </row>
    <row r="16" spans="1:13" ht="15.5" x14ac:dyDescent="0.35">
      <c r="A16" s="5">
        <v>1</v>
      </c>
      <c r="B16" s="5">
        <v>2</v>
      </c>
      <c r="C16" s="5">
        <v>2</v>
      </c>
      <c r="D16" s="5">
        <v>22</v>
      </c>
    </row>
    <row r="17" spans="1:24" ht="16" thickBot="1" x14ac:dyDescent="0.4">
      <c r="A17" s="5">
        <v>5</v>
      </c>
      <c r="B17" s="5">
        <v>10</v>
      </c>
      <c r="C17" s="5">
        <v>25</v>
      </c>
      <c r="D17" s="5">
        <v>12</v>
      </c>
      <c r="E17" t="s">
        <v>2</v>
      </c>
    </row>
    <row r="18" spans="1:24" ht="16" thickBot="1" x14ac:dyDescent="0.4">
      <c r="A18" s="5" t="s">
        <v>3</v>
      </c>
      <c r="B18" s="5">
        <v>1</v>
      </c>
      <c r="C18" s="5">
        <v>11</v>
      </c>
      <c r="D18" s="5">
        <v>78</v>
      </c>
      <c r="E18" s="11">
        <f>AVERAGEA(A14:D19)</f>
        <v>19.916666666666668</v>
      </c>
    </row>
    <row r="19" spans="1:24" ht="15.5" x14ac:dyDescent="0.35">
      <c r="A19" s="5">
        <v>4</v>
      </c>
      <c r="B19" s="5" t="s">
        <v>3</v>
      </c>
      <c r="C19" s="5">
        <v>2</v>
      </c>
      <c r="D19" s="5">
        <v>98</v>
      </c>
    </row>
    <row r="21" spans="1:24" x14ac:dyDescent="0.35">
      <c r="A21" s="19" t="s">
        <v>5</v>
      </c>
      <c r="B21" s="19"/>
      <c r="C21" s="19"/>
      <c r="D21" s="19"/>
    </row>
    <row r="22" spans="1:24" x14ac:dyDescent="0.35">
      <c r="A22" s="19"/>
      <c r="B22" s="19"/>
      <c r="C22" s="19"/>
      <c r="D22" s="19"/>
    </row>
    <row r="26" spans="1:24" ht="28" customHeight="1" x14ac:dyDescent="0.35">
      <c r="A26" s="15" t="s">
        <v>6</v>
      </c>
      <c r="B26" s="15"/>
      <c r="C26" s="15"/>
      <c r="D26" s="15"/>
      <c r="H26" s="15" t="s">
        <v>7</v>
      </c>
      <c r="I26" s="15"/>
      <c r="J26" s="15"/>
      <c r="K26" s="15"/>
      <c r="N26" s="15" t="s">
        <v>8</v>
      </c>
      <c r="O26" s="15"/>
      <c r="P26" s="15"/>
      <c r="Q26" s="15"/>
      <c r="T26" s="15" t="s">
        <v>9</v>
      </c>
      <c r="U26" s="15"/>
      <c r="V26" s="15"/>
      <c r="W26" s="15"/>
    </row>
    <row r="28" spans="1:24" ht="16" thickBot="1" x14ac:dyDescent="0.4">
      <c r="A28" s="5">
        <v>17</v>
      </c>
      <c r="B28" s="5">
        <v>15</v>
      </c>
      <c r="C28" s="5">
        <v>25</v>
      </c>
      <c r="D28" s="5">
        <v>23</v>
      </c>
      <c r="E28" t="s">
        <v>2</v>
      </c>
      <c r="H28" s="5">
        <v>17</v>
      </c>
      <c r="I28" s="5">
        <v>15</v>
      </c>
      <c r="J28" s="5">
        <v>25</v>
      </c>
      <c r="K28" s="5">
        <v>23</v>
      </c>
      <c r="L28" t="s">
        <v>2</v>
      </c>
      <c r="N28" s="5">
        <v>17</v>
      </c>
      <c r="O28" s="5">
        <v>15</v>
      </c>
      <c r="P28" s="5">
        <v>25</v>
      </c>
      <c r="Q28" s="5">
        <v>23</v>
      </c>
      <c r="R28" t="s">
        <v>2</v>
      </c>
      <c r="T28" s="5">
        <v>17</v>
      </c>
      <c r="U28" s="5">
        <v>15</v>
      </c>
      <c r="V28" s="5">
        <v>25</v>
      </c>
      <c r="W28" s="5">
        <v>23</v>
      </c>
      <c r="X28" t="s">
        <v>2</v>
      </c>
    </row>
    <row r="29" spans="1:24" ht="16" thickBot="1" x14ac:dyDescent="0.4">
      <c r="A29" s="5">
        <v>13</v>
      </c>
      <c r="B29" s="5">
        <v>3</v>
      </c>
      <c r="C29" s="5">
        <v>11</v>
      </c>
      <c r="D29" s="5">
        <v>98</v>
      </c>
      <c r="E29" s="11">
        <f>MAX(A28:D33)</f>
        <v>99</v>
      </c>
      <c r="H29" s="5">
        <v>13</v>
      </c>
      <c r="I29" s="5">
        <v>3</v>
      </c>
      <c r="J29" s="5">
        <v>11</v>
      </c>
      <c r="K29" s="5">
        <v>98</v>
      </c>
      <c r="L29" s="11">
        <f>MIN(H28:K33)</f>
        <v>1</v>
      </c>
      <c r="N29" s="5">
        <v>13</v>
      </c>
      <c r="O29" s="5">
        <v>3</v>
      </c>
      <c r="P29" s="5">
        <v>11</v>
      </c>
      <c r="Q29" s="5">
        <v>98</v>
      </c>
      <c r="R29" s="11">
        <f>COUNT(N28:Q33)</f>
        <v>24</v>
      </c>
      <c r="T29" s="5">
        <v>13</v>
      </c>
      <c r="U29" s="5">
        <v>3</v>
      </c>
      <c r="V29" s="5">
        <v>11</v>
      </c>
      <c r="W29" s="5" t="s">
        <v>3</v>
      </c>
      <c r="X29" s="11">
        <f>COUNTA(T28:W33)</f>
        <v>24</v>
      </c>
    </row>
    <row r="30" spans="1:24" ht="15.5" x14ac:dyDescent="0.35">
      <c r="A30" s="5">
        <v>1</v>
      </c>
      <c r="B30" s="5">
        <v>2</v>
      </c>
      <c r="C30" s="5">
        <v>2</v>
      </c>
      <c r="D30" s="5">
        <v>22</v>
      </c>
      <c r="H30" s="5">
        <v>1</v>
      </c>
      <c r="I30" s="5">
        <v>2</v>
      </c>
      <c r="J30" s="5">
        <v>2</v>
      </c>
      <c r="K30" s="5">
        <v>22</v>
      </c>
      <c r="N30" s="5">
        <v>1</v>
      </c>
      <c r="O30" s="5">
        <v>2</v>
      </c>
      <c r="P30" s="5">
        <v>2</v>
      </c>
      <c r="Q30" s="5">
        <v>22</v>
      </c>
      <c r="T30" s="5">
        <v>1</v>
      </c>
      <c r="U30" s="5">
        <v>2</v>
      </c>
      <c r="V30" s="5">
        <v>2</v>
      </c>
      <c r="W30" s="5">
        <v>22</v>
      </c>
    </row>
    <row r="31" spans="1:24" ht="15.5" x14ac:dyDescent="0.35">
      <c r="A31" s="5">
        <v>5</v>
      </c>
      <c r="B31" s="5">
        <v>10</v>
      </c>
      <c r="C31" s="5">
        <v>25</v>
      </c>
      <c r="D31" s="5">
        <v>12</v>
      </c>
      <c r="H31" s="5">
        <v>5</v>
      </c>
      <c r="I31" s="5">
        <v>10</v>
      </c>
      <c r="J31" s="5">
        <v>25</v>
      </c>
      <c r="K31" s="5">
        <v>12</v>
      </c>
      <c r="N31" s="5">
        <v>5</v>
      </c>
      <c r="O31" s="5">
        <v>10</v>
      </c>
      <c r="P31" s="5">
        <v>25</v>
      </c>
      <c r="Q31" s="5">
        <v>12</v>
      </c>
      <c r="T31" s="5" t="s">
        <v>3</v>
      </c>
      <c r="U31" s="5">
        <v>10</v>
      </c>
      <c r="V31" s="5" t="s">
        <v>3</v>
      </c>
      <c r="W31" s="5">
        <v>12</v>
      </c>
    </row>
    <row r="32" spans="1:24" ht="15.5" x14ac:dyDescent="0.35">
      <c r="A32" s="5">
        <v>99</v>
      </c>
      <c r="B32" s="5">
        <v>1</v>
      </c>
      <c r="C32" s="5">
        <v>11</v>
      </c>
      <c r="D32" s="5">
        <v>78</v>
      </c>
      <c r="H32" s="5">
        <v>99</v>
      </c>
      <c r="I32" s="5">
        <v>1</v>
      </c>
      <c r="J32" s="5">
        <v>11</v>
      </c>
      <c r="K32" s="5">
        <v>78</v>
      </c>
      <c r="N32" s="5">
        <v>99</v>
      </c>
      <c r="O32" s="5">
        <v>1</v>
      </c>
      <c r="P32" s="5">
        <v>11</v>
      </c>
      <c r="Q32" s="5">
        <v>78</v>
      </c>
      <c r="T32" s="5">
        <v>99</v>
      </c>
      <c r="U32" s="5">
        <v>1</v>
      </c>
      <c r="V32" s="5">
        <v>11</v>
      </c>
      <c r="W32" s="5">
        <v>78</v>
      </c>
    </row>
    <row r="33" spans="1:23" ht="15.5" x14ac:dyDescent="0.35">
      <c r="A33" s="5">
        <v>54</v>
      </c>
      <c r="B33" s="5">
        <v>12</v>
      </c>
      <c r="C33" s="5">
        <v>2</v>
      </c>
      <c r="D33" s="5">
        <v>98</v>
      </c>
      <c r="H33" s="5">
        <v>54</v>
      </c>
      <c r="I33" s="5">
        <v>12</v>
      </c>
      <c r="J33" s="5">
        <v>2</v>
      </c>
      <c r="K33" s="5">
        <v>98</v>
      </c>
      <c r="N33" s="5">
        <v>54</v>
      </c>
      <c r="O33" s="5">
        <v>12</v>
      </c>
      <c r="P33" s="5">
        <v>2</v>
      </c>
      <c r="Q33" s="5">
        <v>98</v>
      </c>
      <c r="T33" s="5">
        <v>54</v>
      </c>
      <c r="U33" s="5">
        <v>12</v>
      </c>
      <c r="V33" s="5">
        <v>2</v>
      </c>
      <c r="W33" s="5">
        <v>98</v>
      </c>
    </row>
    <row r="34" spans="1:23" ht="15.5" x14ac:dyDescent="0.35">
      <c r="A34" s="12"/>
      <c r="B34" s="12"/>
      <c r="C34" s="12"/>
      <c r="D34" s="12"/>
      <c r="H34" s="12"/>
      <c r="I34" s="12"/>
      <c r="J34" s="12"/>
      <c r="K34" s="12"/>
      <c r="N34" s="12"/>
      <c r="O34" s="12"/>
      <c r="P34" s="12"/>
      <c r="Q34" s="12"/>
      <c r="T34" s="12"/>
      <c r="U34" s="12"/>
      <c r="V34" s="12"/>
      <c r="W34" s="12"/>
    </row>
    <row r="35" spans="1:23" ht="60" customHeight="1" x14ac:dyDescent="0.35">
      <c r="A35" s="15" t="s">
        <v>10</v>
      </c>
      <c r="B35" s="15"/>
      <c r="C35" s="15"/>
      <c r="D35" s="15"/>
      <c r="H35" s="15" t="s">
        <v>11</v>
      </c>
      <c r="I35" s="15"/>
      <c r="J35" s="15"/>
      <c r="K35" s="15"/>
    </row>
    <row r="36" spans="1:23" ht="16" customHeight="1" x14ac:dyDescent="0.35">
      <c r="A36" s="15" t="s">
        <v>13</v>
      </c>
      <c r="B36" s="15"/>
      <c r="C36" s="15"/>
      <c r="D36" s="15"/>
      <c r="H36" s="15" t="s">
        <v>12</v>
      </c>
      <c r="I36" s="15"/>
      <c r="J36" s="15"/>
      <c r="K36" s="15"/>
      <c r="N36" s="12"/>
      <c r="O36" s="12"/>
      <c r="P36" s="12"/>
      <c r="Q36" s="12"/>
      <c r="T36" s="12"/>
      <c r="U36" s="12"/>
      <c r="V36" s="12"/>
      <c r="W36" s="12"/>
    </row>
    <row r="38" spans="1:23" ht="24" customHeight="1" x14ac:dyDescent="0.35">
      <c r="A38" s="5">
        <v>17</v>
      </c>
      <c r="B38" s="5">
        <v>15</v>
      </c>
      <c r="C38" s="5">
        <v>25</v>
      </c>
      <c r="D38" s="5">
        <v>23</v>
      </c>
      <c r="H38" s="5">
        <v>17</v>
      </c>
      <c r="I38" s="5">
        <v>15</v>
      </c>
      <c r="J38" s="5">
        <v>25</v>
      </c>
      <c r="K38" s="5">
        <v>23</v>
      </c>
    </row>
    <row r="39" spans="1:23" ht="15.5" x14ac:dyDescent="0.35">
      <c r="A39" s="5">
        <v>13</v>
      </c>
      <c r="B39" s="5">
        <v>3</v>
      </c>
      <c r="C39" s="5">
        <v>11</v>
      </c>
      <c r="D39" s="5">
        <v>98</v>
      </c>
      <c r="H39" s="5">
        <v>13</v>
      </c>
      <c r="I39" s="5">
        <v>3</v>
      </c>
      <c r="J39" s="5">
        <v>11</v>
      </c>
      <c r="K39" s="5">
        <v>98</v>
      </c>
    </row>
    <row r="40" spans="1:23" ht="15.5" x14ac:dyDescent="0.35">
      <c r="A40" s="5">
        <v>1</v>
      </c>
      <c r="B40" s="5">
        <v>2</v>
      </c>
      <c r="C40" s="5">
        <v>2</v>
      </c>
      <c r="D40" s="5">
        <v>22</v>
      </c>
      <c r="H40" s="5">
        <v>1</v>
      </c>
      <c r="I40" s="5">
        <v>2</v>
      </c>
      <c r="J40" s="5">
        <v>2</v>
      </c>
      <c r="K40" s="5">
        <v>22</v>
      </c>
    </row>
    <row r="41" spans="1:23" ht="15.5" x14ac:dyDescent="0.35">
      <c r="A41" s="5">
        <v>5</v>
      </c>
      <c r="B41" s="5">
        <v>10</v>
      </c>
      <c r="C41" s="5">
        <v>25</v>
      </c>
      <c r="D41" s="5">
        <v>12</v>
      </c>
      <c r="H41" s="5">
        <v>5</v>
      </c>
      <c r="I41" s="5">
        <v>10</v>
      </c>
      <c r="J41" s="5">
        <v>25</v>
      </c>
      <c r="K41" s="5">
        <v>12</v>
      </c>
    </row>
    <row r="42" spans="1:23" ht="15.5" x14ac:dyDescent="0.35">
      <c r="A42" s="5">
        <v>99</v>
      </c>
      <c r="B42" s="5">
        <v>1</v>
      </c>
      <c r="C42" s="5">
        <v>11</v>
      </c>
      <c r="D42" s="5">
        <v>78</v>
      </c>
      <c r="H42" s="5">
        <v>99</v>
      </c>
      <c r="I42" s="5">
        <v>1</v>
      </c>
      <c r="J42" s="5">
        <v>11</v>
      </c>
      <c r="K42" s="5">
        <v>78</v>
      </c>
    </row>
    <row r="43" spans="1:23" ht="15.5" x14ac:dyDescent="0.35">
      <c r="A43" s="5">
        <v>54</v>
      </c>
      <c r="B43" s="5">
        <v>12</v>
      </c>
      <c r="C43" s="5">
        <v>2</v>
      </c>
      <c r="D43" s="5">
        <v>98</v>
      </c>
      <c r="H43" s="5">
        <v>54</v>
      </c>
      <c r="I43" s="5">
        <v>12</v>
      </c>
      <c r="J43" s="5">
        <v>2</v>
      </c>
      <c r="K43" s="5">
        <v>98</v>
      </c>
    </row>
    <row r="45" spans="1:23" ht="15" thickBot="1" x14ac:dyDescent="0.4">
      <c r="A45" t="s">
        <v>2</v>
      </c>
      <c r="H45" t="s">
        <v>2</v>
      </c>
    </row>
    <row r="46" spans="1:23" ht="15" thickBot="1" x14ac:dyDescent="0.4">
      <c r="A46" s="11">
        <f>LARGE(A38:D43, 1)</f>
        <v>99</v>
      </c>
      <c r="H46" s="11">
        <f>SMALL(H38:K43,1)</f>
        <v>1</v>
      </c>
    </row>
  </sheetData>
  <mergeCells count="12">
    <mergeCell ref="T26:W26"/>
    <mergeCell ref="A1:D1"/>
    <mergeCell ref="A10:D11"/>
    <mergeCell ref="A21:D22"/>
    <mergeCell ref="A26:D26"/>
    <mergeCell ref="H26:K26"/>
    <mergeCell ref="G1:M1"/>
    <mergeCell ref="A35:D35"/>
    <mergeCell ref="A36:D36"/>
    <mergeCell ref="H35:K35"/>
    <mergeCell ref="H36:K36"/>
    <mergeCell ref="N26:Q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��!C<<0 1J5< 70:070!C<<0 1J5< 70:070!@54=55 87 1J5< 70:070!@54=55 87 1J5< 70:070'8A;> @07;8G=KE M;5<5=B>2 >@>4 4>AB02:8'8A;> @07;8G=KE M;5<5=B>2 >@>4 4>AB02:8
</file>

<file path=customXml/item3.xml>��'8A;>:;85=B0'8A;>:;85=B0'8A;> @07;8G=KE M;5<5=B>2:;85=B0'8A;> @07;8G=KE M;5<5=B>2:;85=B0!@54=55 87 $0:B 4=59 4>AB02:8!@54=55 87 $0:B 4=59 4>AB02:8=0G5=85 !@54=55 87 $0:B 4=59 4>AB02:8!>AB>O=85 !@54=55 87 $0:B 4=59 4>AB02:8!@54=55 87 $0:B 4=59 4>AB02:8 &5;L
</file>

<file path=customXml/item4.xml>��
</file>

<file path=customXml/item5.xml>��0720=85 :><?0=88>=B0:B>;6=>ABL4@5A>@>4=45:A!B@0=0"5;5D>=70:070:;85=B0A>B@C4=8:00B0 70:070;0= 4>AB02:8$0:B 4>AB02:8$0:B 4=59 4>AB02:8"8? 4>AB02:8;85=B4@5A 4>AB02:8>@>4 4>AB02:8=45:A 4>AB02:8!B@0=0 4>AB02:80720=85 :><?0=88>=B0:B>;6=>ABL4@5A>@>4=45:A!B@0=0"5;5D>="01;8F0"01;8F00720=85 :><?0=88>=B0:B>;6=>ABL4@5A>@>4=45:A!B@0=0"5;5D>=
</file>

<file path=customXml/itemProps1.xml><?xml version="1.0" encoding="utf-8"?>
<ds:datastoreItem xmlns:ds="http://schemas.openxmlformats.org/officeDocument/2006/customXml" ds:itemID="{A2FCAC43-A123-47F8-ADE9-E5B1D0F7F6A9}">
  <ds:schemaRefs>
    <ds:schemaRef ds:uri="http://gemini/pivotcustomization/FormulaBarState"/>
  </ds:schemaRefs>
</ds:datastoreItem>
</file>

<file path=customXml/itemProps2.xml><?xml version="1.0" encoding="utf-8"?>
<ds:datastoreItem xmlns:ds="http://schemas.openxmlformats.org/officeDocument/2006/customXml" ds:itemID="{D7AB0ADC-C4DB-4818-A3AA-D37073076CFA}">
  <ds:schemaRefs>
    <ds:schemaRef ds:uri="http://gemini/pivotcustomization/21da5aca-cbf4-44cf-83f1-91d5c185cf3e"/>
  </ds:schemaRefs>
</ds:datastoreItem>
</file>

<file path=customXml/itemProps3.xml><?xml version="1.0" encoding="utf-8"?>
<ds:datastoreItem xmlns:ds="http://schemas.openxmlformats.org/officeDocument/2006/customXml" ds:itemID="{0BC52174-70C7-4DFD-9E13-F1F6014D3212}">
  <ds:schemaRefs>
    <ds:schemaRef ds:uri="http://gemini/pivotcustomization/e25a145b-c232-461e-8142-81b42cb68312"/>
  </ds:schemaRefs>
</ds:datastoreItem>
</file>

<file path=customXml/itemProps4.xml><?xml version="1.0" encoding="utf-8"?>
<ds:datastoreItem xmlns:ds="http://schemas.openxmlformats.org/officeDocument/2006/customXml" ds:itemID="{B40D6FF6-F674-4D00-A920-BD862E94309F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1293EAED-C063-46E0-B23D-E7ACDB84D00E}">
  <ds:schemaRefs>
    <ds:schemaRef ds:uri="http://gemini/pivotcustomization/TableWidget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Специальная вставка</vt:lpstr>
      <vt:lpstr>Статистические функции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K</dc:creator>
  <cp:lastModifiedBy>Erland Adestio Sadana</cp:lastModifiedBy>
  <cp:revision>1</cp:revision>
  <dcterms:created xsi:type="dcterms:W3CDTF">2019-10-20T11:39:09Z</dcterms:created>
  <dcterms:modified xsi:type="dcterms:W3CDTF">2026-03-23T12:11:25Z</dcterms:modified>
</cp:coreProperties>
</file>