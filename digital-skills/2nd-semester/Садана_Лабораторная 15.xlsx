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67FE6E29-A690-4C50-BFA5-8569774EA585}" xr6:coauthVersionLast="47" xr6:coauthVersionMax="47" xr10:uidLastSave="{00000000-0000-0000-0000-000000000000}"/>
  <bookViews>
    <workbookView xWindow="-110" yWindow="-110" windowWidth="29020" windowHeight="17500" xr2:uid="{C3593D9D-564C-1341-A9E8-91886E3EC8C8}"/>
  </bookViews>
  <sheets>
    <sheet name="Партнеры" sheetId="1" r:id="rId1"/>
    <sheet name="Пакеты" sheetId="2" r:id="rId2"/>
    <sheet name="Допуски" sheetId="3" r:id="rId3"/>
    <sheet name="Пропуск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4" l="1"/>
  <c r="E9" i="4"/>
  <c r="E10" i="4"/>
  <c r="E11" i="4"/>
  <c r="E12" i="4"/>
  <c r="E13" i="4"/>
  <c r="E7" i="4"/>
  <c r="C8" i="4"/>
  <c r="C9" i="4"/>
  <c r="C10" i="4"/>
  <c r="C11" i="4"/>
  <c r="C12" i="4"/>
  <c r="C13" i="4"/>
  <c r="C7" i="4"/>
  <c r="B8" i="4"/>
  <c r="B9" i="4"/>
  <c r="B10" i="4"/>
  <c r="B11" i="4"/>
  <c r="B12" i="4"/>
  <c r="B13" i="4"/>
  <c r="B7" i="4"/>
  <c r="D8" i="3" a="1"/>
  <c r="D8" i="3" s="1"/>
  <c r="D9" i="3" a="1"/>
  <c r="D9" i="3"/>
  <c r="D10" i="3" a="1"/>
  <c r="D10" i="3"/>
  <c r="D11" i="3" a="1"/>
  <c r="D11" i="3"/>
  <c r="D12" i="3" a="1"/>
  <c r="D12" i="3"/>
  <c r="D13" i="3" a="1"/>
  <c r="D13" i="3" s="1"/>
  <c r="D14" i="3" a="1"/>
  <c r="D14" i="3"/>
  <c r="D7" i="3" a="1"/>
  <c r="D7" i="3" s="1"/>
  <c r="B8" i="3"/>
  <c r="B9" i="3"/>
  <c r="B10" i="3"/>
  <c r="B11" i="3"/>
  <c r="B12" i="3"/>
  <c r="B13" i="3"/>
  <c r="B14" i="3"/>
  <c r="B7" i="3"/>
  <c r="D8" i="2" a="1"/>
  <c r="D8" i="2" s="1"/>
  <c r="D9" i="2" a="1"/>
  <c r="D9" i="2"/>
  <c r="D10" i="2" a="1"/>
  <c r="D10" i="2"/>
  <c r="D11" i="2" a="1"/>
  <c r="D11" i="2"/>
  <c r="D12" i="2" a="1"/>
  <c r="D12" i="2"/>
  <c r="D7" i="2" a="1"/>
  <c r="D7" i="2" s="1"/>
  <c r="C8" i="2" a="1"/>
  <c r="C8" i="2"/>
  <c r="C9" i="2" a="1"/>
  <c r="C9" i="2" s="1"/>
  <c r="C10" i="2" a="1"/>
  <c r="C10" i="2"/>
  <c r="C11" i="2" a="1"/>
  <c r="C11" i="2"/>
  <c r="C12" i="2" a="1"/>
  <c r="C12" i="2" s="1"/>
  <c r="C7" i="2" a="1"/>
  <c r="C7" i="2" s="1"/>
  <c r="B8" i="2" a="1"/>
  <c r="B8" i="2"/>
  <c r="B9" i="2" a="1"/>
  <c r="B9" i="2" s="1"/>
  <c r="B10" i="2" a="1"/>
  <c r="B10" i="2" s="1"/>
  <c r="B11" i="2" a="1"/>
  <c r="B11" i="2" s="1"/>
  <c r="B12" i="2" a="1"/>
  <c r="B12" i="2"/>
  <c r="B7" i="2" a="1"/>
  <c r="B7" i="2" s="1"/>
  <c r="C25" i="1"/>
  <c r="C26" i="1"/>
  <c r="C27" i="1"/>
  <c r="C28" i="1"/>
  <c r="C29" i="1"/>
  <c r="C30" i="1"/>
  <c r="C31" i="1"/>
  <c r="C24" i="1"/>
  <c r="B25" i="1"/>
  <c r="B26" i="1"/>
  <c r="B27" i="1"/>
  <c r="B28" i="1"/>
  <c r="B29" i="1"/>
  <c r="B30" i="1"/>
  <c r="B31" i="1"/>
  <c r="B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<sst xmlns="http://schemas.openxmlformats.org/spreadsheetml/2006/main" count="255" uniqueCount="189">
  <si>
    <t>Справочник партнеров фестиваля</t>
  </si>
  <si>
    <t>Код партнёра</t>
  </si>
  <si>
    <t>Город</t>
  </si>
  <si>
    <t>Организация</t>
  </si>
  <si>
    <t>Формат участия</t>
  </si>
  <si>
    <t>PF-101</t>
  </si>
  <si>
    <t>Ярославль</t>
  </si>
  <si>
    <t>ООО Северный свет</t>
  </si>
  <si>
    <t>генеральный</t>
  </si>
  <si>
    <t>PF-102</t>
  </si>
  <si>
    <t>Тверь</t>
  </si>
  <si>
    <t>АО Маяк</t>
  </si>
  <si>
    <t>информационный</t>
  </si>
  <si>
    <t>PF-103</t>
  </si>
  <si>
    <t>Калуга</t>
  </si>
  <si>
    <t>ИП Мирошина</t>
  </si>
  <si>
    <t>PF-104</t>
  </si>
  <si>
    <t>Рязань</t>
  </si>
  <si>
    <t>ООО Точка роста</t>
  </si>
  <si>
    <t>PF-105</t>
  </si>
  <si>
    <t>Кострома</t>
  </si>
  <si>
    <t>ЗАО Вектор</t>
  </si>
  <si>
    <t>PF-106</t>
  </si>
  <si>
    <t>Иваново</t>
  </si>
  <si>
    <t>АО Импульс</t>
  </si>
  <si>
    <t>PF-107</t>
  </si>
  <si>
    <t>Тула</t>
  </si>
  <si>
    <t>ООО Креатив Лаб</t>
  </si>
  <si>
    <t>PF-108</t>
  </si>
  <si>
    <t>Владимир</t>
  </si>
  <si>
    <t>ИП Смирнов</t>
  </si>
  <si>
    <t>PF-109</t>
  </si>
  <si>
    <t>Рыбинск</t>
  </si>
  <si>
    <t>ООО Атлас</t>
  </si>
  <si>
    <t>PF-110</t>
  </si>
  <si>
    <t>Обнинск</t>
  </si>
  <si>
    <t>АО Баланс</t>
  </si>
  <si>
    <t>PF-111</t>
  </si>
  <si>
    <t>Коломна</t>
  </si>
  <si>
    <t>ООО Сфера</t>
  </si>
  <si>
    <t>PF-112</t>
  </si>
  <si>
    <t>Орёл</t>
  </si>
  <si>
    <t>ИП Лапина</t>
  </si>
  <si>
    <t>партнер площадки</t>
  </si>
  <si>
    <t>Код партнера</t>
  </si>
  <si>
    <t>Журнал запросов</t>
  </si>
  <si>
    <t xml:space="preserve">Используя код партнера, определите название организации и формат участия для каждой строки журнала запросов. </t>
  </si>
  <si>
    <t>Дата</t>
  </si>
  <si>
    <t>Комментарий</t>
  </si>
  <si>
    <t>реклама сцены</t>
  </si>
  <si>
    <t>раздатка</t>
  </si>
  <si>
    <t>бренд-зона</t>
  </si>
  <si>
    <t>баннер сайта</t>
  </si>
  <si>
    <t>пресс-поддержка</t>
  </si>
  <si>
    <t>логистика</t>
  </si>
  <si>
    <t>печатные материалы</t>
  </si>
  <si>
    <t>навигация</t>
  </si>
  <si>
    <t>Запрос промо-пакетов для партнеров</t>
  </si>
  <si>
    <t>По коду пакета определите стоимость, количество публикаций и длительность размещения для каждого запроса.</t>
  </si>
  <si>
    <t>Код пакета</t>
  </si>
  <si>
    <t>Стоимость, ₽</t>
  </si>
  <si>
    <t>Публикаций</t>
  </si>
  <si>
    <t>Дней размещения</t>
  </si>
  <si>
    <t>PR-04</t>
  </si>
  <si>
    <t>PR-01</t>
  </si>
  <si>
    <t>PR-07</t>
  </si>
  <si>
    <t>PR-03</t>
  </si>
  <si>
    <t>PR-06</t>
  </si>
  <si>
    <t>PR-02</t>
  </si>
  <si>
    <t>Справочная матрица</t>
  </si>
  <si>
    <t>PR-05</t>
  </si>
  <si>
    <t>PR-08</t>
  </si>
  <si>
    <t>PR-09</t>
  </si>
  <si>
    <t>PR-10</t>
  </si>
  <si>
    <t>Приглашений VIP</t>
  </si>
  <si>
    <t>Журнал допуска на смену</t>
  </si>
  <si>
    <t>По номеру бейджа найдите ФИО и ставку за смену. Реестр расположен справа.</t>
  </si>
  <si>
    <t>Бейдж</t>
  </si>
  <si>
    <t>ФИО</t>
  </si>
  <si>
    <t>Роль</t>
  </si>
  <si>
    <t>Ставка, ₽</t>
  </si>
  <si>
    <t>BG-408</t>
  </si>
  <si>
    <t>звук</t>
  </si>
  <si>
    <t>BG-401</t>
  </si>
  <si>
    <t>координатор</t>
  </si>
  <si>
    <t>BG-414</t>
  </si>
  <si>
    <t>фото</t>
  </si>
  <si>
    <t>BG-406</t>
  </si>
  <si>
    <t>регистрация</t>
  </si>
  <si>
    <t>BG-409</t>
  </si>
  <si>
    <t>BG-403</t>
  </si>
  <si>
    <t>сцена</t>
  </si>
  <si>
    <t>BG-412</t>
  </si>
  <si>
    <t>гримерка</t>
  </si>
  <si>
    <t>BG-405</t>
  </si>
  <si>
    <t>волонтеры</t>
  </si>
  <si>
    <t>Должность</t>
  </si>
  <si>
    <t>Стаж, мес.</t>
  </si>
  <si>
    <t>Марина Фролова</t>
  </si>
  <si>
    <t>администратор</t>
  </si>
  <si>
    <t>BG-402</t>
  </si>
  <si>
    <t>Илья Белкин</t>
  </si>
  <si>
    <t>монтажник</t>
  </si>
  <si>
    <t>Олег Савин</t>
  </si>
  <si>
    <t>супервайзер</t>
  </si>
  <si>
    <t>BG-404</t>
  </si>
  <si>
    <t>Елена Нечаева</t>
  </si>
  <si>
    <t>координатор сцены</t>
  </si>
  <si>
    <t>Глеб Волков</t>
  </si>
  <si>
    <t>дизайнер навигации</t>
  </si>
  <si>
    <t>Вера Егорова</t>
  </si>
  <si>
    <t>менеджер регистрации</t>
  </si>
  <si>
    <t>BG-407</t>
  </si>
  <si>
    <t>Павел Данилов</t>
  </si>
  <si>
    <t>светотехник</t>
  </si>
  <si>
    <t>Нина Уварова</t>
  </si>
  <si>
    <t>инженер звука</t>
  </si>
  <si>
    <t>Тамара Галкина</t>
  </si>
  <si>
    <t>BG-410</t>
  </si>
  <si>
    <t>Роман Юдин</t>
  </si>
  <si>
    <t>оператор экрана</t>
  </si>
  <si>
    <t>BG-411</t>
  </si>
  <si>
    <t>Софья Мельник</t>
  </si>
  <si>
    <t>SMM-координатор</t>
  </si>
  <si>
    <t>Арсений Котов</t>
  </si>
  <si>
    <t>BG-413</t>
  </si>
  <si>
    <t>Кира Осипова</t>
  </si>
  <si>
    <t>логист площадки</t>
  </si>
  <si>
    <t>Лев Тарасов</t>
  </si>
  <si>
    <t>фотограф</t>
  </si>
  <si>
    <t>Кадровый реестр</t>
  </si>
  <si>
    <t>куратор волонтеров</t>
  </si>
  <si>
    <t>Контроль гостевых пропусков</t>
  </si>
  <si>
    <t>Внизу листа расположен реестр гостевых пропусков. По номеру пропуска заполните в верхнем журнале ФИО гостя, организацию и зону доступа.</t>
  </si>
  <si>
    <t>Номер пропуска</t>
  </si>
  <si>
    <t>ФИО гостя</t>
  </si>
  <si>
    <t>Зона доступа</t>
  </si>
  <si>
    <t>Поток</t>
  </si>
  <si>
    <t>GP-905</t>
  </si>
  <si>
    <t>утро</t>
  </si>
  <si>
    <t>GP-912</t>
  </si>
  <si>
    <t>GP-901</t>
  </si>
  <si>
    <t>день</t>
  </si>
  <si>
    <t>GP-914</t>
  </si>
  <si>
    <t>GP-909</t>
  </si>
  <si>
    <t>вечер</t>
  </si>
  <si>
    <t>GP-903</t>
  </si>
  <si>
    <t>GP-910</t>
  </si>
  <si>
    <t>Реестр пропусков</t>
  </si>
  <si>
    <t>Анастасия Савельева</t>
  </si>
  <si>
    <t>Медиацентр Восток</t>
  </si>
  <si>
    <t>пресс-центр</t>
  </si>
  <si>
    <t>Дмитрий Князев</t>
  </si>
  <si>
    <t>GP-902</t>
  </si>
  <si>
    <t>Студия 47</t>
  </si>
  <si>
    <t>главная сцена</t>
  </si>
  <si>
    <t>Полина Ермакова</t>
  </si>
  <si>
    <t>Форум TV</t>
  </si>
  <si>
    <t>Максим Чернов</t>
  </si>
  <si>
    <t>GP-904</t>
  </si>
  <si>
    <t>Город FM</t>
  </si>
  <si>
    <t>Юлия Карпова</t>
  </si>
  <si>
    <t>Север Медиа</t>
  </si>
  <si>
    <t>VIP-балкон</t>
  </si>
  <si>
    <t>Егор Шилов</t>
  </si>
  <si>
    <t>GP-906</t>
  </si>
  <si>
    <t>АртБюро</t>
  </si>
  <si>
    <t>Наталья Рогова</t>
  </si>
  <si>
    <t>GP-907</t>
  </si>
  <si>
    <t>Альянс PR</t>
  </si>
  <si>
    <t>Антон Серебров</t>
  </si>
  <si>
    <t>GP-908</t>
  </si>
  <si>
    <t>Urban News</t>
  </si>
  <si>
    <t>Лада Бородина</t>
  </si>
  <si>
    <t>Бизнес Онлайн</t>
  </si>
  <si>
    <t>Кирилл Соков</t>
  </si>
  <si>
    <t>Сфера событий</t>
  </si>
  <si>
    <t>Елена Панина</t>
  </si>
  <si>
    <t>GP-911</t>
  </si>
  <si>
    <t>Рекламная сеть 360</t>
  </si>
  <si>
    <t>Артур Зимин</t>
  </si>
  <si>
    <t>Канал Мост</t>
  </si>
  <si>
    <t>Мария Фадеева</t>
  </si>
  <si>
    <t>GP-913</t>
  </si>
  <si>
    <t>Startup Daily</t>
  </si>
  <si>
    <t>Оксана Левина</t>
  </si>
  <si>
    <t>Команда инвестора</t>
  </si>
  <si>
    <t>партнерский лаунж</t>
  </si>
  <si>
    <t>администратор гримерок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</si>
</sst>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1"/>
      <color rgb="FF2F2F2F"/>
      <name val="Calibri"/>
      <family val="2"/>
    </font>
    <font>
      <b/>
      <sz val="12"/>
      <color rgb="FF2F2F2F"/>
      <name val="Calibri"/>
      <family val="2"/>
    </font>
    <font>
      <b/>
      <sz val="12"/>
      <color rgb="FFFFFFFF"/>
      <name val="Calibri"/>
      <family val="2"/>
    </font>
    <font>
      <b/>
      <sz val="12"/>
      <color rgb="FF7030A0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F7F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</patternFill>
    </fill>
    <fill>
      <patternFill patternType="solid">
        <fgColor rgb="FFD9EAD3"/>
      </patternFill>
    </fill>
    <fill>
      <patternFill patternType="solid">
        <fgColor rgb="FF0F766E"/>
      </patternFill>
    </fill>
  </fills>
  <borders count="18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 style="thin">
        <color rgb="FFB7C3D0"/>
      </right>
      <top/>
      <bottom/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 style="thin">
        <color rgb="FFB7C3D0"/>
      </left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left" vertical="center"/>
    </xf>
    <xf numFmtId="165" fontId="1" fillId="0" borderId="7" xfId="0" applyNumberFormat="1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" fillId="3" borderId="16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7" xfId="0" applyFont="1" applyFill="1" applyBorder="1" applyAlignment="1">
      <alignment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6" fillId="2" borderId="15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D519-B948-F846-9449-4A0BD6CED556}">
  <dimension ref="A1:E31"/>
  <sheetViews>
    <sheetView showGridLines="0" tabSelected="1" workbookViewId="0">
      <selection activeCell="F19" sqref="F19"/>
    </sheetView>
  </sheetViews>
  <sheetFormatPr defaultColWidth="10.83203125" defaultRowHeight="15.5" x14ac:dyDescent="0.35"/>
  <cols>
    <col min="1" max="1" width="17.5" style="1" customWidth="1"/>
    <col min="2" max="2" width="15.5" style="1" customWidth="1"/>
    <col min="3" max="3" width="20.33203125" style="1" customWidth="1"/>
    <col min="4" max="4" width="23" style="1" customWidth="1"/>
    <col min="5" max="5" width="20.6640625" style="1" customWidth="1"/>
    <col min="6" max="16384" width="10.83203125" style="1"/>
  </cols>
  <sheetData>
    <row r="1" spans="1:5" ht="16" thickBot="1" x14ac:dyDescent="0.4">
      <c r="A1" s="15" t="s">
        <v>0</v>
      </c>
      <c r="B1" s="16"/>
      <c r="C1" s="16"/>
      <c r="D1" s="16"/>
      <c r="E1" s="17"/>
    </row>
    <row r="2" spans="1:5" ht="16" thickBot="1" x14ac:dyDescent="0.4">
      <c r="A2" s="18"/>
      <c r="B2" s="19"/>
      <c r="C2" s="19"/>
      <c r="D2" s="19"/>
      <c r="E2" s="20"/>
    </row>
    <row r="3" spans="1:5" x14ac:dyDescent="0.35">
      <c r="A3" s="25" t="s">
        <v>46</v>
      </c>
      <c r="B3" s="26"/>
      <c r="C3" s="26"/>
      <c r="D3" s="26"/>
      <c r="E3" s="27"/>
    </row>
    <row r="4" spans="1:5" x14ac:dyDescent="0.35">
      <c r="A4" s="28"/>
      <c r="B4" s="29"/>
      <c r="C4" s="29"/>
      <c r="D4" s="29"/>
      <c r="E4" s="30"/>
    </row>
    <row r="5" spans="1:5" x14ac:dyDescent="0.35">
      <c r="A5" s="31"/>
      <c r="B5" s="32"/>
      <c r="C5" s="32"/>
      <c r="D5" s="32"/>
      <c r="E5" s="33"/>
    </row>
    <row r="7" spans="1:5" x14ac:dyDescent="0.35">
      <c r="A7" s="3" t="s">
        <v>44</v>
      </c>
      <c r="B7" s="3" t="s">
        <v>2</v>
      </c>
      <c r="C7" s="3" t="s">
        <v>3</v>
      </c>
      <c r="D7" s="3" t="s">
        <v>4</v>
      </c>
    </row>
    <row r="8" spans="1:5" x14ac:dyDescent="0.35">
      <c r="A8" s="4" t="s">
        <v>5</v>
      </c>
      <c r="B8" s="5" t="s">
        <v>6</v>
      </c>
      <c r="C8" s="5" t="s">
        <v>7</v>
      </c>
      <c r="D8" s="5" t="s">
        <v>8</v>
      </c>
    </row>
    <row r="9" spans="1:5" x14ac:dyDescent="0.35">
      <c r="A9" s="4" t="s">
        <v>9</v>
      </c>
      <c r="B9" s="5" t="s">
        <v>10</v>
      </c>
      <c r="C9" s="5" t="s">
        <v>11</v>
      </c>
      <c r="D9" s="5" t="s">
        <v>12</v>
      </c>
    </row>
    <row r="10" spans="1:5" x14ac:dyDescent="0.35">
      <c r="A10" s="4" t="s">
        <v>13</v>
      </c>
      <c r="B10" s="5" t="s">
        <v>14</v>
      </c>
      <c r="C10" s="5" t="s">
        <v>15</v>
      </c>
      <c r="D10" s="5" t="s">
        <v>43</v>
      </c>
    </row>
    <row r="11" spans="1:5" x14ac:dyDescent="0.35">
      <c r="A11" s="4" t="s">
        <v>16</v>
      </c>
      <c r="B11" s="5" t="s">
        <v>17</v>
      </c>
      <c r="C11" s="5" t="s">
        <v>18</v>
      </c>
      <c r="D11" s="5" t="s">
        <v>8</v>
      </c>
    </row>
    <row r="12" spans="1:5" x14ac:dyDescent="0.35">
      <c r="A12" s="4" t="s">
        <v>19</v>
      </c>
      <c r="B12" s="5" t="s">
        <v>20</v>
      </c>
      <c r="C12" s="5" t="s">
        <v>21</v>
      </c>
      <c r="D12" s="5" t="s">
        <v>12</v>
      </c>
    </row>
    <row r="13" spans="1:5" x14ac:dyDescent="0.35">
      <c r="A13" s="4" t="s">
        <v>22</v>
      </c>
      <c r="B13" s="5" t="s">
        <v>23</v>
      </c>
      <c r="C13" s="5" t="s">
        <v>24</v>
      </c>
      <c r="D13" s="5" t="s">
        <v>43</v>
      </c>
    </row>
    <row r="14" spans="1:5" x14ac:dyDescent="0.35">
      <c r="A14" s="4" t="s">
        <v>25</v>
      </c>
      <c r="B14" s="5" t="s">
        <v>26</v>
      </c>
      <c r="C14" s="5" t="s">
        <v>27</v>
      </c>
      <c r="D14" s="5" t="s">
        <v>8</v>
      </c>
    </row>
    <row r="15" spans="1:5" x14ac:dyDescent="0.35">
      <c r="A15" s="4" t="s">
        <v>28</v>
      </c>
      <c r="B15" s="5" t="s">
        <v>29</v>
      </c>
      <c r="C15" s="5" t="s">
        <v>30</v>
      </c>
      <c r="D15" s="5" t="s">
        <v>12</v>
      </c>
    </row>
    <row r="16" spans="1:5" x14ac:dyDescent="0.35">
      <c r="A16" s="4" t="s">
        <v>31</v>
      </c>
      <c r="B16" s="5" t="s">
        <v>32</v>
      </c>
      <c r="C16" s="5" t="s">
        <v>33</v>
      </c>
      <c r="D16" s="5" t="s">
        <v>43</v>
      </c>
    </row>
    <row r="17" spans="1:5" x14ac:dyDescent="0.35">
      <c r="A17" s="4" t="s">
        <v>34</v>
      </c>
      <c r="B17" s="5" t="s">
        <v>35</v>
      </c>
      <c r="C17" s="5" t="s">
        <v>36</v>
      </c>
      <c r="D17" s="5" t="s">
        <v>8</v>
      </c>
    </row>
    <row r="18" spans="1:5" x14ac:dyDescent="0.35">
      <c r="A18" s="4" t="s">
        <v>37</v>
      </c>
      <c r="B18" s="5" t="s">
        <v>38</v>
      </c>
      <c r="C18" s="5" t="s">
        <v>39</v>
      </c>
      <c r="D18" s="5" t="s">
        <v>12</v>
      </c>
    </row>
    <row r="19" spans="1:5" x14ac:dyDescent="0.35">
      <c r="A19" s="4" t="s">
        <v>40</v>
      </c>
      <c r="B19" s="5" t="s">
        <v>41</v>
      </c>
      <c r="C19" s="5" t="s">
        <v>42</v>
      </c>
      <c r="D19" s="5" t="s">
        <v>43</v>
      </c>
    </row>
    <row r="20" spans="1:5" ht="16" thickBot="1" x14ac:dyDescent="0.4"/>
    <row r="21" spans="1:5" x14ac:dyDescent="0.35">
      <c r="A21" s="34" t="s">
        <v>45</v>
      </c>
      <c r="B21" s="35"/>
      <c r="C21" s="35"/>
      <c r="D21" s="35"/>
      <c r="E21" s="35"/>
    </row>
    <row r="22" spans="1:5" ht="16" thickBot="1" x14ac:dyDescent="0.4">
      <c r="A22" s="36"/>
      <c r="B22" s="37"/>
      <c r="C22" s="37"/>
      <c r="D22" s="37"/>
      <c r="E22" s="37"/>
    </row>
    <row r="23" spans="1:5" x14ac:dyDescent="0.35">
      <c r="A23" s="6" t="s">
        <v>1</v>
      </c>
      <c r="B23" s="6" t="s">
        <v>3</v>
      </c>
      <c r="C23" s="6" t="s">
        <v>4</v>
      </c>
      <c r="D23" s="6" t="s">
        <v>47</v>
      </c>
      <c r="E23" s="6" t="s">
        <v>48</v>
      </c>
    </row>
    <row r="24" spans="1:5" x14ac:dyDescent="0.35">
      <c r="A24" s="4" t="s">
        <v>34</v>
      </c>
      <c r="B24" s="7" t="str">
        <f>VLOOKUP(A24,$A$7:$D$19,3,FALSE)</f>
        <v>АО Баланс</v>
      </c>
      <c r="C24" s="7" t="str">
        <f>VLOOKUP(A24,$A$7:$D$19,4,FALSE)</f>
        <v>генеральный</v>
      </c>
      <c r="D24" s="8">
        <v>46114</v>
      </c>
      <c r="E24" s="5" t="s">
        <v>49</v>
      </c>
    </row>
    <row r="25" spans="1:5" x14ac:dyDescent="0.35">
      <c r="A25" s="4" t="s">
        <v>16</v>
      </c>
      <c r="B25" s="7" t="str">
        <f t="shared" ref="B25:B31" si="0">VLOOKUP(A25,$A$7:$D$19,3,FALSE)</f>
        <v>ООО Точка роста</v>
      </c>
      <c r="C25" s="7" t="str">
        <f t="shared" ref="C25:C31" si="1">VLOOKUP(A25,$A$7:$D$19,4,FALSE)</f>
        <v>генеральный</v>
      </c>
      <c r="D25" s="8">
        <v>46116</v>
      </c>
      <c r="E25" s="5" t="s">
        <v>50</v>
      </c>
    </row>
    <row r="26" spans="1:5" x14ac:dyDescent="0.35">
      <c r="A26" s="4" t="s">
        <v>25</v>
      </c>
      <c r="B26" s="7" t="str">
        <f t="shared" si="0"/>
        <v>ООО Креатив Лаб</v>
      </c>
      <c r="C26" s="7" t="str">
        <f t="shared" si="1"/>
        <v>генеральный</v>
      </c>
      <c r="D26" s="8">
        <v>46118</v>
      </c>
      <c r="E26" s="5" t="s">
        <v>51</v>
      </c>
    </row>
    <row r="27" spans="1:5" x14ac:dyDescent="0.35">
      <c r="A27" s="4" t="s">
        <v>9</v>
      </c>
      <c r="B27" s="7" t="str">
        <f t="shared" si="0"/>
        <v>АО Маяк</v>
      </c>
      <c r="C27" s="7" t="str">
        <f t="shared" si="1"/>
        <v>информационный</v>
      </c>
      <c r="D27" s="8">
        <v>46120</v>
      </c>
      <c r="E27" s="5" t="s">
        <v>52</v>
      </c>
    </row>
    <row r="28" spans="1:5" x14ac:dyDescent="0.35">
      <c r="A28" s="4" t="s">
        <v>37</v>
      </c>
      <c r="B28" s="7" t="str">
        <f t="shared" si="0"/>
        <v>ООО Сфера</v>
      </c>
      <c r="C28" s="7" t="str">
        <f t="shared" si="1"/>
        <v>информационный</v>
      </c>
      <c r="D28" s="8">
        <v>46122</v>
      </c>
      <c r="E28" s="5" t="s">
        <v>53</v>
      </c>
    </row>
    <row r="29" spans="1:5" x14ac:dyDescent="0.35">
      <c r="A29" s="4" t="s">
        <v>19</v>
      </c>
      <c r="B29" s="7" t="str">
        <f t="shared" si="0"/>
        <v>ЗАО Вектор</v>
      </c>
      <c r="C29" s="7" t="str">
        <f t="shared" si="1"/>
        <v>информационный</v>
      </c>
      <c r="D29" s="8">
        <v>46124</v>
      </c>
      <c r="E29" s="5" t="s">
        <v>54</v>
      </c>
    </row>
    <row r="30" spans="1:5" x14ac:dyDescent="0.35">
      <c r="A30" s="4" t="s">
        <v>28</v>
      </c>
      <c r="B30" s="7" t="str">
        <f t="shared" si="0"/>
        <v>ИП Смирнов</v>
      </c>
      <c r="C30" s="7" t="str">
        <f t="shared" si="1"/>
        <v>информационный</v>
      </c>
      <c r="D30" s="8">
        <v>46126</v>
      </c>
      <c r="E30" s="5" t="s">
        <v>55</v>
      </c>
    </row>
    <row r="31" spans="1:5" x14ac:dyDescent="0.35">
      <c r="A31" s="4" t="s">
        <v>13</v>
      </c>
      <c r="B31" s="7" t="str">
        <f t="shared" si="0"/>
        <v>ИП Мирошина</v>
      </c>
      <c r="C31" s="7" t="str">
        <f t="shared" si="1"/>
        <v>партнер площадки</v>
      </c>
      <c r="D31" s="8">
        <v>46128</v>
      </c>
      <c r="E31" s="5" t="s">
        <v>56</v>
      </c>
    </row>
  </sheetData>
  <mergeCells count="3">
    <mergeCell ref="A1:E2"/>
    <mergeCell ref="A3:E5"/>
    <mergeCell ref="A21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A60C-1E7D-E342-9575-349C67C329C5}">
  <dimension ref="A1:K19"/>
  <sheetViews>
    <sheetView showGridLines="0" workbookViewId="0">
      <selection activeCell="D9" sqref="D9"/>
    </sheetView>
  </sheetViews>
  <sheetFormatPr defaultColWidth="10.83203125" defaultRowHeight="15.5" x14ac:dyDescent="0.35"/>
  <cols>
    <col min="1" max="1" width="18.6640625" style="1" customWidth="1"/>
    <col min="2" max="2" width="17.1640625" style="1" customWidth="1"/>
    <col min="3" max="3" width="14.5" style="1" customWidth="1"/>
    <col min="4" max="4" width="23.1640625" style="1" customWidth="1"/>
    <col min="5" max="16384" width="10.83203125" style="1"/>
  </cols>
  <sheetData>
    <row r="1" spans="1:11" ht="16" thickBot="1" x14ac:dyDescent="0.4">
      <c r="A1" s="15" t="s">
        <v>57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6" thickBot="1" x14ac:dyDescent="0.4">
      <c r="A2" s="18"/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x14ac:dyDescent="0.35">
      <c r="A3" s="21" t="s">
        <v>58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5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</row>
    <row r="6" spans="1:11" x14ac:dyDescent="0.35">
      <c r="A6" s="9" t="s">
        <v>59</v>
      </c>
      <c r="B6" s="9" t="s">
        <v>60</v>
      </c>
      <c r="C6" s="9" t="s">
        <v>61</v>
      </c>
      <c r="D6" s="9" t="s">
        <v>62</v>
      </c>
    </row>
    <row r="7" spans="1:11" x14ac:dyDescent="0.35">
      <c r="A7" s="4" t="s">
        <v>63</v>
      </c>
      <c r="B7" s="10" cm="1">
        <f t="array" ref="B7">VLOOKUP(A7,TRANSPOSE($A$15:$K$19),2,FALSE)</f>
        <v>55000</v>
      </c>
      <c r="C7" s="10" cm="1">
        <f t="array" ref="C7">VLOOKUP(A7,TRANSPOSE($A$15:$K$19),3,FALSE)</f>
        <v>6</v>
      </c>
      <c r="D7" s="10" cm="1">
        <f t="array" ref="D7">VLOOKUP(A7,TRANSPOSE($A$15:$K$19),4,FALSE)</f>
        <v>14</v>
      </c>
    </row>
    <row r="8" spans="1:11" x14ac:dyDescent="0.35">
      <c r="A8" s="4" t="s">
        <v>64</v>
      </c>
      <c r="B8" s="10" cm="1">
        <f t="array" ref="B8">VLOOKUP(A8,TRANSPOSE($A$15:$K$19),2,FALSE)</f>
        <v>35000</v>
      </c>
      <c r="C8" s="10" cm="1">
        <f t="array" ref="C8">VLOOKUP(A8,TRANSPOSE($A$15:$K$19),3,FALSE)</f>
        <v>3</v>
      </c>
      <c r="D8" s="10" cm="1">
        <f t="array" ref="D8">VLOOKUP(A8,TRANSPOSE($A$15:$K$19),4,FALSE)</f>
        <v>7</v>
      </c>
    </row>
    <row r="9" spans="1:11" x14ac:dyDescent="0.35">
      <c r="A9" s="4" t="s">
        <v>65</v>
      </c>
      <c r="B9" s="10" cm="1">
        <f t="array" ref="B9">VLOOKUP(A9,TRANSPOSE($A$15:$K$19),2,FALSE)</f>
        <v>39000</v>
      </c>
      <c r="C9" s="10" cm="1">
        <f t="array" ref="C9">VLOOKUP(A9,TRANSPOSE($A$15:$K$19),3,FALSE)</f>
        <v>4</v>
      </c>
      <c r="D9" s="10" cm="1">
        <f t="array" ref="D9">VLOOKUP(A9,TRANSPOSE($A$15:$K$19),4,FALSE)</f>
        <v>8</v>
      </c>
    </row>
    <row r="10" spans="1:11" x14ac:dyDescent="0.35">
      <c r="A10" s="4" t="s">
        <v>66</v>
      </c>
      <c r="B10" s="10" cm="1">
        <f t="array" ref="B10">VLOOKUP(A10,TRANSPOSE($A$15:$K$19),2,FALSE)</f>
        <v>28000</v>
      </c>
      <c r="C10" s="10" cm="1">
        <f t="array" ref="C10">VLOOKUP(A10,TRANSPOSE($A$15:$K$19),3,FALSE)</f>
        <v>2</v>
      </c>
      <c r="D10" s="10" cm="1">
        <f t="array" ref="D10">VLOOKUP(A10,TRANSPOSE($A$15:$K$19),4,FALSE)</f>
        <v>5</v>
      </c>
    </row>
    <row r="11" spans="1:11" x14ac:dyDescent="0.35">
      <c r="A11" s="4" t="s">
        <v>67</v>
      </c>
      <c r="B11" s="10" cm="1">
        <f t="array" ref="B11">VLOOKUP(A11,TRANSPOSE($A$15:$K$19),2,FALSE)</f>
        <v>47000</v>
      </c>
      <c r="C11" s="10" cm="1">
        <f t="array" ref="C11">VLOOKUP(A11,TRANSPOSE($A$15:$K$19),3,FALSE)</f>
        <v>5</v>
      </c>
      <c r="D11" s="10" cm="1">
        <f t="array" ref="D11">VLOOKUP(A11,TRANSPOSE($A$15:$K$19),4,FALSE)</f>
        <v>12</v>
      </c>
    </row>
    <row r="12" spans="1:11" x14ac:dyDescent="0.35">
      <c r="A12" s="4" t="s">
        <v>68</v>
      </c>
      <c r="B12" s="10" cm="1">
        <f t="array" ref="B12">VLOOKUP(A12,TRANSPOSE($A$15:$K$19),2,FALSE)</f>
        <v>42000</v>
      </c>
      <c r="C12" s="10" cm="1">
        <f t="array" ref="C12">VLOOKUP(A12,TRANSPOSE($A$15:$K$19),3,FALSE)</f>
        <v>4</v>
      </c>
      <c r="D12" s="10" cm="1">
        <f t="array" ref="D12">VLOOKUP(A12,TRANSPOSE($A$15:$K$19),4,FALSE)</f>
        <v>10</v>
      </c>
    </row>
    <row r="14" spans="1:11" ht="18.5" x14ac:dyDescent="0.35">
      <c r="A14" s="38" t="s">
        <v>69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</row>
    <row r="15" spans="1:11" x14ac:dyDescent="0.35">
      <c r="B15" s="4" t="s">
        <v>64</v>
      </c>
      <c r="C15" s="4" t="s">
        <v>68</v>
      </c>
      <c r="D15" s="4" t="s">
        <v>66</v>
      </c>
      <c r="E15" s="4" t="s">
        <v>63</v>
      </c>
      <c r="F15" s="4" t="s">
        <v>70</v>
      </c>
      <c r="G15" s="4" t="s">
        <v>67</v>
      </c>
      <c r="H15" s="4" t="s">
        <v>65</v>
      </c>
      <c r="I15" s="4" t="s">
        <v>71</v>
      </c>
      <c r="J15" s="4" t="s">
        <v>72</v>
      </c>
      <c r="K15" s="4" t="s">
        <v>73</v>
      </c>
    </row>
    <row r="16" spans="1:11" x14ac:dyDescent="0.35">
      <c r="A16" s="2" t="s">
        <v>60</v>
      </c>
      <c r="B16" s="11">
        <v>35000</v>
      </c>
      <c r="C16" s="11">
        <v>42000</v>
      </c>
      <c r="D16" s="11">
        <v>28000</v>
      </c>
      <c r="E16" s="11">
        <v>55000</v>
      </c>
      <c r="F16" s="11">
        <v>61000</v>
      </c>
      <c r="G16" s="11">
        <v>47000</v>
      </c>
      <c r="H16" s="11">
        <v>39000</v>
      </c>
      <c r="I16" s="11">
        <v>73000</v>
      </c>
      <c r="J16" s="11">
        <v>66000</v>
      </c>
      <c r="K16" s="11">
        <v>50000</v>
      </c>
    </row>
    <row r="17" spans="1:11" x14ac:dyDescent="0.35">
      <c r="A17" s="2" t="s">
        <v>61</v>
      </c>
      <c r="B17" s="4">
        <v>3</v>
      </c>
      <c r="C17" s="4">
        <v>4</v>
      </c>
      <c r="D17" s="4">
        <v>2</v>
      </c>
      <c r="E17" s="4">
        <v>6</v>
      </c>
      <c r="F17" s="4">
        <v>8</v>
      </c>
      <c r="G17" s="4">
        <v>5</v>
      </c>
      <c r="H17" s="4">
        <v>4</v>
      </c>
      <c r="I17" s="4">
        <v>10</v>
      </c>
      <c r="J17" s="4">
        <v>9</v>
      </c>
      <c r="K17" s="4">
        <v>7</v>
      </c>
    </row>
    <row r="18" spans="1:11" x14ac:dyDescent="0.35">
      <c r="A18" s="2" t="s">
        <v>62</v>
      </c>
      <c r="B18" s="4">
        <v>7</v>
      </c>
      <c r="C18" s="4">
        <v>10</v>
      </c>
      <c r="D18" s="4">
        <v>5</v>
      </c>
      <c r="E18" s="4">
        <v>14</v>
      </c>
      <c r="F18" s="4">
        <v>21</v>
      </c>
      <c r="G18" s="4">
        <v>12</v>
      </c>
      <c r="H18" s="4">
        <v>8</v>
      </c>
      <c r="I18" s="4">
        <v>30</v>
      </c>
      <c r="J18" s="4">
        <v>24</v>
      </c>
      <c r="K18" s="4">
        <v>16</v>
      </c>
    </row>
    <row r="19" spans="1:11" x14ac:dyDescent="0.35">
      <c r="A19" s="2" t="s">
        <v>74</v>
      </c>
      <c r="B19" s="4">
        <v>1</v>
      </c>
      <c r="C19" s="4">
        <v>2</v>
      </c>
      <c r="D19" s="4">
        <v>0</v>
      </c>
      <c r="E19" s="4">
        <v>3</v>
      </c>
      <c r="F19" s="4">
        <v>4</v>
      </c>
      <c r="G19" s="4">
        <v>2</v>
      </c>
      <c r="H19" s="4">
        <v>1</v>
      </c>
      <c r="I19" s="4">
        <v>5</v>
      </c>
      <c r="J19" s="4">
        <v>5</v>
      </c>
      <c r="K19" s="4">
        <v>3</v>
      </c>
    </row>
  </sheetData>
  <mergeCells count="3">
    <mergeCell ref="A1:K2"/>
    <mergeCell ref="A3:K4"/>
    <mergeCell ref="A14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4B46-FDA2-E149-8652-9FC85D716A6C}">
  <dimension ref="A1:K20"/>
  <sheetViews>
    <sheetView showGridLines="0" workbookViewId="0">
      <selection activeCell="D14" sqref="D7:D14"/>
    </sheetView>
  </sheetViews>
  <sheetFormatPr defaultColWidth="10.6640625" defaultRowHeight="16" x14ac:dyDescent="0.4"/>
  <cols>
    <col min="1" max="1" width="13.33203125" customWidth="1"/>
    <col min="2" max="2" width="25" customWidth="1"/>
    <col min="3" max="3" width="15.1640625" customWidth="1"/>
    <col min="4" max="4" width="25.6640625" customWidth="1"/>
    <col min="8" max="8" width="19.1640625" customWidth="1"/>
    <col min="9" max="9" width="26.83203125" customWidth="1"/>
    <col min="10" max="10" width="14.6640625" customWidth="1"/>
  </cols>
  <sheetData>
    <row r="1" spans="1:11" ht="17" customHeight="1" x14ac:dyDescent="0.4">
      <c r="A1" s="34" t="s">
        <v>75</v>
      </c>
      <c r="B1" s="35"/>
      <c r="C1" s="35"/>
      <c r="D1" s="35"/>
      <c r="E1" s="35"/>
      <c r="F1" s="35"/>
      <c r="G1" s="35"/>
      <c r="H1" s="35"/>
    </row>
    <row r="2" spans="1:11" ht="16.5" thickBot="1" x14ac:dyDescent="0.45">
      <c r="A2" s="36"/>
      <c r="B2" s="37"/>
      <c r="C2" s="37"/>
      <c r="D2" s="37"/>
      <c r="E2" s="37"/>
      <c r="F2" s="37"/>
      <c r="G2" s="37"/>
      <c r="H2" s="37"/>
    </row>
    <row r="3" spans="1:11" ht="16" customHeight="1" x14ac:dyDescent="0.4">
      <c r="A3" s="21" t="s">
        <v>76</v>
      </c>
      <c r="B3" s="22"/>
      <c r="C3" s="22"/>
      <c r="D3" s="22"/>
      <c r="E3" s="22"/>
      <c r="F3" s="22"/>
      <c r="G3" s="22"/>
      <c r="H3" s="22"/>
    </row>
    <row r="4" spans="1:11" ht="16.5" thickBot="1" x14ac:dyDescent="0.45">
      <c r="A4" s="23"/>
      <c r="B4" s="24"/>
      <c r="C4" s="24"/>
      <c r="D4" s="24"/>
      <c r="E4" s="24"/>
      <c r="F4" s="24"/>
      <c r="G4" s="24"/>
      <c r="H4" s="24"/>
    </row>
    <row r="5" spans="1:11" ht="18.5" x14ac:dyDescent="0.4">
      <c r="G5" s="40" t="s">
        <v>130</v>
      </c>
      <c r="H5" s="41"/>
      <c r="I5" s="41"/>
      <c r="J5" s="41"/>
      <c r="K5" s="41"/>
    </row>
    <row r="6" spans="1:11" x14ac:dyDescent="0.4">
      <c r="A6" s="12" t="s">
        <v>77</v>
      </c>
      <c r="B6" s="12" t="s">
        <v>78</v>
      </c>
      <c r="C6" s="12" t="s">
        <v>79</v>
      </c>
      <c r="D6" s="12" t="s">
        <v>80</v>
      </c>
      <c r="G6" s="13" t="s">
        <v>77</v>
      </c>
      <c r="H6" s="13" t="s">
        <v>78</v>
      </c>
      <c r="I6" s="13" t="s">
        <v>96</v>
      </c>
      <c r="J6" s="13" t="s">
        <v>80</v>
      </c>
      <c r="K6" s="13" t="s">
        <v>97</v>
      </c>
    </row>
    <row r="7" spans="1:11" x14ac:dyDescent="0.4">
      <c r="A7" s="4" t="s">
        <v>81</v>
      </c>
      <c r="B7" s="10" t="str">
        <f>_xlfn.XLOOKUP(A7,$G$6:$G$20,$H$6:$H$20)</f>
        <v>Нина Уварова</v>
      </c>
      <c r="C7" s="5" t="s">
        <v>82</v>
      </c>
      <c r="D7" s="10" cm="1">
        <f t="array" ref="D7">HLOOKUP(A7,TRANSPOSE($G$6:$J$20),4,FALSE)</f>
        <v>5200</v>
      </c>
      <c r="G7" s="4" t="s">
        <v>83</v>
      </c>
      <c r="H7" s="5" t="s">
        <v>98</v>
      </c>
      <c r="I7" s="5" t="s">
        <v>99</v>
      </c>
      <c r="J7" s="11">
        <v>4200</v>
      </c>
      <c r="K7" s="4">
        <v>14</v>
      </c>
    </row>
    <row r="8" spans="1:11" x14ac:dyDescent="0.4">
      <c r="A8" s="4" t="s">
        <v>83</v>
      </c>
      <c r="B8" s="10" t="str">
        <f t="shared" ref="B8:B14" si="0">_xlfn.XLOOKUP(A8,$G$6:$G$20,$H$6:$H$20)</f>
        <v>Марина Фролова</v>
      </c>
      <c r="C8" s="5" t="s">
        <v>84</v>
      </c>
      <c r="D8" s="10" cm="1">
        <f t="array" ref="D8">HLOOKUP(A8,TRANSPOSE($G$6:$J$20),4,FALSE)</f>
        <v>4200</v>
      </c>
      <c r="G8" s="4" t="s">
        <v>100</v>
      </c>
      <c r="H8" s="5" t="s">
        <v>101</v>
      </c>
      <c r="I8" s="5" t="s">
        <v>102</v>
      </c>
      <c r="J8" s="11">
        <v>3900</v>
      </c>
      <c r="K8" s="4">
        <v>9</v>
      </c>
    </row>
    <row r="9" spans="1:11" x14ac:dyDescent="0.4">
      <c r="A9" s="4" t="s">
        <v>85</v>
      </c>
      <c r="B9" s="10" t="str">
        <f t="shared" si="0"/>
        <v>Лев Тарасов</v>
      </c>
      <c r="C9" s="5" t="s">
        <v>86</v>
      </c>
      <c r="D9" s="10" cm="1">
        <f t="array" ref="D9">HLOOKUP(A9,TRANSPOSE($G$6:$J$20),4,FALSE)</f>
        <v>5000</v>
      </c>
      <c r="G9" s="4" t="s">
        <v>90</v>
      </c>
      <c r="H9" s="5" t="s">
        <v>103</v>
      </c>
      <c r="I9" s="5" t="s">
        <v>104</v>
      </c>
      <c r="J9" s="11">
        <v>4700</v>
      </c>
      <c r="K9" s="4">
        <v>16</v>
      </c>
    </row>
    <row r="10" spans="1:11" x14ac:dyDescent="0.4">
      <c r="A10" s="4" t="s">
        <v>87</v>
      </c>
      <c r="B10" s="10" t="str">
        <f t="shared" si="0"/>
        <v>Вера Егорова</v>
      </c>
      <c r="C10" s="5" t="s">
        <v>88</v>
      </c>
      <c r="D10" s="10" cm="1">
        <f t="array" ref="D10">HLOOKUP(A10,TRANSPOSE($G$6:$J$20),4,FALSE)</f>
        <v>4450</v>
      </c>
      <c r="G10" s="4" t="s">
        <v>105</v>
      </c>
      <c r="H10" s="5" t="s">
        <v>106</v>
      </c>
      <c r="I10" s="5" t="s">
        <v>107</v>
      </c>
      <c r="J10" s="11">
        <v>5100</v>
      </c>
      <c r="K10" s="4">
        <v>18</v>
      </c>
    </row>
    <row r="11" spans="1:11" x14ac:dyDescent="0.4">
      <c r="A11" s="4" t="s">
        <v>89</v>
      </c>
      <c r="B11" s="10" t="str">
        <f t="shared" si="0"/>
        <v>Тамара Галкина</v>
      </c>
      <c r="C11" s="5" t="s">
        <v>95</v>
      </c>
      <c r="D11" s="10" cm="1">
        <f t="array" ref="D11">HLOOKUP(A11,TRANSPOSE($G$6:$J$20),4,FALSE)</f>
        <v>4800</v>
      </c>
      <c r="G11" s="4" t="s">
        <v>94</v>
      </c>
      <c r="H11" s="5" t="s">
        <v>108</v>
      </c>
      <c r="I11" s="5" t="s">
        <v>109</v>
      </c>
      <c r="J11" s="11">
        <v>4300</v>
      </c>
      <c r="K11" s="4">
        <v>11</v>
      </c>
    </row>
    <row r="12" spans="1:11" x14ac:dyDescent="0.4">
      <c r="A12" s="4" t="s">
        <v>90</v>
      </c>
      <c r="B12" s="10" t="str">
        <f t="shared" si="0"/>
        <v>Олег Савин</v>
      </c>
      <c r="C12" s="5" t="s">
        <v>91</v>
      </c>
      <c r="D12" s="10" cm="1">
        <f t="array" ref="D12">HLOOKUP(A12,TRANSPOSE($G$6:$J$20),4,FALSE)</f>
        <v>4700</v>
      </c>
      <c r="G12" s="4" t="s">
        <v>87</v>
      </c>
      <c r="H12" s="5" t="s">
        <v>110</v>
      </c>
      <c r="I12" s="5" t="s">
        <v>111</v>
      </c>
      <c r="J12" s="11">
        <v>4450</v>
      </c>
      <c r="K12" s="4">
        <v>13</v>
      </c>
    </row>
    <row r="13" spans="1:11" x14ac:dyDescent="0.4">
      <c r="A13" s="4" t="s">
        <v>92</v>
      </c>
      <c r="B13" s="10" t="str">
        <f t="shared" si="0"/>
        <v>Арсений Котов</v>
      </c>
      <c r="C13" s="5" t="s">
        <v>93</v>
      </c>
      <c r="D13" s="10" cm="1">
        <f t="array" ref="D13">HLOOKUP(A13,TRANSPOSE($G$6:$J$20),4,FALSE)</f>
        <v>4350</v>
      </c>
      <c r="G13" s="4" t="s">
        <v>112</v>
      </c>
      <c r="H13" s="5" t="s">
        <v>113</v>
      </c>
      <c r="I13" s="5" t="s">
        <v>114</v>
      </c>
      <c r="J13" s="11">
        <v>4600</v>
      </c>
      <c r="K13" s="4">
        <v>20</v>
      </c>
    </row>
    <row r="14" spans="1:11" x14ac:dyDescent="0.4">
      <c r="A14" s="4" t="s">
        <v>94</v>
      </c>
      <c r="B14" s="10" t="str">
        <f t="shared" si="0"/>
        <v>Глеб Волков</v>
      </c>
      <c r="C14" s="5" t="s">
        <v>56</v>
      </c>
      <c r="D14" s="10" cm="1">
        <f t="array" ref="D14">HLOOKUP(A14,TRANSPOSE($G$6:$J$20),4,FALSE)</f>
        <v>4300</v>
      </c>
      <c r="G14" s="4" t="s">
        <v>81</v>
      </c>
      <c r="H14" s="5" t="s">
        <v>115</v>
      </c>
      <c r="I14" s="5" t="s">
        <v>116</v>
      </c>
      <c r="J14" s="11">
        <v>5200</v>
      </c>
      <c r="K14" s="4">
        <v>24</v>
      </c>
    </row>
    <row r="15" spans="1:11" x14ac:dyDescent="0.4">
      <c r="G15" s="4" t="s">
        <v>89</v>
      </c>
      <c r="H15" s="5" t="s">
        <v>117</v>
      </c>
      <c r="I15" s="5" t="s">
        <v>131</v>
      </c>
      <c r="J15" s="11">
        <v>4800</v>
      </c>
      <c r="K15" s="4">
        <v>22</v>
      </c>
    </row>
    <row r="16" spans="1:11" x14ac:dyDescent="0.4">
      <c r="G16" s="4" t="s">
        <v>118</v>
      </c>
      <c r="H16" s="5" t="s">
        <v>119</v>
      </c>
      <c r="I16" s="5" t="s">
        <v>120</v>
      </c>
      <c r="J16" s="11">
        <v>4150</v>
      </c>
      <c r="K16" s="4">
        <v>8</v>
      </c>
    </row>
    <row r="17" spans="7:11" x14ac:dyDescent="0.4">
      <c r="G17" s="4" t="s">
        <v>121</v>
      </c>
      <c r="H17" s="5" t="s">
        <v>122</v>
      </c>
      <c r="I17" s="5" t="s">
        <v>123</v>
      </c>
      <c r="J17" s="11">
        <v>4000</v>
      </c>
      <c r="K17" s="4">
        <v>10</v>
      </c>
    </row>
    <row r="18" spans="7:11" x14ac:dyDescent="0.4">
      <c r="G18" s="4" t="s">
        <v>92</v>
      </c>
      <c r="H18" s="5" t="s">
        <v>124</v>
      </c>
      <c r="I18" s="5" t="s">
        <v>188</v>
      </c>
      <c r="J18" s="11">
        <v>4350</v>
      </c>
      <c r="K18" s="4">
        <v>12</v>
      </c>
    </row>
    <row r="19" spans="7:11" x14ac:dyDescent="0.4">
      <c r="G19" s="4" t="s">
        <v>125</v>
      </c>
      <c r="H19" s="5" t="s">
        <v>126</v>
      </c>
      <c r="I19" s="5" t="s">
        <v>127</v>
      </c>
      <c r="J19" s="11">
        <v>4500</v>
      </c>
      <c r="K19" s="4">
        <v>15</v>
      </c>
    </row>
    <row r="20" spans="7:11" x14ac:dyDescent="0.4">
      <c r="G20" s="4" t="s">
        <v>85</v>
      </c>
      <c r="H20" s="5" t="s">
        <v>128</v>
      </c>
      <c r="I20" s="5" t="s">
        <v>129</v>
      </c>
      <c r="J20" s="11">
        <v>5000</v>
      </c>
      <c r="K20" s="4">
        <v>19</v>
      </c>
    </row>
  </sheetData>
  <mergeCells count="3">
    <mergeCell ref="A1:H2"/>
    <mergeCell ref="A3:H4"/>
    <mergeCell ref="G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F593-9436-EA4F-A595-5D2A6D48EF2D}">
  <dimension ref="A1:I30"/>
  <sheetViews>
    <sheetView showGridLines="0" workbookViewId="0">
      <selection activeCell="E22" sqref="E22"/>
    </sheetView>
  </sheetViews>
  <sheetFormatPr defaultColWidth="10.83203125" defaultRowHeight="15.5" x14ac:dyDescent="0.35"/>
  <cols>
    <col min="1" max="1" width="19.33203125" style="1" bestFit="1" customWidth="1"/>
    <col min="2" max="2" width="22.5" style="1" customWidth="1"/>
    <col min="3" max="3" width="18.33203125" style="1" bestFit="1" customWidth="1"/>
    <col min="4" max="4" width="23.5" style="1" customWidth="1"/>
    <col min="5" max="5" width="18.83203125" style="1" customWidth="1"/>
    <col min="6" max="16384" width="10.83203125" style="1"/>
  </cols>
  <sheetData>
    <row r="1" spans="1:9" ht="16" thickBot="1" x14ac:dyDescent="0.4">
      <c r="A1" s="15" t="s">
        <v>132</v>
      </c>
      <c r="B1" s="16"/>
      <c r="C1" s="16"/>
      <c r="D1" s="16"/>
      <c r="E1" s="16"/>
      <c r="F1" s="16"/>
      <c r="G1" s="16"/>
      <c r="H1" s="16"/>
      <c r="I1" s="17"/>
    </row>
    <row r="2" spans="1:9" ht="16" thickBot="1" x14ac:dyDescent="0.4">
      <c r="A2" s="18"/>
      <c r="B2" s="19"/>
      <c r="C2" s="19"/>
      <c r="D2" s="19"/>
      <c r="E2" s="19"/>
      <c r="F2" s="19"/>
      <c r="G2" s="19"/>
      <c r="H2" s="19"/>
      <c r="I2" s="20"/>
    </row>
    <row r="3" spans="1:9" ht="16" customHeight="1" x14ac:dyDescent="0.35">
      <c r="A3" s="21" t="s">
        <v>133</v>
      </c>
      <c r="B3" s="22"/>
      <c r="C3" s="22"/>
      <c r="D3" s="22"/>
      <c r="E3" s="22"/>
      <c r="F3" s="22"/>
      <c r="G3" s="22"/>
      <c r="H3" s="22"/>
      <c r="I3" s="22"/>
    </row>
    <row r="4" spans="1:9" x14ac:dyDescent="0.35">
      <c r="A4" s="23"/>
      <c r="B4" s="24"/>
      <c r="C4" s="24"/>
      <c r="D4" s="24"/>
      <c r="E4" s="24"/>
      <c r="F4" s="24"/>
      <c r="G4" s="24"/>
      <c r="H4" s="24"/>
      <c r="I4" s="24"/>
    </row>
    <row r="6" spans="1:9" x14ac:dyDescent="0.35">
      <c r="A6" s="6" t="s">
        <v>134</v>
      </c>
      <c r="B6" s="6" t="s">
        <v>135</v>
      </c>
      <c r="C6" s="6" t="s">
        <v>136</v>
      </c>
      <c r="D6" s="6" t="s">
        <v>137</v>
      </c>
      <c r="E6" s="6" t="s">
        <v>3</v>
      </c>
    </row>
    <row r="7" spans="1:9" x14ac:dyDescent="0.35">
      <c r="A7" s="4" t="s">
        <v>138</v>
      </c>
      <c r="B7" s="10" t="str">
        <f>INDEX($A$16:$A$30,MATCH(A7,$B$16:$B$30))</f>
        <v>Юлия Карпова</v>
      </c>
      <c r="C7" s="10" t="str">
        <f>_xlfn.XLOOKUP(A7,$B$17:$B$30,$D$17:$D$30)</f>
        <v>VIP-балкон</v>
      </c>
      <c r="D7" s="4" t="s">
        <v>139</v>
      </c>
      <c r="E7" s="10" t="str">
        <f>VLOOKUP(A7,$B$16:$D$30,2,FALSE)</f>
        <v>Север Медиа</v>
      </c>
    </row>
    <row r="8" spans="1:9" x14ac:dyDescent="0.35">
      <c r="A8" s="4" t="s">
        <v>140</v>
      </c>
      <c r="B8" s="10" t="str">
        <f t="shared" ref="B8:B13" si="0">INDEX($A$16:$A$30,MATCH(A8,$B$16:$B$30))</f>
        <v>Артур Зимин</v>
      </c>
      <c r="C8" s="10" t="str">
        <f t="shared" ref="C8:C13" si="1">_xlfn.XLOOKUP(A8,$B$17:$B$30,$D$17:$D$30)</f>
        <v>партнерский лаунж</v>
      </c>
      <c r="D8" s="4" t="s">
        <v>139</v>
      </c>
      <c r="E8" s="10" t="str">
        <f t="shared" ref="E8:E13" si="2">VLOOKUP(A8,$B$16:$D$30,2,FALSE)</f>
        <v>Канал Мост</v>
      </c>
    </row>
    <row r="9" spans="1:9" x14ac:dyDescent="0.35">
      <c r="A9" s="4" t="s">
        <v>141</v>
      </c>
      <c r="B9" s="10" t="str">
        <f t="shared" si="0"/>
        <v>Анастасия Савельева</v>
      </c>
      <c r="C9" s="10" t="str">
        <f t="shared" si="1"/>
        <v>пресс-центр</v>
      </c>
      <c r="D9" s="4" t="s">
        <v>142</v>
      </c>
      <c r="E9" s="10" t="str">
        <f t="shared" si="2"/>
        <v>Медиацентр Восток</v>
      </c>
    </row>
    <row r="10" spans="1:9" x14ac:dyDescent="0.35">
      <c r="A10" s="4" t="s">
        <v>143</v>
      </c>
      <c r="B10" s="10" t="str">
        <f t="shared" si="0"/>
        <v>Оксана Левина</v>
      </c>
      <c r="C10" s="10" t="str">
        <f t="shared" si="1"/>
        <v>VIP-балкон</v>
      </c>
      <c r="D10" s="4" t="s">
        <v>142</v>
      </c>
      <c r="E10" s="10" t="str">
        <f t="shared" si="2"/>
        <v>Команда инвестора</v>
      </c>
    </row>
    <row r="11" spans="1:9" x14ac:dyDescent="0.35">
      <c r="A11" s="4" t="s">
        <v>144</v>
      </c>
      <c r="B11" s="10" t="str">
        <f t="shared" si="0"/>
        <v>Лада Бородина</v>
      </c>
      <c r="C11" s="10" t="str">
        <f t="shared" si="1"/>
        <v>пресс-центр</v>
      </c>
      <c r="D11" s="4" t="s">
        <v>145</v>
      </c>
      <c r="E11" s="10" t="str">
        <f t="shared" si="2"/>
        <v>Бизнес Онлайн</v>
      </c>
    </row>
    <row r="12" spans="1:9" x14ac:dyDescent="0.35">
      <c r="A12" s="4" t="s">
        <v>146</v>
      </c>
      <c r="B12" s="10" t="str">
        <f t="shared" si="0"/>
        <v>Полина Ермакова</v>
      </c>
      <c r="C12" s="10" t="str">
        <f t="shared" si="1"/>
        <v>партнерский лаунж</v>
      </c>
      <c r="D12" s="4" t="s">
        <v>145</v>
      </c>
      <c r="E12" s="10" t="str">
        <f t="shared" si="2"/>
        <v>Форум TV</v>
      </c>
    </row>
    <row r="13" spans="1:9" x14ac:dyDescent="0.35">
      <c r="A13" s="4" t="s">
        <v>147</v>
      </c>
      <c r="B13" s="10" t="str">
        <f t="shared" si="0"/>
        <v>Кирилл Соков</v>
      </c>
      <c r="C13" s="10" t="str">
        <f t="shared" si="1"/>
        <v>главная сцена</v>
      </c>
      <c r="D13" s="4" t="s">
        <v>145</v>
      </c>
      <c r="E13" s="10" t="str">
        <f t="shared" si="2"/>
        <v>Сфера событий</v>
      </c>
    </row>
    <row r="14" spans="1:9" ht="16" thickBot="1" x14ac:dyDescent="0.4"/>
    <row r="15" spans="1:9" ht="16" thickBot="1" x14ac:dyDescent="0.4">
      <c r="A15" s="14" t="s">
        <v>148</v>
      </c>
    </row>
    <row r="16" spans="1:9" x14ac:dyDescent="0.35">
      <c r="A16" s="3" t="s">
        <v>135</v>
      </c>
      <c r="B16" s="3" t="s">
        <v>134</v>
      </c>
      <c r="C16" s="3" t="s">
        <v>3</v>
      </c>
      <c r="D16" s="3" t="s">
        <v>136</v>
      </c>
    </row>
    <row r="17" spans="1:4" x14ac:dyDescent="0.35">
      <c r="A17" s="5" t="s">
        <v>149</v>
      </c>
      <c r="B17" s="4" t="s">
        <v>141</v>
      </c>
      <c r="C17" s="5" t="s">
        <v>150</v>
      </c>
      <c r="D17" s="5" t="s">
        <v>151</v>
      </c>
    </row>
    <row r="18" spans="1:4" x14ac:dyDescent="0.35">
      <c r="A18" s="5" t="s">
        <v>152</v>
      </c>
      <c r="B18" s="4" t="s">
        <v>153</v>
      </c>
      <c r="C18" s="5" t="s">
        <v>154</v>
      </c>
      <c r="D18" s="5" t="s">
        <v>155</v>
      </c>
    </row>
    <row r="19" spans="1:4" x14ac:dyDescent="0.35">
      <c r="A19" s="5" t="s">
        <v>156</v>
      </c>
      <c r="B19" s="4" t="s">
        <v>146</v>
      </c>
      <c r="C19" s="5" t="s">
        <v>157</v>
      </c>
      <c r="D19" s="5" t="s">
        <v>187</v>
      </c>
    </row>
    <row r="20" spans="1:4" x14ac:dyDescent="0.35">
      <c r="A20" s="5" t="s">
        <v>158</v>
      </c>
      <c r="B20" s="4" t="s">
        <v>159</v>
      </c>
      <c r="C20" s="5" t="s">
        <v>160</v>
      </c>
      <c r="D20" s="5" t="s">
        <v>151</v>
      </c>
    </row>
    <row r="21" spans="1:4" x14ac:dyDescent="0.35">
      <c r="A21" s="5" t="s">
        <v>161</v>
      </c>
      <c r="B21" s="4" t="s">
        <v>138</v>
      </c>
      <c r="C21" s="5" t="s">
        <v>162</v>
      </c>
      <c r="D21" s="5" t="s">
        <v>163</v>
      </c>
    </row>
    <row r="22" spans="1:4" x14ac:dyDescent="0.35">
      <c r="A22" s="5" t="s">
        <v>164</v>
      </c>
      <c r="B22" s="4" t="s">
        <v>165</v>
      </c>
      <c r="C22" s="5" t="s">
        <v>166</v>
      </c>
      <c r="D22" s="5" t="s">
        <v>155</v>
      </c>
    </row>
    <row r="23" spans="1:4" x14ac:dyDescent="0.35">
      <c r="A23" s="5" t="s">
        <v>167</v>
      </c>
      <c r="B23" s="4" t="s">
        <v>168</v>
      </c>
      <c r="C23" s="5" t="s">
        <v>169</v>
      </c>
      <c r="D23" s="5" t="s">
        <v>187</v>
      </c>
    </row>
    <row r="24" spans="1:4" x14ac:dyDescent="0.35">
      <c r="A24" s="5" t="s">
        <v>170</v>
      </c>
      <c r="B24" s="4" t="s">
        <v>171</v>
      </c>
      <c r="C24" s="5" t="s">
        <v>172</v>
      </c>
      <c r="D24" s="5" t="s">
        <v>163</v>
      </c>
    </row>
    <row r="25" spans="1:4" x14ac:dyDescent="0.35">
      <c r="A25" s="5" t="s">
        <v>173</v>
      </c>
      <c r="B25" s="4" t="s">
        <v>144</v>
      </c>
      <c r="C25" s="5" t="s">
        <v>174</v>
      </c>
      <c r="D25" s="5" t="s">
        <v>151</v>
      </c>
    </row>
    <row r="26" spans="1:4" x14ac:dyDescent="0.35">
      <c r="A26" s="5" t="s">
        <v>175</v>
      </c>
      <c r="B26" s="4" t="s">
        <v>147</v>
      </c>
      <c r="C26" s="5" t="s">
        <v>176</v>
      </c>
      <c r="D26" s="5" t="s">
        <v>155</v>
      </c>
    </row>
    <row r="27" spans="1:4" x14ac:dyDescent="0.35">
      <c r="A27" s="5" t="s">
        <v>177</v>
      </c>
      <c r="B27" s="4" t="s">
        <v>178</v>
      </c>
      <c r="C27" s="5" t="s">
        <v>179</v>
      </c>
      <c r="D27" s="5" t="s">
        <v>187</v>
      </c>
    </row>
    <row r="28" spans="1:4" x14ac:dyDescent="0.35">
      <c r="A28" s="5" t="s">
        <v>180</v>
      </c>
      <c r="B28" s="4" t="s">
        <v>140</v>
      </c>
      <c r="C28" s="5" t="s">
        <v>181</v>
      </c>
      <c r="D28" s="5" t="s">
        <v>187</v>
      </c>
    </row>
    <row r="29" spans="1:4" x14ac:dyDescent="0.35">
      <c r="A29" s="5" t="s">
        <v>182</v>
      </c>
      <c r="B29" s="4" t="s">
        <v>183</v>
      </c>
      <c r="C29" s="5" t="s">
        <v>184</v>
      </c>
      <c r="D29" s="5" t="s">
        <v>151</v>
      </c>
    </row>
    <row r="30" spans="1:4" x14ac:dyDescent="0.35">
      <c r="A30" s="5" t="s">
        <v>185</v>
      </c>
      <c r="B30" s="4" t="s">
        <v>143</v>
      </c>
      <c r="C30" s="5" t="s">
        <v>186</v>
      </c>
      <c r="D30" s="5" t="s">
        <v>163</v>
      </c>
    </row>
  </sheetData>
  <mergeCells count="2">
    <mergeCell ref="A1:I2"/>
    <mergeCell ref="A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Партнеры</vt:lpstr>
      <vt:lpstr>Пакеты</vt:lpstr>
      <vt:lpstr>Допуски</vt:lpstr>
      <vt:lpstr>Пропуска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2026-03-20T18:42:56Z</dcterms:created>
  <dcterms:modified xsi:type="dcterms:W3CDTF">2026-04-20T08:08:19Z</dcterms:modified>
</cp:coreProperties>
</file>