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A4E0C087-2BEC-4F7C-8478-EEDFD22ED8D8}" xr6:coauthVersionLast="47" xr6:coauthVersionMax="47" xr10:uidLastSave="{00000000-0000-0000-0000-000000000000}"/>
  <bookViews>
    <workbookView xWindow="-110" yWindow="-110" windowWidth="29020" windowHeight="17500" xr2:uid="{2558D868-4FCB-8540-BF9C-ECDD85112425}"/>
  </bookViews>
  <sheets>
    <sheet name="ВПР,ГП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1" i="1" l="1"/>
  <c r="C106" i="1"/>
  <c r="B106" i="1"/>
  <c r="D85" i="1"/>
  <c r="C85" i="1"/>
  <c r="B85" i="1"/>
  <c r="C67" i="1"/>
  <c r="C68" i="1"/>
  <c r="C69" i="1"/>
  <c r="C70" i="1"/>
  <c r="C71" i="1"/>
  <c r="C72" i="1"/>
  <c r="B68" i="1"/>
  <c r="B69" i="1"/>
  <c r="B70" i="1"/>
  <c r="B71" i="1"/>
  <c r="B72" i="1"/>
  <c r="B67" i="1"/>
  <c r="C52" i="1"/>
  <c r="C53" i="1"/>
  <c r="C54" i="1"/>
  <c r="C55" i="1"/>
  <c r="C56" i="1"/>
  <c r="C51" i="1"/>
  <c r="B52" i="1"/>
  <c r="B53" i="1"/>
  <c r="B54" i="1"/>
  <c r="B55" i="1"/>
  <c r="B56" i="1"/>
  <c r="B51" i="1"/>
  <c r="C34" i="1"/>
  <c r="C35" i="1"/>
  <c r="C36" i="1"/>
  <c r="C37" i="1"/>
  <c r="C38" i="1"/>
  <c r="C33" i="1"/>
  <c r="B34" i="1" a="1"/>
  <c r="B34" i="1"/>
  <c r="B35" i="1" a="1"/>
  <c r="B35" i="1"/>
  <c r="B36" i="1" a="1"/>
  <c r="B36" i="1"/>
  <c r="B37" i="1" a="1"/>
  <c r="B37" i="1"/>
  <c r="B38" i="1" a="1"/>
  <c r="B38" i="1"/>
  <c r="B33" i="1" a="1"/>
  <c r="B33" i="1" s="1"/>
  <c r="C6" i="1"/>
  <c r="D6" i="1"/>
  <c r="C7" i="1"/>
  <c r="D7" i="1"/>
  <c r="C8" i="1"/>
  <c r="D8" i="1"/>
  <c r="C9" i="1"/>
  <c r="D9" i="1"/>
  <c r="C10" i="1"/>
  <c r="D10" i="1"/>
  <c r="D5" i="1"/>
  <c r="C5" i="1"/>
  <c r="B6" i="1"/>
  <c r="B7" i="1"/>
  <c r="B8" i="1"/>
  <c r="B9" i="1"/>
  <c r="B10" i="1"/>
  <c r="B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<sst xmlns="http://schemas.openxmlformats.org/spreadsheetml/2006/main" count="231" uniqueCount="167">
  <si>
    <t>Код выезда</t>
  </si>
  <si>
    <t>Клиент</t>
  </si>
  <si>
    <t>Регион</t>
  </si>
  <si>
    <t>Формат визита</t>
  </si>
  <si>
    <t>TR-106</t>
  </si>
  <si>
    <t>TR-111</t>
  </si>
  <si>
    <t>TR-104</t>
  </si>
  <si>
    <t>TR-109</t>
  </si>
  <si>
    <t>TR-102</t>
  </si>
  <si>
    <t>TR-108</t>
  </si>
  <si>
    <t>Реестр выездов</t>
  </si>
  <si>
    <t>TR-101</t>
  </si>
  <si>
    <t>МедиаСфера</t>
  </si>
  <si>
    <t>Екатеринбург</t>
  </si>
  <si>
    <t>Очный аудит</t>
  </si>
  <si>
    <t>Лига Плюс</t>
  </si>
  <si>
    <t>Самара</t>
  </si>
  <si>
    <t>Онлайн-бриф</t>
  </si>
  <si>
    <t>TR-103</t>
  </si>
  <si>
    <t>СеверСофт</t>
  </si>
  <si>
    <t>Пермь</t>
  </si>
  <si>
    <t>Очная встреча</t>
  </si>
  <si>
    <t>Альфа Принт</t>
  </si>
  <si>
    <t>Казань</t>
  </si>
  <si>
    <t>Демонстрация</t>
  </si>
  <si>
    <t>TR-105</t>
  </si>
  <si>
    <t>Гелиос</t>
  </si>
  <si>
    <t>Сочи</t>
  </si>
  <si>
    <t>Орбита</t>
  </si>
  <si>
    <t>Новосибирск</t>
  </si>
  <si>
    <t>Обучение на месте</t>
  </si>
  <si>
    <t>TR-107</t>
  </si>
  <si>
    <t>Вектор-М</t>
  </si>
  <si>
    <t>Уфа</t>
  </si>
  <si>
    <t>Диагностика</t>
  </si>
  <si>
    <t>Технопарк 24</t>
  </si>
  <si>
    <t>Воронеж</t>
  </si>
  <si>
    <t>Каскад</t>
  </si>
  <si>
    <t>Тюмень</t>
  </si>
  <si>
    <t>TR-110</t>
  </si>
  <si>
    <t>Неон</t>
  </si>
  <si>
    <t>Ижевск</t>
  </si>
  <si>
    <t>Сигнал</t>
  </si>
  <si>
    <t>Омск</t>
  </si>
  <si>
    <t>TR-112</t>
  </si>
  <si>
    <t>Атлас Лаб</t>
  </si>
  <si>
    <t>Тула</t>
  </si>
  <si>
    <t>По коду выезда с помощью функции ВПР подберите сведения о клиенте, регионе и формате визита. Заполняются только жёлтые ячейки.</t>
  </si>
  <si>
    <t>По коду станции с помощью функции ВПР найдите показатель средней влажности. Таблица показателей расположена горизонтально.</t>
  </si>
  <si>
    <t>Код станции</t>
  </si>
  <si>
    <t>Средняя влажность, %</t>
  </si>
  <si>
    <t>CL-04</t>
  </si>
  <si>
    <t>CL-01</t>
  </si>
  <si>
    <t>CL-07</t>
  </si>
  <si>
    <t>CL-03</t>
  </si>
  <si>
    <t>CL-08</t>
  </si>
  <si>
    <t>CL-02</t>
  </si>
  <si>
    <t>Паспорт станций</t>
  </si>
  <si>
    <t>CL-05</t>
  </si>
  <si>
    <t>CL-06</t>
  </si>
  <si>
    <t>Площадка</t>
  </si>
  <si>
    <t>Арктика</t>
  </si>
  <si>
    <t>Тундра</t>
  </si>
  <si>
    <t>Берег</t>
  </si>
  <si>
    <t>Плато</t>
  </si>
  <si>
    <t>Долина</t>
  </si>
  <si>
    <t>Степь</t>
  </si>
  <si>
    <t>Порт</t>
  </si>
  <si>
    <t>Лес</t>
  </si>
  <si>
    <t>Ветер, м/с</t>
  </si>
  <si>
    <t>По наименованию позиции определите категорию и суточный тариф. Используйте справочник справа.</t>
  </si>
  <si>
    <t>Позиция</t>
  </si>
  <si>
    <t>Категория</t>
  </si>
  <si>
    <t>Тариф за сутки, ₽</t>
  </si>
  <si>
    <t>Электросамокат</t>
  </si>
  <si>
    <t>Палатка 2-местная</t>
  </si>
  <si>
    <t>Рация</t>
  </si>
  <si>
    <t>Спальный мешок</t>
  </si>
  <si>
    <t>Power bank</t>
  </si>
  <si>
    <t>Проектор</t>
  </si>
  <si>
    <t>Каталог проката</t>
  </si>
  <si>
    <t>Залог, ₽</t>
  </si>
  <si>
    <t>Электроника</t>
  </si>
  <si>
    <t>Техника</t>
  </si>
  <si>
    <t>Туризм</t>
  </si>
  <si>
    <t>Набор микрофонов</t>
  </si>
  <si>
    <t>Городской транспорт</t>
  </si>
  <si>
    <t>Портативная колонка</t>
  </si>
  <si>
    <t>С помощью функции Индекс + ПОИСКПОЗ подберите по дате тему эфира и время начала. В журнале используются только указанные даты.</t>
  </si>
  <si>
    <t>Дата</t>
  </si>
  <si>
    <t>Тема эфира</t>
  </si>
  <si>
    <t>Время</t>
  </si>
  <si>
    <t>Расписание студии</t>
  </si>
  <si>
    <t>Итоги книжной ярмарки</t>
  </si>
  <si>
    <t>Разбор фотопроектов</t>
  </si>
  <si>
    <t>Карьерный трек дизайнера</t>
  </si>
  <si>
    <t>Тренды мобильной рекламы</t>
  </si>
  <si>
    <t>Городские фестивали весны</t>
  </si>
  <si>
    <t>Нейросети в образовании</t>
  </si>
  <si>
    <t>Финансовая грамотность</t>
  </si>
  <si>
    <t>Музыкальные релизы недели</t>
  </si>
  <si>
    <t>Стажировки для студентов</t>
  </si>
  <si>
    <t>Как собрать портфолио</t>
  </si>
  <si>
    <t>Средняя влажность, % (ГПР)</t>
  </si>
  <si>
    <t xml:space="preserve">С помощью функции ВПР по артикулу подберите название товара, категорию и розничную цену. Используйте выпадающий список по артикулу товара. </t>
  </si>
  <si>
    <t>Артикул</t>
  </si>
  <si>
    <t>Название товара</t>
  </si>
  <si>
    <t>Цена, ₽</t>
  </si>
  <si>
    <t>Справочник товаров</t>
  </si>
  <si>
    <t>AR-201</t>
  </si>
  <si>
    <t>Клавиатура компактная</t>
  </si>
  <si>
    <t>Периферия</t>
  </si>
  <si>
    <t>AR-202</t>
  </si>
  <si>
    <t>Мышь беспроводная</t>
  </si>
  <si>
    <t>AR-203</t>
  </si>
  <si>
    <t>Монитор 24 дюйма</t>
  </si>
  <si>
    <t>Оборудование</t>
  </si>
  <si>
    <t>AR-204</t>
  </si>
  <si>
    <t>Веб-камера HD</t>
  </si>
  <si>
    <t>AR-205</t>
  </si>
  <si>
    <t>Док-станция USB-C</t>
  </si>
  <si>
    <t>Аксессуары</t>
  </si>
  <si>
    <t>AR-206</t>
  </si>
  <si>
    <t>Кабель HDMI</t>
  </si>
  <si>
    <t>AR-207</t>
  </si>
  <si>
    <t>Гарнитура офисная</t>
  </si>
  <si>
    <t>AR-208</t>
  </si>
  <si>
    <t>Ноутбук учебный</t>
  </si>
  <si>
    <t>AR-209</t>
  </si>
  <si>
    <t>Сетевой фильтр</t>
  </si>
  <si>
    <t>AR-210</t>
  </si>
  <si>
    <t>Внешний SSD 1 ТБ</t>
  </si>
  <si>
    <t>Накопители</t>
  </si>
  <si>
    <t xml:space="preserve">По коду склада с помощью функции ГПР найдите город и срок поставки. Используйте выпадающий список по коду склада. </t>
  </si>
  <si>
    <t>Код склада</t>
  </si>
  <si>
    <t>Город</t>
  </si>
  <si>
    <t>Срок поставки, дней</t>
  </si>
  <si>
    <t>Паспорт складов</t>
  </si>
  <si>
    <t>WH-01</t>
  </si>
  <si>
    <t>WH-02</t>
  </si>
  <si>
    <t>WH-03</t>
  </si>
  <si>
    <t>WH-04</t>
  </si>
  <si>
    <t>WH-05</t>
  </si>
  <si>
    <t>WH-06</t>
  </si>
  <si>
    <t>WH-07</t>
  </si>
  <si>
    <t>WH-08</t>
  </si>
  <si>
    <t>Москва</t>
  </si>
  <si>
    <t>Ростов-на-Дону</t>
  </si>
  <si>
    <t>Владивосток</t>
  </si>
  <si>
    <t>Минимальная партия, шт.</t>
  </si>
  <si>
    <t xml:space="preserve">С помощью ИНДЕКС + ПОИСКПОЗ найдите план продаж по товару и месяцу. Используйте двумерный поиск, строка определяется товаром, столбец — месяцем. Используйте выпадающие списки с товарами и месяцами. </t>
  </si>
  <si>
    <t>Товар</t>
  </si>
  <si>
    <t>Месяц</t>
  </si>
  <si>
    <t>План продаж, шт.</t>
  </si>
  <si>
    <t>Матрица планов продаж</t>
  </si>
  <si>
    <t>Январь</t>
  </si>
  <si>
    <t>Февраль</t>
  </si>
  <si>
    <t>Март</t>
  </si>
  <si>
    <t>Апрель</t>
  </si>
  <si>
    <t>Май</t>
  </si>
  <si>
    <t>Июнь</t>
  </si>
  <si>
    <t>Смартфон</t>
  </si>
  <si>
    <t>Планшет</t>
  </si>
  <si>
    <t>Наушники</t>
  </si>
  <si>
    <t>Кофемашина</t>
  </si>
  <si>
    <t>Смарт-часы</t>
  </si>
  <si>
    <t>Роутер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</si>
</sst>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.mm\.yyyy"/>
    <numFmt numFmtId="166" formatCode="h:mm;@"/>
    <numFmt numFmtId="167" formatCode="#\ ##0\ \₽"/>
  </numFmts>
  <fonts count="10" x14ac:knownFonts="1">
    <font>
      <sz val="12"/>
      <color theme="1"/>
      <name val="Aptos Narrow"/>
      <family val="2"/>
      <charset val="204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233142"/>
      <name val="Calibri"/>
      <family val="2"/>
    </font>
    <font>
      <sz val="12"/>
      <color rgb="FF233142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  <charset val="204"/>
    </font>
    <font>
      <sz val="12"/>
      <color theme="1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2F7E79"/>
      </patternFill>
    </fill>
    <fill>
      <patternFill patternType="solid">
        <fgColor rgb="FFF6FAFD"/>
      </patternFill>
    </fill>
    <fill>
      <patternFill patternType="solid">
        <fgColor rgb="FFFFF2CC"/>
      </patternFill>
    </fill>
    <fill>
      <patternFill patternType="solid">
        <fgColor rgb="FF1F3A5F"/>
      </patternFill>
    </fill>
    <fill>
      <patternFill patternType="solid">
        <fgColor rgb="FFDDEFE7"/>
      </patternFill>
    </fill>
    <fill>
      <patternFill patternType="solid">
        <fgColor rgb="FFF7FB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5D6"/>
      </patternFill>
    </fill>
    <fill>
      <patternFill patternType="solid">
        <fgColor rgb="FFFFF9ED"/>
      </patternFill>
    </fill>
    <fill>
      <patternFill patternType="solid">
        <fgColor rgb="FFEEF1F5"/>
      </patternFill>
    </fill>
    <fill>
      <patternFill patternType="solid">
        <fgColor rgb="FFF9FBFD"/>
      </patternFill>
    </fill>
    <fill>
      <patternFill patternType="solid">
        <fgColor rgb="FFF7FAF4"/>
      </patternFill>
    </fill>
    <fill>
      <patternFill patternType="solid">
        <fgColor rgb="FFD9EAF7"/>
      </patternFill>
    </fill>
    <fill>
      <patternFill patternType="solid">
        <fgColor rgb="FFF7FAFD"/>
      </patternFill>
    </fill>
    <fill>
      <patternFill patternType="solid">
        <fgColor rgb="FFF5FBF9"/>
      </patternFill>
    </fill>
    <fill>
      <patternFill patternType="solid">
        <fgColor rgb="FFFFF8EE"/>
      </patternFill>
    </fill>
    <fill>
      <patternFill patternType="solid">
        <fgColor rgb="FFE67E22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8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medium">
        <color rgb="FF1F3A5F"/>
      </left>
      <right style="medium">
        <color rgb="FF1F3A5F"/>
      </right>
      <top style="medium">
        <color rgb="FF1F3A5F"/>
      </top>
      <bottom style="medium">
        <color rgb="FF1F3A5F"/>
      </bottom>
      <diagonal/>
    </border>
    <border>
      <left style="thin">
        <color rgb="FFB8C2CC"/>
      </left>
      <right/>
      <top style="thin">
        <color rgb="FFB8C2CC"/>
      </top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10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64" fontId="2" fillId="14" borderId="1" xfId="0" applyNumberFormat="1" applyFont="1" applyFill="1" applyBorder="1" applyAlignment="1">
      <alignment horizontal="center" vertical="center" wrapText="1"/>
    </xf>
    <xf numFmtId="165" fontId="4" fillId="18" borderId="1" xfId="0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165" fontId="2" fillId="7" borderId="3" xfId="0" applyNumberFormat="1" applyFont="1" applyFill="1" applyBorder="1" applyAlignment="1">
      <alignment horizontal="center" vertical="center" wrapText="1"/>
    </xf>
    <xf numFmtId="20" fontId="2" fillId="7" borderId="4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 wrapText="1"/>
    </xf>
    <xf numFmtId="165" fontId="2" fillId="7" borderId="5" xfId="0" applyNumberFormat="1" applyFont="1" applyFill="1" applyBorder="1" applyAlignment="1">
      <alignment horizontal="center" vertical="center" wrapText="1"/>
    </xf>
    <xf numFmtId="20" fontId="2" fillId="7" borderId="1" xfId="0" applyNumberFormat="1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left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left" vertical="center" wrapText="1"/>
    </xf>
    <xf numFmtId="0" fontId="2" fillId="17" borderId="5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166" fontId="2" fillId="8" borderId="2" xfId="0" applyNumberFormat="1" applyFont="1" applyFill="1" applyBorder="1" applyAlignment="1">
      <alignment horizontal="left" vertical="center"/>
    </xf>
    <xf numFmtId="0" fontId="9" fillId="0" borderId="0" xfId="0" applyFont="1"/>
    <xf numFmtId="0" fontId="8" fillId="20" borderId="0" xfId="0" applyFont="1" applyFill="1" applyAlignment="1">
      <alignment horizontal="center" vertical="center" wrapText="1"/>
    </xf>
    <xf numFmtId="0" fontId="9" fillId="0" borderId="6" xfId="0" applyFont="1" applyBorder="1"/>
    <xf numFmtId="0" fontId="8" fillId="21" borderId="0" xfId="0" applyFont="1" applyFill="1" applyAlignment="1">
      <alignment horizontal="center" vertical="center" wrapText="1"/>
    </xf>
    <xf numFmtId="167" fontId="8" fillId="21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67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/>
    <xf numFmtId="0" fontId="8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left" vertical="center" wrapText="1"/>
    </xf>
    <xf numFmtId="0" fontId="1" fillId="19" borderId="0" xfId="0" applyFont="1" applyFill="1" applyAlignment="1">
      <alignment horizontal="center" vertical="center"/>
    </xf>
    <xf numFmtId="0" fontId="0" fillId="19" borderId="0" xfId="0" applyFill="1"/>
    <xf numFmtId="0" fontId="8" fillId="21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/>
    <xf numFmtId="0" fontId="6" fillId="5" borderId="0" xfId="0" applyFont="1" applyFill="1" applyAlignment="1">
      <alignment horizontal="center" vertical="center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D701-5977-7C46-887F-6F7257183A20}">
  <dimension ref="A1:I132"/>
  <sheetViews>
    <sheetView showGridLines="0" tabSelected="1" topLeftCell="A106" workbookViewId="0">
      <selection activeCell="C121" sqref="C121"/>
    </sheetView>
  </sheetViews>
  <sheetFormatPr defaultColWidth="10.83203125" defaultRowHeight="15.5" x14ac:dyDescent="0.35"/>
  <cols>
    <col min="1" max="1" width="21.5" style="1" customWidth="1"/>
    <col min="2" max="2" width="22.1640625" style="1" customWidth="1"/>
    <col min="3" max="3" width="16.33203125" style="1" customWidth="1"/>
    <col min="4" max="4" width="20.33203125" style="1" customWidth="1"/>
    <col min="5" max="5" width="27.1640625" style="1" customWidth="1"/>
    <col min="6" max="6" width="19" style="1" customWidth="1"/>
    <col min="7" max="7" width="18.1640625" style="1" customWidth="1"/>
    <col min="8" max="8" width="14" style="1" customWidth="1"/>
    <col min="9" max="9" width="14.83203125" style="1" customWidth="1"/>
    <col min="10" max="10" width="16.1640625" style="1" customWidth="1"/>
    <col min="11" max="16384" width="10.83203125" style="1"/>
  </cols>
  <sheetData>
    <row r="1" spans="1:9" x14ac:dyDescent="0.35">
      <c r="A1" s="44" t="s">
        <v>47</v>
      </c>
      <c r="B1" s="44"/>
      <c r="C1" s="44"/>
      <c r="D1" s="44"/>
      <c r="E1" s="44"/>
      <c r="F1" s="44"/>
      <c r="G1" s="44"/>
      <c r="H1" s="44"/>
      <c r="I1" s="44"/>
    </row>
    <row r="2" spans="1:9" x14ac:dyDescent="0.35">
      <c r="A2" s="44"/>
      <c r="B2" s="44"/>
      <c r="C2" s="44"/>
      <c r="D2" s="44"/>
      <c r="E2" s="44"/>
      <c r="F2" s="44"/>
      <c r="G2" s="44"/>
      <c r="H2" s="44"/>
      <c r="I2" s="44"/>
    </row>
    <row r="4" spans="1:9" ht="16" thickBot="1" x14ac:dyDescent="0.4">
      <c r="A4" s="6" t="s">
        <v>0</v>
      </c>
      <c r="B4" s="6" t="s">
        <v>1</v>
      </c>
      <c r="C4" s="6" t="s">
        <v>2</v>
      </c>
      <c r="D4" s="6" t="s">
        <v>3</v>
      </c>
    </row>
    <row r="5" spans="1:9" ht="16" thickBot="1" x14ac:dyDescent="0.4">
      <c r="A5" s="7" t="s">
        <v>4</v>
      </c>
      <c r="B5" s="3" t="str">
        <f>VLOOKUP(A5,$A$14:$D$26,2,FALSE)</f>
        <v>Орбита</v>
      </c>
      <c r="C5" s="3" t="str">
        <f>VLOOKUP(A5,$A$14:$D$26,3,FALSE)</f>
        <v>Новосибирск</v>
      </c>
      <c r="D5" s="3" t="str">
        <f>VLOOKUP(A5,$A$14:$D$26,4,FALSE)</f>
        <v>Обучение на месте</v>
      </c>
    </row>
    <row r="6" spans="1:9" ht="16" thickBot="1" x14ac:dyDescent="0.4">
      <c r="A6" s="7" t="s">
        <v>5</v>
      </c>
      <c r="B6" s="3" t="str">
        <f t="shared" ref="B6:B10" si="0">VLOOKUP(A6,$A$14:$D$26,2,FALSE)</f>
        <v>Сигнал</v>
      </c>
      <c r="C6" s="3" t="str">
        <f t="shared" ref="C6:C10" si="1">VLOOKUP(A6,$A$14:$D$26,3,FALSE)</f>
        <v>Омск</v>
      </c>
      <c r="D6" s="3" t="str">
        <f t="shared" ref="D6:D10" si="2">VLOOKUP(A6,$A$14:$D$26,4,FALSE)</f>
        <v>Обучение на месте</v>
      </c>
    </row>
    <row r="7" spans="1:9" ht="16" thickBot="1" x14ac:dyDescent="0.4">
      <c r="A7" s="7" t="s">
        <v>6</v>
      </c>
      <c r="B7" s="3" t="str">
        <f t="shared" si="0"/>
        <v>Альфа Принт</v>
      </c>
      <c r="C7" s="3" t="str">
        <f t="shared" si="1"/>
        <v>Казань</v>
      </c>
      <c r="D7" s="3" t="str">
        <f t="shared" si="2"/>
        <v>Демонстрация</v>
      </c>
    </row>
    <row r="8" spans="1:9" ht="16" thickBot="1" x14ac:dyDescent="0.4">
      <c r="A8" s="7" t="s">
        <v>7</v>
      </c>
      <c r="B8" s="3" t="str">
        <f t="shared" si="0"/>
        <v>Каскад</v>
      </c>
      <c r="C8" s="3" t="str">
        <f t="shared" si="1"/>
        <v>Тюмень</v>
      </c>
      <c r="D8" s="3" t="str">
        <f t="shared" si="2"/>
        <v>Диагностика</v>
      </c>
    </row>
    <row r="9" spans="1:9" ht="16" thickBot="1" x14ac:dyDescent="0.4">
      <c r="A9" s="7" t="s">
        <v>8</v>
      </c>
      <c r="B9" s="3" t="str">
        <f t="shared" si="0"/>
        <v>Лига Плюс</v>
      </c>
      <c r="C9" s="3" t="str">
        <f t="shared" si="1"/>
        <v>Самара</v>
      </c>
      <c r="D9" s="3" t="str">
        <f t="shared" si="2"/>
        <v>Онлайн-бриф</v>
      </c>
    </row>
    <row r="10" spans="1:9" ht="16" thickBot="1" x14ac:dyDescent="0.4">
      <c r="A10" s="7" t="s">
        <v>9</v>
      </c>
      <c r="B10" s="3" t="str">
        <f t="shared" si="0"/>
        <v>Технопарк 24</v>
      </c>
      <c r="C10" s="3" t="str">
        <f t="shared" si="1"/>
        <v>Воронеж</v>
      </c>
      <c r="D10" s="3" t="str">
        <f t="shared" si="2"/>
        <v>Очная встреча</v>
      </c>
    </row>
    <row r="13" spans="1:9" x14ac:dyDescent="0.35">
      <c r="A13" s="48" t="s">
        <v>10</v>
      </c>
      <c r="B13" s="49"/>
      <c r="C13" s="49"/>
      <c r="D13" s="49"/>
    </row>
    <row r="14" spans="1:9" x14ac:dyDescent="0.35">
      <c r="A14" s="4" t="s">
        <v>0</v>
      </c>
      <c r="B14" s="4" t="s">
        <v>1</v>
      </c>
      <c r="C14" s="4" t="s">
        <v>2</v>
      </c>
      <c r="D14" s="5" t="s">
        <v>3</v>
      </c>
    </row>
    <row r="15" spans="1:9" x14ac:dyDescent="0.35">
      <c r="A15" s="16" t="s">
        <v>11</v>
      </c>
      <c r="B15" s="16" t="s">
        <v>12</v>
      </c>
      <c r="C15" s="16" t="s">
        <v>13</v>
      </c>
      <c r="D15" s="29" t="s">
        <v>14</v>
      </c>
    </row>
    <row r="16" spans="1:9" x14ac:dyDescent="0.35">
      <c r="A16" s="16" t="s">
        <v>8</v>
      </c>
      <c r="B16" s="16" t="s">
        <v>15</v>
      </c>
      <c r="C16" s="16" t="s">
        <v>16</v>
      </c>
      <c r="D16" s="29" t="s">
        <v>17</v>
      </c>
    </row>
    <row r="17" spans="1:9" x14ac:dyDescent="0.35">
      <c r="A17" s="16" t="s">
        <v>18</v>
      </c>
      <c r="B17" s="16" t="s">
        <v>19</v>
      </c>
      <c r="C17" s="16" t="s">
        <v>20</v>
      </c>
      <c r="D17" s="29" t="s">
        <v>21</v>
      </c>
    </row>
    <row r="18" spans="1:9" x14ac:dyDescent="0.35">
      <c r="A18" s="16" t="s">
        <v>6</v>
      </c>
      <c r="B18" s="16" t="s">
        <v>22</v>
      </c>
      <c r="C18" s="16" t="s">
        <v>23</v>
      </c>
      <c r="D18" s="29" t="s">
        <v>24</v>
      </c>
    </row>
    <row r="19" spans="1:9" x14ac:dyDescent="0.35">
      <c r="A19" s="16" t="s">
        <v>25</v>
      </c>
      <c r="B19" s="16" t="s">
        <v>26</v>
      </c>
      <c r="C19" s="16" t="s">
        <v>27</v>
      </c>
      <c r="D19" s="29" t="s">
        <v>17</v>
      </c>
    </row>
    <row r="20" spans="1:9" x14ac:dyDescent="0.35">
      <c r="A20" s="16" t="s">
        <v>4</v>
      </c>
      <c r="B20" s="16" t="s">
        <v>28</v>
      </c>
      <c r="C20" s="16" t="s">
        <v>29</v>
      </c>
      <c r="D20" s="29" t="s">
        <v>30</v>
      </c>
    </row>
    <row r="21" spans="1:9" x14ac:dyDescent="0.35">
      <c r="A21" s="16" t="s">
        <v>31</v>
      </c>
      <c r="B21" s="16" t="s">
        <v>32</v>
      </c>
      <c r="C21" s="16" t="s">
        <v>33</v>
      </c>
      <c r="D21" s="29" t="s">
        <v>34</v>
      </c>
    </row>
    <row r="22" spans="1:9" x14ac:dyDescent="0.35">
      <c r="A22" s="16" t="s">
        <v>9</v>
      </c>
      <c r="B22" s="16" t="s">
        <v>35</v>
      </c>
      <c r="C22" s="16" t="s">
        <v>36</v>
      </c>
      <c r="D22" s="29" t="s">
        <v>21</v>
      </c>
    </row>
    <row r="23" spans="1:9" x14ac:dyDescent="0.35">
      <c r="A23" s="16" t="s">
        <v>7</v>
      </c>
      <c r="B23" s="16" t="s">
        <v>37</v>
      </c>
      <c r="C23" s="16" t="s">
        <v>38</v>
      </c>
      <c r="D23" s="29" t="s">
        <v>34</v>
      </c>
    </row>
    <row r="24" spans="1:9" x14ac:dyDescent="0.35">
      <c r="A24" s="16" t="s">
        <v>39</v>
      </c>
      <c r="B24" s="16" t="s">
        <v>40</v>
      </c>
      <c r="C24" s="16" t="s">
        <v>41</v>
      </c>
      <c r="D24" s="29" t="s">
        <v>24</v>
      </c>
    </row>
    <row r="25" spans="1:9" x14ac:dyDescent="0.35">
      <c r="A25" s="16" t="s">
        <v>5</v>
      </c>
      <c r="B25" s="16" t="s">
        <v>42</v>
      </c>
      <c r="C25" s="16" t="s">
        <v>43</v>
      </c>
      <c r="D25" s="29" t="s">
        <v>30</v>
      </c>
    </row>
    <row r="26" spans="1:9" x14ac:dyDescent="0.35">
      <c r="A26" s="19" t="s">
        <v>44</v>
      </c>
      <c r="B26" s="19" t="s">
        <v>45</v>
      </c>
      <c r="C26" s="19" t="s">
        <v>46</v>
      </c>
      <c r="D26" s="30" t="s">
        <v>17</v>
      </c>
    </row>
    <row r="29" spans="1:9" x14ac:dyDescent="0.35">
      <c r="A29" s="44" t="s">
        <v>48</v>
      </c>
      <c r="B29" s="44"/>
      <c r="C29" s="44"/>
      <c r="D29" s="44"/>
      <c r="E29" s="44"/>
      <c r="F29" s="44"/>
      <c r="G29" s="44"/>
      <c r="H29" s="44"/>
      <c r="I29" s="44"/>
    </row>
    <row r="30" spans="1:9" x14ac:dyDescent="0.35">
      <c r="A30" s="44"/>
      <c r="B30" s="44"/>
      <c r="C30" s="44"/>
      <c r="D30" s="44"/>
      <c r="E30" s="44"/>
      <c r="F30" s="44"/>
      <c r="G30" s="44"/>
      <c r="H30" s="44"/>
      <c r="I30" s="44"/>
    </row>
    <row r="32" spans="1:9" ht="47" thickBot="1" x14ac:dyDescent="0.4">
      <c r="A32" s="2" t="s">
        <v>49</v>
      </c>
      <c r="B32" s="2" t="s">
        <v>50</v>
      </c>
      <c r="C32" s="2" t="s">
        <v>103</v>
      </c>
    </row>
    <row r="33" spans="1:9" ht="16" thickBot="1" x14ac:dyDescent="0.4">
      <c r="A33" s="28" t="s">
        <v>51</v>
      </c>
      <c r="B33" s="8" cm="1">
        <f t="array" ref="B33">VLOOKUP(A33,TRANSPOSE($A$41:$I$44),3,FALSE)</f>
        <v>84</v>
      </c>
      <c r="C33" s="8">
        <f>HLOOKUP(A33,$A$41:$I$44,3,FALSE)</f>
        <v>84</v>
      </c>
    </row>
    <row r="34" spans="1:9" ht="16" thickBot="1" x14ac:dyDescent="0.4">
      <c r="A34" s="28" t="s">
        <v>52</v>
      </c>
      <c r="B34" s="8" cm="1">
        <f t="array" ref="B34">VLOOKUP(A34,TRANSPOSE($A$41:$I$44),3,FALSE)</f>
        <v>78</v>
      </c>
      <c r="C34" s="8">
        <f t="shared" ref="C34:C38" si="3">HLOOKUP(A34,$A$41:$I$44,3,FALSE)</f>
        <v>78</v>
      </c>
    </row>
    <row r="35" spans="1:9" ht="16" thickBot="1" x14ac:dyDescent="0.4">
      <c r="A35" s="28" t="s">
        <v>53</v>
      </c>
      <c r="B35" s="8" cm="1">
        <f t="array" ref="B35">VLOOKUP(A35,TRANSPOSE($A$41:$I$44),3,FALSE)</f>
        <v>73</v>
      </c>
      <c r="C35" s="8">
        <f t="shared" si="3"/>
        <v>73</v>
      </c>
    </row>
    <row r="36" spans="1:9" ht="16" thickBot="1" x14ac:dyDescent="0.4">
      <c r="A36" s="28" t="s">
        <v>54</v>
      </c>
      <c r="B36" s="8" cm="1">
        <f t="array" ref="B36">VLOOKUP(A36,TRANSPOSE($A$41:$I$44),3,FALSE)</f>
        <v>71</v>
      </c>
      <c r="C36" s="8">
        <f t="shared" si="3"/>
        <v>71</v>
      </c>
    </row>
    <row r="37" spans="1:9" ht="16" thickBot="1" x14ac:dyDescent="0.4">
      <c r="A37" s="28" t="s">
        <v>55</v>
      </c>
      <c r="B37" s="8" cm="1">
        <f t="array" ref="B37">VLOOKUP(A37,TRANSPOSE($A$41:$I$44),3,FALSE)</f>
        <v>69</v>
      </c>
      <c r="C37" s="8">
        <f t="shared" si="3"/>
        <v>69</v>
      </c>
    </row>
    <row r="38" spans="1:9" ht="16" thickBot="1" x14ac:dyDescent="0.4">
      <c r="A38" s="28" t="s">
        <v>56</v>
      </c>
      <c r="B38" s="8" cm="1">
        <f t="array" ref="B38">VLOOKUP(A38,TRANSPOSE($A$41:$I$44),3,FALSE)</f>
        <v>65</v>
      </c>
      <c r="C38" s="8">
        <f t="shared" si="3"/>
        <v>65</v>
      </c>
    </row>
    <row r="40" spans="1:9" x14ac:dyDescent="0.35">
      <c r="B40" s="50" t="s">
        <v>57</v>
      </c>
      <c r="C40" s="51"/>
      <c r="D40" s="51"/>
      <c r="E40" s="51"/>
      <c r="F40" s="51"/>
      <c r="G40" s="51"/>
      <c r="H40" s="51"/>
      <c r="I40" s="51"/>
    </row>
    <row r="41" spans="1:9" x14ac:dyDescent="0.35">
      <c r="A41" s="11" t="s">
        <v>49</v>
      </c>
      <c r="B41" s="12" t="s">
        <v>52</v>
      </c>
      <c r="C41" s="12" t="s">
        <v>56</v>
      </c>
      <c r="D41" s="12" t="s">
        <v>54</v>
      </c>
      <c r="E41" s="12" t="s">
        <v>51</v>
      </c>
      <c r="F41" s="12" t="s">
        <v>58</v>
      </c>
      <c r="G41" s="12" t="s">
        <v>59</v>
      </c>
      <c r="H41" s="12" t="s">
        <v>53</v>
      </c>
      <c r="I41" s="12" t="s">
        <v>55</v>
      </c>
    </row>
    <row r="42" spans="1:9" x14ac:dyDescent="0.35">
      <c r="A42" s="11" t="s">
        <v>60</v>
      </c>
      <c r="B42" s="12" t="s">
        <v>61</v>
      </c>
      <c r="C42" s="12" t="s">
        <v>62</v>
      </c>
      <c r="D42" s="12" t="s">
        <v>63</v>
      </c>
      <c r="E42" s="12" t="s">
        <v>64</v>
      </c>
      <c r="F42" s="12" t="s">
        <v>65</v>
      </c>
      <c r="G42" s="12" t="s">
        <v>66</v>
      </c>
      <c r="H42" s="12" t="s">
        <v>67</v>
      </c>
      <c r="I42" s="12" t="s">
        <v>68</v>
      </c>
    </row>
    <row r="43" spans="1:9" x14ac:dyDescent="0.35">
      <c r="A43" s="11" t="s">
        <v>50</v>
      </c>
      <c r="B43" s="13">
        <v>78</v>
      </c>
      <c r="C43" s="13">
        <v>65</v>
      </c>
      <c r="D43" s="13">
        <v>71</v>
      </c>
      <c r="E43" s="13">
        <v>84</v>
      </c>
      <c r="F43" s="13">
        <v>60</v>
      </c>
      <c r="G43" s="13">
        <v>67</v>
      </c>
      <c r="H43" s="13">
        <v>73</v>
      </c>
      <c r="I43" s="13">
        <v>69</v>
      </c>
    </row>
    <row r="44" spans="1:9" x14ac:dyDescent="0.35">
      <c r="A44" s="11" t="s">
        <v>69</v>
      </c>
      <c r="B44" s="14">
        <v>5.0999999999999996</v>
      </c>
      <c r="C44" s="14">
        <v>3.4</v>
      </c>
      <c r="D44" s="14">
        <v>4.2</v>
      </c>
      <c r="E44" s="14">
        <v>6</v>
      </c>
      <c r="F44" s="14">
        <v>2.9</v>
      </c>
      <c r="G44" s="14">
        <v>3.8</v>
      </c>
      <c r="H44" s="14">
        <v>4.7</v>
      </c>
      <c r="I44" s="14">
        <v>3.1</v>
      </c>
    </row>
    <row r="47" spans="1:9" x14ac:dyDescent="0.35">
      <c r="A47" s="44" t="s">
        <v>70</v>
      </c>
      <c r="B47" s="44"/>
      <c r="C47" s="44"/>
      <c r="D47" s="44"/>
      <c r="E47" s="44"/>
      <c r="F47" s="44"/>
      <c r="G47" s="44"/>
      <c r="H47" s="44"/>
      <c r="I47" s="44"/>
    </row>
    <row r="48" spans="1:9" x14ac:dyDescent="0.35">
      <c r="A48" s="44"/>
      <c r="B48" s="44"/>
      <c r="C48" s="44"/>
      <c r="D48" s="44"/>
      <c r="E48" s="44"/>
      <c r="F48" s="44"/>
      <c r="G48" s="44"/>
      <c r="H48" s="44"/>
      <c r="I48" s="44"/>
    </row>
    <row r="50" spans="1:9" ht="16.5" thickBot="1" x14ac:dyDescent="0.45">
      <c r="A50" s="9" t="s">
        <v>71</v>
      </c>
      <c r="B50" s="9" t="s">
        <v>72</v>
      </c>
      <c r="C50" s="9" t="s">
        <v>73</v>
      </c>
      <c r="E50" s="42" t="s">
        <v>80</v>
      </c>
      <c r="F50" s="43"/>
      <c r="G50" s="43"/>
      <c r="H50" s="43"/>
    </row>
    <row r="51" spans="1:9" ht="16" thickBot="1" x14ac:dyDescent="0.4">
      <c r="A51" s="10" t="s">
        <v>74</v>
      </c>
      <c r="B51" s="8" t="str">
        <f>VLOOKUP(A51,$E$51:$H$59,2,FALSE)</f>
        <v>Городской транспорт</v>
      </c>
      <c r="C51" s="8">
        <f>VLOOKUP(A51,$E$51:$H$59,3,FALSE)</f>
        <v>1500</v>
      </c>
      <c r="E51" s="4" t="s">
        <v>71</v>
      </c>
      <c r="F51" s="4" t="s">
        <v>72</v>
      </c>
      <c r="G51" s="4" t="s">
        <v>73</v>
      </c>
      <c r="H51" s="5" t="s">
        <v>81</v>
      </c>
    </row>
    <row r="52" spans="1:9" ht="16" thickBot="1" x14ac:dyDescent="0.4">
      <c r="A52" s="10" t="s">
        <v>75</v>
      </c>
      <c r="B52" s="8" t="str">
        <f t="shared" ref="B52:B56" si="4">VLOOKUP(A52,$E$51:$H$59,2,FALSE)</f>
        <v>Туризм</v>
      </c>
      <c r="C52" s="8">
        <f t="shared" ref="C52:C56" si="5">VLOOKUP(A52,$E$51:$H$59,3,FALSE)</f>
        <v>900</v>
      </c>
      <c r="E52" s="22" t="s">
        <v>76</v>
      </c>
      <c r="F52" s="22" t="s">
        <v>82</v>
      </c>
      <c r="G52" s="23">
        <v>450</v>
      </c>
      <c r="H52" s="24">
        <v>2000</v>
      </c>
    </row>
    <row r="53" spans="1:9" ht="16" thickBot="1" x14ac:dyDescent="0.4">
      <c r="A53" s="10" t="s">
        <v>76</v>
      </c>
      <c r="B53" s="8" t="str">
        <f t="shared" si="4"/>
        <v>Электроника</v>
      </c>
      <c r="C53" s="8">
        <f t="shared" si="5"/>
        <v>450</v>
      </c>
      <c r="E53" s="22" t="s">
        <v>79</v>
      </c>
      <c r="F53" s="22" t="s">
        <v>83</v>
      </c>
      <c r="G53" s="23">
        <v>1200</v>
      </c>
      <c r="H53" s="24">
        <v>5000</v>
      </c>
    </row>
    <row r="54" spans="1:9" ht="16" thickBot="1" x14ac:dyDescent="0.4">
      <c r="A54" s="10" t="s">
        <v>77</v>
      </c>
      <c r="B54" s="8" t="str">
        <f t="shared" si="4"/>
        <v>Туризм</v>
      </c>
      <c r="C54" s="8">
        <f t="shared" si="5"/>
        <v>380</v>
      </c>
      <c r="E54" s="22" t="s">
        <v>77</v>
      </c>
      <c r="F54" s="22" t="s">
        <v>84</v>
      </c>
      <c r="G54" s="23">
        <v>380</v>
      </c>
      <c r="H54" s="24">
        <v>1500</v>
      </c>
    </row>
    <row r="55" spans="1:9" ht="16" thickBot="1" x14ac:dyDescent="0.4">
      <c r="A55" s="10" t="s">
        <v>78</v>
      </c>
      <c r="B55" s="8" t="str">
        <f t="shared" si="4"/>
        <v>Электроника</v>
      </c>
      <c r="C55" s="8">
        <f t="shared" si="5"/>
        <v>250</v>
      </c>
      <c r="E55" s="22" t="s">
        <v>75</v>
      </c>
      <c r="F55" s="22" t="s">
        <v>84</v>
      </c>
      <c r="G55" s="23">
        <v>900</v>
      </c>
      <c r="H55" s="24">
        <v>3500</v>
      </c>
    </row>
    <row r="56" spans="1:9" ht="16" thickBot="1" x14ac:dyDescent="0.4">
      <c r="A56" s="10" t="s">
        <v>79</v>
      </c>
      <c r="B56" s="8" t="str">
        <f t="shared" si="4"/>
        <v>Техника</v>
      </c>
      <c r="C56" s="8">
        <f t="shared" si="5"/>
        <v>1200</v>
      </c>
      <c r="E56" s="22" t="s">
        <v>85</v>
      </c>
      <c r="F56" s="22" t="s">
        <v>83</v>
      </c>
      <c r="G56" s="23">
        <v>1600</v>
      </c>
      <c r="H56" s="24">
        <v>7000</v>
      </c>
    </row>
    <row r="57" spans="1:9" ht="17" customHeight="1" x14ac:dyDescent="0.35">
      <c r="E57" s="22" t="s">
        <v>74</v>
      </c>
      <c r="F57" s="22" t="s">
        <v>86</v>
      </c>
      <c r="G57" s="23">
        <v>1500</v>
      </c>
      <c r="H57" s="24">
        <v>6000</v>
      </c>
    </row>
    <row r="58" spans="1:9" x14ac:dyDescent="0.35">
      <c r="E58" s="22" t="s">
        <v>78</v>
      </c>
      <c r="F58" s="22" t="s">
        <v>82</v>
      </c>
      <c r="G58" s="23">
        <v>250</v>
      </c>
      <c r="H58" s="24">
        <v>1000</v>
      </c>
    </row>
    <row r="59" spans="1:9" x14ac:dyDescent="0.35">
      <c r="E59" s="25" t="s">
        <v>87</v>
      </c>
      <c r="F59" s="25" t="s">
        <v>82</v>
      </c>
      <c r="G59" s="26">
        <v>520</v>
      </c>
      <c r="H59" s="27">
        <v>1800</v>
      </c>
    </row>
    <row r="63" spans="1:9" x14ac:dyDescent="0.35">
      <c r="A63" s="44" t="s">
        <v>88</v>
      </c>
      <c r="B63" s="44"/>
      <c r="C63" s="44"/>
      <c r="D63" s="44"/>
      <c r="E63" s="44"/>
      <c r="F63" s="44"/>
      <c r="G63" s="44"/>
      <c r="H63" s="44"/>
      <c r="I63" s="44"/>
    </row>
    <row r="64" spans="1:9" x14ac:dyDescent="0.35">
      <c r="A64" s="44"/>
      <c r="B64" s="44"/>
      <c r="C64" s="44"/>
      <c r="D64" s="44"/>
      <c r="E64" s="44"/>
      <c r="F64" s="44"/>
      <c r="G64" s="44"/>
      <c r="H64" s="44"/>
      <c r="I64" s="44"/>
    </row>
    <row r="66" spans="1:7" ht="16.5" thickBot="1" x14ac:dyDescent="0.45">
      <c r="A66" s="2" t="s">
        <v>89</v>
      </c>
      <c r="B66" s="2" t="s">
        <v>90</v>
      </c>
      <c r="C66" s="2" t="s">
        <v>91</v>
      </c>
      <c r="E66" s="45" t="s">
        <v>92</v>
      </c>
      <c r="F66" s="46"/>
      <c r="G66" s="46"/>
    </row>
    <row r="67" spans="1:7" ht="16" thickBot="1" x14ac:dyDescent="0.4">
      <c r="A67" s="15">
        <v>46085</v>
      </c>
      <c r="B67" s="8" t="str">
        <f>INDEX($E$67:$E$77,MATCH(A67,$F$67:$F$77))</f>
        <v>Тренды мобильной рекламы</v>
      </c>
      <c r="C67" s="31">
        <f>INDEX($G$67:$G$77,MATCH(A67,$F$67:$F$77))</f>
        <v>0.47916666666666669</v>
      </c>
      <c r="E67" s="4" t="s">
        <v>90</v>
      </c>
      <c r="F67" s="4" t="s">
        <v>89</v>
      </c>
      <c r="G67" s="5" t="s">
        <v>91</v>
      </c>
    </row>
    <row r="68" spans="1:7" ht="16" thickBot="1" x14ac:dyDescent="0.4">
      <c r="A68" s="15">
        <v>46089</v>
      </c>
      <c r="B68" s="8" t="str">
        <f t="shared" ref="B68:B72" si="6">INDEX($E$67:$E$77,MATCH(A68,$F$67:$F$77))</f>
        <v>Музыкальные релизы недели</v>
      </c>
      <c r="C68" s="31">
        <f t="shared" ref="C68:C72" si="7">INDEX($G$67:$G$77,MATCH(A68,$F$67:$F$77))</f>
        <v>0.64583333333333337</v>
      </c>
      <c r="E68" s="16" t="s">
        <v>93</v>
      </c>
      <c r="F68" s="17">
        <v>46082</v>
      </c>
      <c r="G68" s="18">
        <v>0.4375</v>
      </c>
    </row>
    <row r="69" spans="1:7" ht="16" thickBot="1" x14ac:dyDescent="0.4">
      <c r="A69" s="15">
        <v>46083</v>
      </c>
      <c r="B69" s="8" t="str">
        <f t="shared" si="6"/>
        <v>Разбор фотопроектов</v>
      </c>
      <c r="C69" s="31">
        <f t="shared" si="7"/>
        <v>0.54166666666666663</v>
      </c>
      <c r="E69" s="16" t="s">
        <v>94</v>
      </c>
      <c r="F69" s="17">
        <v>46083</v>
      </c>
      <c r="G69" s="18">
        <v>0.54166666666666663</v>
      </c>
    </row>
    <row r="70" spans="1:7" ht="16" thickBot="1" x14ac:dyDescent="0.4">
      <c r="A70" s="15">
        <v>46091</v>
      </c>
      <c r="B70" s="8" t="str">
        <f t="shared" si="6"/>
        <v>Как собрать портфолио</v>
      </c>
      <c r="C70" s="31">
        <f t="shared" si="7"/>
        <v>0.60416666666666663</v>
      </c>
      <c r="E70" s="16" t="s">
        <v>95</v>
      </c>
      <c r="F70" s="17">
        <v>46084</v>
      </c>
      <c r="G70" s="18">
        <v>0.75</v>
      </c>
    </row>
    <row r="71" spans="1:7" ht="16" thickBot="1" x14ac:dyDescent="0.4">
      <c r="A71" s="15">
        <v>46087</v>
      </c>
      <c r="B71" s="8" t="str">
        <f t="shared" si="6"/>
        <v>Нейросети в образовании</v>
      </c>
      <c r="C71" s="31">
        <f t="shared" si="7"/>
        <v>0.79166666666666663</v>
      </c>
      <c r="E71" s="16" t="s">
        <v>96</v>
      </c>
      <c r="F71" s="17">
        <v>46085</v>
      </c>
      <c r="G71" s="18">
        <v>0.47916666666666669</v>
      </c>
    </row>
    <row r="72" spans="1:7" ht="16" thickBot="1" x14ac:dyDescent="0.4">
      <c r="A72" s="15">
        <v>46082</v>
      </c>
      <c r="B72" s="8" t="str">
        <f t="shared" si="6"/>
        <v>Итоги книжной ярмарки</v>
      </c>
      <c r="C72" s="31">
        <f t="shared" si="7"/>
        <v>0.4375</v>
      </c>
      <c r="E72" s="16" t="s">
        <v>97</v>
      </c>
      <c r="F72" s="17">
        <v>46086</v>
      </c>
      <c r="G72" s="18">
        <v>0.66666666666666663</v>
      </c>
    </row>
    <row r="73" spans="1:7" x14ac:dyDescent="0.35">
      <c r="E73" s="16" t="s">
        <v>98</v>
      </c>
      <c r="F73" s="17">
        <v>46087</v>
      </c>
      <c r="G73" s="18">
        <v>0.79166666666666663</v>
      </c>
    </row>
    <row r="74" spans="1:7" x14ac:dyDescent="0.35">
      <c r="E74" s="16" t="s">
        <v>99</v>
      </c>
      <c r="F74" s="17">
        <v>46088</v>
      </c>
      <c r="G74" s="18">
        <v>0.5</v>
      </c>
    </row>
    <row r="75" spans="1:7" x14ac:dyDescent="0.35">
      <c r="E75" s="16" t="s">
        <v>100</v>
      </c>
      <c r="F75" s="17">
        <v>46089</v>
      </c>
      <c r="G75" s="18">
        <v>0.64583333333333337</v>
      </c>
    </row>
    <row r="76" spans="1:7" x14ac:dyDescent="0.35">
      <c r="E76" s="16" t="s">
        <v>101</v>
      </c>
      <c r="F76" s="17">
        <v>46090</v>
      </c>
      <c r="G76" s="18">
        <v>0.70833333333333337</v>
      </c>
    </row>
    <row r="77" spans="1:7" x14ac:dyDescent="0.35">
      <c r="E77" s="19" t="s">
        <v>102</v>
      </c>
      <c r="F77" s="20">
        <v>46091</v>
      </c>
      <c r="G77" s="21">
        <v>0.60416666666666663</v>
      </c>
    </row>
    <row r="81" spans="1:9" x14ac:dyDescent="0.35">
      <c r="A81" s="41" t="s">
        <v>104</v>
      </c>
      <c r="B81" s="41"/>
      <c r="C81" s="41"/>
      <c r="D81" s="41"/>
      <c r="E81" s="41"/>
      <c r="F81" s="41"/>
      <c r="G81" s="41"/>
      <c r="H81" s="41"/>
      <c r="I81" s="41"/>
    </row>
    <row r="82" spans="1:9" x14ac:dyDescent="0.35">
      <c r="A82" s="41"/>
      <c r="B82" s="41"/>
      <c r="C82" s="41"/>
      <c r="D82" s="41"/>
      <c r="E82" s="41"/>
      <c r="F82" s="41"/>
      <c r="G82" s="41"/>
      <c r="H82" s="41"/>
      <c r="I82" s="41"/>
    </row>
    <row r="83" spans="1:9" x14ac:dyDescent="0.35">
      <c r="A83" s="32"/>
      <c r="B83" s="32"/>
      <c r="C83" s="32"/>
      <c r="D83" s="32"/>
      <c r="E83" s="32"/>
      <c r="F83" s="32"/>
      <c r="G83" s="32"/>
      <c r="H83" s="32"/>
      <c r="I83" s="32"/>
    </row>
    <row r="84" spans="1:9" ht="16" thickBot="1" x14ac:dyDescent="0.4">
      <c r="A84" s="33" t="s">
        <v>105</v>
      </c>
      <c r="B84" s="33" t="s">
        <v>106</v>
      </c>
      <c r="C84" s="33" t="s">
        <v>72</v>
      </c>
      <c r="D84" s="33" t="s">
        <v>107</v>
      </c>
      <c r="E84" s="32"/>
      <c r="F84" s="32"/>
      <c r="G84" s="32"/>
      <c r="H84" s="32"/>
      <c r="I84" s="32"/>
    </row>
    <row r="85" spans="1:9" ht="16" thickBot="1" x14ac:dyDescent="0.4">
      <c r="A85" s="34" t="s">
        <v>122</v>
      </c>
      <c r="B85" s="32" t="str">
        <f>VLOOKUP(A85,A89:D99,2,FALSE)</f>
        <v>Кабель HDMI</v>
      </c>
      <c r="C85" s="32" t="str">
        <f>VLOOKUP(A85,A89:D99,3,FALSE)</f>
        <v>Аксессуары</v>
      </c>
      <c r="D85" s="38">
        <f>VLOOKUP(A85,A89:D99,4,FALSE)</f>
        <v>550</v>
      </c>
      <c r="E85" s="32"/>
      <c r="F85" s="32"/>
      <c r="G85" s="32"/>
      <c r="H85" s="32"/>
      <c r="I85" s="32"/>
    </row>
    <row r="86" spans="1:9" x14ac:dyDescent="0.35">
      <c r="A86" s="32"/>
      <c r="B86" s="32"/>
      <c r="C86" s="32"/>
      <c r="D86" s="32"/>
      <c r="E86" s="32"/>
      <c r="F86" s="32"/>
      <c r="G86" s="32"/>
      <c r="H86" s="32"/>
      <c r="I86" s="32"/>
    </row>
    <row r="87" spans="1:9" x14ac:dyDescent="0.35">
      <c r="A87" s="32"/>
      <c r="B87" s="32"/>
      <c r="C87" s="32"/>
      <c r="D87" s="32"/>
      <c r="E87" s="32"/>
      <c r="F87" s="32"/>
      <c r="G87" s="32"/>
      <c r="H87" s="32"/>
      <c r="I87" s="32"/>
    </row>
    <row r="88" spans="1:9" x14ac:dyDescent="0.35">
      <c r="A88" s="47" t="s">
        <v>108</v>
      </c>
      <c r="B88" s="47"/>
      <c r="C88" s="47"/>
      <c r="D88" s="47"/>
      <c r="E88" s="32"/>
      <c r="F88" s="32"/>
      <c r="G88" s="32"/>
      <c r="H88" s="32"/>
      <c r="I88" s="32"/>
    </row>
    <row r="89" spans="1:9" x14ac:dyDescent="0.35">
      <c r="A89" s="35" t="s">
        <v>105</v>
      </c>
      <c r="B89" s="35" t="s">
        <v>106</v>
      </c>
      <c r="C89" s="35" t="s">
        <v>72</v>
      </c>
      <c r="D89" s="36" t="s">
        <v>107</v>
      </c>
      <c r="E89" s="32"/>
      <c r="F89" s="32"/>
      <c r="G89" s="32"/>
      <c r="H89" s="32"/>
      <c r="I89" s="32"/>
    </row>
    <row r="90" spans="1:9" x14ac:dyDescent="0.35">
      <c r="A90" s="37" t="s">
        <v>109</v>
      </c>
      <c r="B90" s="37" t="s">
        <v>110</v>
      </c>
      <c r="C90" s="37" t="s">
        <v>111</v>
      </c>
      <c r="D90" s="38">
        <v>1450</v>
      </c>
      <c r="E90" s="32"/>
      <c r="F90" s="32"/>
      <c r="G90" s="32"/>
      <c r="H90" s="32"/>
      <c r="I90" s="32"/>
    </row>
    <row r="91" spans="1:9" x14ac:dyDescent="0.35">
      <c r="A91" s="37" t="s">
        <v>112</v>
      </c>
      <c r="B91" s="37" t="s">
        <v>113</v>
      </c>
      <c r="C91" s="37" t="s">
        <v>111</v>
      </c>
      <c r="D91" s="38">
        <v>890</v>
      </c>
      <c r="E91" s="32"/>
      <c r="F91" s="32"/>
      <c r="G91" s="32"/>
      <c r="H91" s="32"/>
      <c r="I91" s="32"/>
    </row>
    <row r="92" spans="1:9" x14ac:dyDescent="0.35">
      <c r="A92" s="37" t="s">
        <v>114</v>
      </c>
      <c r="B92" s="37" t="s">
        <v>115</v>
      </c>
      <c r="C92" s="37" t="s">
        <v>116</v>
      </c>
      <c r="D92" s="38">
        <v>13900</v>
      </c>
      <c r="E92" s="32"/>
      <c r="F92" s="32"/>
      <c r="G92" s="32"/>
      <c r="H92" s="32"/>
      <c r="I92" s="32"/>
    </row>
    <row r="93" spans="1:9" x14ac:dyDescent="0.35">
      <c r="A93" s="37" t="s">
        <v>117</v>
      </c>
      <c r="B93" s="37" t="s">
        <v>118</v>
      </c>
      <c r="C93" s="37" t="s">
        <v>111</v>
      </c>
      <c r="D93" s="38">
        <v>3200</v>
      </c>
      <c r="E93" s="32"/>
      <c r="F93" s="32"/>
      <c r="G93" s="32"/>
      <c r="H93" s="32"/>
      <c r="I93" s="32"/>
    </row>
    <row r="94" spans="1:9" x14ac:dyDescent="0.35">
      <c r="A94" s="37" t="s">
        <v>119</v>
      </c>
      <c r="B94" s="37" t="s">
        <v>120</v>
      </c>
      <c r="C94" s="37" t="s">
        <v>121</v>
      </c>
      <c r="D94" s="38">
        <v>6700</v>
      </c>
      <c r="E94" s="32"/>
      <c r="F94" s="32"/>
      <c r="G94" s="32"/>
      <c r="H94" s="32"/>
      <c r="I94" s="32"/>
    </row>
    <row r="95" spans="1:9" x14ac:dyDescent="0.35">
      <c r="A95" s="37" t="s">
        <v>122</v>
      </c>
      <c r="B95" s="37" t="s">
        <v>123</v>
      </c>
      <c r="C95" s="37" t="s">
        <v>121</v>
      </c>
      <c r="D95" s="38">
        <v>550</v>
      </c>
      <c r="E95" s="32"/>
      <c r="F95" s="32"/>
      <c r="G95" s="32"/>
      <c r="H95" s="32"/>
      <c r="I95" s="32"/>
    </row>
    <row r="96" spans="1:9" x14ac:dyDescent="0.35">
      <c r="A96" s="37" t="s">
        <v>124</v>
      </c>
      <c r="B96" s="37" t="s">
        <v>125</v>
      </c>
      <c r="C96" s="37" t="s">
        <v>111</v>
      </c>
      <c r="D96" s="38">
        <v>2100</v>
      </c>
      <c r="E96" s="32"/>
      <c r="F96" s="32"/>
      <c r="G96" s="32"/>
      <c r="H96" s="32"/>
      <c r="I96" s="32"/>
    </row>
    <row r="97" spans="1:9" x14ac:dyDescent="0.35">
      <c r="A97" s="37" t="s">
        <v>126</v>
      </c>
      <c r="B97" s="37" t="s">
        <v>127</v>
      </c>
      <c r="C97" s="37" t="s">
        <v>116</v>
      </c>
      <c r="D97" s="38">
        <v>54900</v>
      </c>
      <c r="E97" s="32"/>
      <c r="F97" s="32"/>
      <c r="G97" s="32"/>
      <c r="H97" s="32"/>
      <c r="I97" s="32"/>
    </row>
    <row r="98" spans="1:9" x14ac:dyDescent="0.35">
      <c r="A98" s="37" t="s">
        <v>128</v>
      </c>
      <c r="B98" s="37" t="s">
        <v>129</v>
      </c>
      <c r="C98" s="37" t="s">
        <v>121</v>
      </c>
      <c r="D98" s="38">
        <v>760</v>
      </c>
      <c r="E98" s="32"/>
      <c r="F98" s="32"/>
      <c r="G98" s="32"/>
      <c r="H98" s="32"/>
      <c r="I98" s="32"/>
    </row>
    <row r="99" spans="1:9" x14ac:dyDescent="0.35">
      <c r="A99" s="37" t="s">
        <v>130</v>
      </c>
      <c r="B99" s="37" t="s">
        <v>131</v>
      </c>
      <c r="C99" s="37" t="s">
        <v>132</v>
      </c>
      <c r="D99" s="38">
        <v>8200</v>
      </c>
      <c r="E99" s="32"/>
      <c r="F99" s="32"/>
      <c r="G99" s="32"/>
      <c r="H99" s="32"/>
      <c r="I99" s="32"/>
    </row>
    <row r="100" spans="1:9" x14ac:dyDescent="0.35">
      <c r="A100" s="32"/>
      <c r="B100" s="32"/>
      <c r="C100" s="32"/>
      <c r="D100" s="32"/>
      <c r="E100" s="32"/>
      <c r="F100" s="32"/>
      <c r="G100" s="32"/>
      <c r="H100" s="32"/>
      <c r="I100" s="32"/>
    </row>
    <row r="101" spans="1:9" x14ac:dyDescent="0.35">
      <c r="A101" s="32"/>
      <c r="B101" s="32"/>
      <c r="C101" s="32"/>
      <c r="D101" s="32"/>
      <c r="E101" s="32"/>
      <c r="F101" s="32"/>
      <c r="G101" s="32"/>
      <c r="H101" s="32"/>
      <c r="I101" s="32"/>
    </row>
    <row r="102" spans="1:9" x14ac:dyDescent="0.35">
      <c r="A102" s="41" t="s">
        <v>133</v>
      </c>
      <c r="B102" s="41"/>
      <c r="C102" s="41"/>
      <c r="D102" s="41"/>
      <c r="E102" s="41"/>
      <c r="F102" s="41"/>
      <c r="G102" s="41"/>
      <c r="H102" s="41"/>
      <c r="I102" s="41"/>
    </row>
    <row r="103" spans="1:9" x14ac:dyDescent="0.35">
      <c r="A103" s="41"/>
      <c r="B103" s="41"/>
      <c r="C103" s="41"/>
      <c r="D103" s="41"/>
      <c r="E103" s="41"/>
      <c r="F103" s="41"/>
      <c r="G103" s="41"/>
      <c r="H103" s="41"/>
      <c r="I103" s="41"/>
    </row>
    <row r="104" spans="1:9" x14ac:dyDescent="0.35">
      <c r="A104" s="32"/>
      <c r="B104" s="32"/>
      <c r="C104" s="32"/>
      <c r="D104" s="32"/>
      <c r="E104" s="32"/>
      <c r="F104" s="32"/>
      <c r="G104" s="32"/>
      <c r="H104" s="32"/>
      <c r="I104" s="32"/>
    </row>
    <row r="105" spans="1:9" ht="31.5" thickBot="1" x14ac:dyDescent="0.4">
      <c r="A105" s="33" t="s">
        <v>134</v>
      </c>
      <c r="B105" s="33" t="s">
        <v>135</v>
      </c>
      <c r="C105" s="33" t="s">
        <v>136</v>
      </c>
      <c r="D105" s="32"/>
      <c r="E105" s="32"/>
      <c r="F105" s="32"/>
      <c r="G105" s="32"/>
      <c r="H105" s="32"/>
      <c r="I105" s="32"/>
    </row>
    <row r="106" spans="1:9" ht="16" thickBot="1" x14ac:dyDescent="0.4">
      <c r="A106" s="34" t="s">
        <v>140</v>
      </c>
      <c r="B106" s="32" t="str">
        <f>HLOOKUP(A106,A110:I113,2,FALSE)</f>
        <v>Екатеринбург</v>
      </c>
      <c r="C106" s="32">
        <f>HLOOKUP(A106,A110:I113,3,FALSE)</f>
        <v>5</v>
      </c>
      <c r="D106" s="32"/>
      <c r="E106" s="32"/>
      <c r="F106" s="32"/>
      <c r="G106" s="32"/>
      <c r="H106" s="32"/>
      <c r="I106" s="32"/>
    </row>
    <row r="107" spans="1:9" x14ac:dyDescent="0.35">
      <c r="A107" s="32"/>
      <c r="B107" s="32"/>
      <c r="C107" s="32"/>
      <c r="D107" s="32"/>
      <c r="E107" s="32"/>
      <c r="F107" s="32"/>
      <c r="G107" s="32"/>
      <c r="H107" s="32"/>
      <c r="I107" s="32"/>
    </row>
    <row r="108" spans="1:9" x14ac:dyDescent="0.35">
      <c r="A108" s="32"/>
      <c r="B108" s="32"/>
      <c r="C108" s="32"/>
      <c r="D108" s="32"/>
      <c r="E108" s="32"/>
      <c r="F108" s="32"/>
      <c r="G108" s="32"/>
      <c r="H108" s="32"/>
      <c r="I108" s="32"/>
    </row>
    <row r="109" spans="1:9" x14ac:dyDescent="0.35">
      <c r="A109" s="35" t="s">
        <v>137</v>
      </c>
      <c r="B109" s="35"/>
      <c r="C109" s="35"/>
      <c r="D109" s="35"/>
      <c r="E109" s="35"/>
      <c r="F109" s="35"/>
      <c r="G109" s="35"/>
      <c r="H109" s="35"/>
      <c r="I109" s="35"/>
    </row>
    <row r="110" spans="1:9" x14ac:dyDescent="0.35">
      <c r="A110" s="35" t="s">
        <v>134</v>
      </c>
      <c r="B110" s="35" t="s">
        <v>138</v>
      </c>
      <c r="C110" s="35" t="s">
        <v>139</v>
      </c>
      <c r="D110" s="35" t="s">
        <v>140</v>
      </c>
      <c r="E110" s="35" t="s">
        <v>141</v>
      </c>
      <c r="F110" s="35" t="s">
        <v>142</v>
      </c>
      <c r="G110" s="35" t="s">
        <v>143</v>
      </c>
      <c r="H110" s="35" t="s">
        <v>144</v>
      </c>
      <c r="I110" s="35" t="s">
        <v>145</v>
      </c>
    </row>
    <row r="111" spans="1:9" x14ac:dyDescent="0.35">
      <c r="A111" s="37" t="s">
        <v>135</v>
      </c>
      <c r="B111" s="39" t="s">
        <v>146</v>
      </c>
      <c r="C111" s="39" t="s">
        <v>23</v>
      </c>
      <c r="D111" s="39" t="s">
        <v>13</v>
      </c>
      <c r="E111" s="39" t="s">
        <v>29</v>
      </c>
      <c r="F111" s="39" t="s">
        <v>16</v>
      </c>
      <c r="G111" s="39" t="s">
        <v>147</v>
      </c>
      <c r="H111" s="39" t="s">
        <v>20</v>
      </c>
      <c r="I111" s="39" t="s">
        <v>148</v>
      </c>
    </row>
    <row r="112" spans="1:9" x14ac:dyDescent="0.35">
      <c r="A112" s="37" t="s">
        <v>136</v>
      </c>
      <c r="B112" s="39">
        <v>2</v>
      </c>
      <c r="C112" s="39">
        <v>3</v>
      </c>
      <c r="D112" s="39">
        <v>5</v>
      </c>
      <c r="E112" s="39">
        <v>6</v>
      </c>
      <c r="F112" s="39">
        <v>4</v>
      </c>
      <c r="G112" s="39">
        <v>5</v>
      </c>
      <c r="H112" s="39">
        <v>4</v>
      </c>
      <c r="I112" s="39">
        <v>9</v>
      </c>
    </row>
    <row r="113" spans="1:9" ht="31" x14ac:dyDescent="0.35">
      <c r="A113" s="37" t="s">
        <v>149</v>
      </c>
      <c r="B113" s="39">
        <v>20</v>
      </c>
      <c r="C113" s="39">
        <v>15</v>
      </c>
      <c r="D113" s="39">
        <v>25</v>
      </c>
      <c r="E113" s="39">
        <v>30</v>
      </c>
      <c r="F113" s="39">
        <v>18</v>
      </c>
      <c r="G113" s="39">
        <v>22</v>
      </c>
      <c r="H113" s="39">
        <v>16</v>
      </c>
      <c r="I113" s="39">
        <v>35</v>
      </c>
    </row>
    <row r="114" spans="1:9" x14ac:dyDescent="0.35">
      <c r="A114" s="32"/>
      <c r="B114" s="32"/>
      <c r="C114" s="32"/>
      <c r="D114" s="32"/>
      <c r="E114" s="32"/>
      <c r="F114" s="32"/>
      <c r="G114" s="32"/>
      <c r="H114" s="32"/>
      <c r="I114" s="32"/>
    </row>
    <row r="115" spans="1:9" x14ac:dyDescent="0.35">
      <c r="A115" s="32"/>
      <c r="B115" s="32"/>
      <c r="C115" s="32"/>
      <c r="D115" s="32"/>
      <c r="E115" s="32"/>
      <c r="F115" s="32"/>
      <c r="G115" s="32"/>
      <c r="H115" s="32"/>
      <c r="I115" s="32"/>
    </row>
    <row r="116" spans="1:9" x14ac:dyDescent="0.35">
      <c r="A116" s="32"/>
      <c r="B116" s="32"/>
      <c r="C116" s="32"/>
      <c r="D116" s="32"/>
      <c r="E116" s="32"/>
      <c r="F116" s="32"/>
      <c r="G116" s="32"/>
      <c r="H116" s="32"/>
      <c r="I116" s="32"/>
    </row>
    <row r="117" spans="1:9" x14ac:dyDescent="0.35">
      <c r="A117" s="41" t="s">
        <v>150</v>
      </c>
      <c r="B117" s="41"/>
      <c r="C117" s="41"/>
      <c r="D117" s="41"/>
      <c r="E117" s="41"/>
      <c r="F117" s="41"/>
      <c r="G117" s="41"/>
      <c r="H117" s="41"/>
      <c r="I117" s="41"/>
    </row>
    <row r="118" spans="1:9" x14ac:dyDescent="0.35">
      <c r="A118" s="41"/>
      <c r="B118" s="41"/>
      <c r="C118" s="41"/>
      <c r="D118" s="41"/>
      <c r="E118" s="41"/>
      <c r="F118" s="41"/>
      <c r="G118" s="41"/>
      <c r="H118" s="41"/>
      <c r="I118" s="41"/>
    </row>
    <row r="119" spans="1:9" x14ac:dyDescent="0.35">
      <c r="A119" s="32"/>
      <c r="B119" s="32"/>
      <c r="C119" s="32"/>
      <c r="D119" s="32"/>
      <c r="E119" s="32"/>
      <c r="F119" s="32"/>
      <c r="G119" s="32"/>
      <c r="H119" s="32"/>
      <c r="I119" s="32"/>
    </row>
    <row r="120" spans="1:9" x14ac:dyDescent="0.35">
      <c r="A120" s="33" t="s">
        <v>151</v>
      </c>
      <c r="B120" s="33" t="s">
        <v>152</v>
      </c>
      <c r="C120" s="33" t="s">
        <v>153</v>
      </c>
      <c r="D120" s="32"/>
      <c r="E120" s="32"/>
      <c r="F120" s="32"/>
      <c r="G120" s="32"/>
      <c r="H120" s="32"/>
      <c r="I120" s="32"/>
    </row>
    <row r="121" spans="1:9" x14ac:dyDescent="0.35">
      <c r="A121" s="40" t="s">
        <v>162</v>
      </c>
      <c r="B121" s="40" t="s">
        <v>158</v>
      </c>
      <c r="C121" s="32">
        <f>INDEX(B126:G132,MATCH(A121,A126:A132,0),MATCH(B121,B126:G126,0))</f>
        <v>88</v>
      </c>
      <c r="D121" s="32"/>
      <c r="E121" s="32"/>
      <c r="F121" s="32"/>
      <c r="G121" s="32"/>
      <c r="H121" s="32"/>
      <c r="I121" s="32"/>
    </row>
    <row r="122" spans="1:9" x14ac:dyDescent="0.35">
      <c r="A122" s="32"/>
      <c r="B122" s="32"/>
      <c r="C122" s="32"/>
      <c r="D122" s="32"/>
      <c r="E122" s="32"/>
      <c r="F122" s="32"/>
      <c r="G122" s="32"/>
      <c r="H122" s="32"/>
      <c r="I122" s="32"/>
    </row>
    <row r="123" spans="1:9" x14ac:dyDescent="0.35">
      <c r="A123" s="32"/>
      <c r="B123" s="32"/>
      <c r="C123" s="32"/>
      <c r="D123" s="32"/>
      <c r="E123" s="32"/>
      <c r="F123" s="32"/>
      <c r="G123" s="32"/>
      <c r="H123" s="32"/>
      <c r="I123" s="32"/>
    </row>
    <row r="124" spans="1:9" x14ac:dyDescent="0.35">
      <c r="A124" s="32"/>
      <c r="B124" s="32"/>
      <c r="C124" s="32"/>
      <c r="D124" s="32"/>
      <c r="E124" s="32"/>
      <c r="F124" s="32"/>
      <c r="G124" s="32"/>
      <c r="H124" s="32"/>
      <c r="I124" s="32"/>
    </row>
    <row r="125" spans="1:9" ht="31" x14ac:dyDescent="0.35">
      <c r="A125" s="35" t="s">
        <v>154</v>
      </c>
      <c r="B125" s="35"/>
      <c r="C125" s="35"/>
      <c r="D125" s="35"/>
      <c r="E125" s="35"/>
      <c r="F125" s="35"/>
      <c r="G125" s="35"/>
      <c r="H125" s="32"/>
      <c r="I125" s="32"/>
    </row>
    <row r="126" spans="1:9" x14ac:dyDescent="0.35">
      <c r="A126" s="35" t="s">
        <v>151</v>
      </c>
      <c r="B126" s="35" t="s">
        <v>155</v>
      </c>
      <c r="C126" s="35" t="s">
        <v>156</v>
      </c>
      <c r="D126" s="35" t="s">
        <v>157</v>
      </c>
      <c r="E126" s="35" t="s">
        <v>158</v>
      </c>
      <c r="F126" s="35" t="s">
        <v>159</v>
      </c>
      <c r="G126" s="35" t="s">
        <v>160</v>
      </c>
      <c r="H126" s="32"/>
      <c r="I126" s="32"/>
    </row>
    <row r="127" spans="1:9" x14ac:dyDescent="0.35">
      <c r="A127" s="37" t="s">
        <v>161</v>
      </c>
      <c r="B127" s="37">
        <v>120</v>
      </c>
      <c r="C127" s="37">
        <v>135</v>
      </c>
      <c r="D127" s="37">
        <v>140</v>
      </c>
      <c r="E127" s="37">
        <v>155</v>
      </c>
      <c r="F127" s="37">
        <v>160</v>
      </c>
      <c r="G127" s="37">
        <v>170</v>
      </c>
      <c r="H127" s="32"/>
      <c r="I127" s="32"/>
    </row>
    <row r="128" spans="1:9" x14ac:dyDescent="0.35">
      <c r="A128" s="37" t="s">
        <v>162</v>
      </c>
      <c r="B128" s="37">
        <v>80</v>
      </c>
      <c r="C128" s="37">
        <v>76</v>
      </c>
      <c r="D128" s="37">
        <v>92</v>
      </c>
      <c r="E128" s="37">
        <v>88</v>
      </c>
      <c r="F128" s="37">
        <v>95</v>
      </c>
      <c r="G128" s="37">
        <v>102</v>
      </c>
      <c r="H128" s="32"/>
      <c r="I128" s="32"/>
    </row>
    <row r="129" spans="1:9" x14ac:dyDescent="0.35">
      <c r="A129" s="37" t="s">
        <v>163</v>
      </c>
      <c r="B129" s="37">
        <v>210</v>
      </c>
      <c r="C129" s="37">
        <v>225</v>
      </c>
      <c r="D129" s="37">
        <v>240</v>
      </c>
      <c r="E129" s="37">
        <v>260</v>
      </c>
      <c r="F129" s="37">
        <v>275</v>
      </c>
      <c r="G129" s="37">
        <v>290</v>
      </c>
      <c r="H129" s="32"/>
      <c r="I129" s="32"/>
    </row>
    <row r="130" spans="1:9" x14ac:dyDescent="0.35">
      <c r="A130" s="37" t="s">
        <v>164</v>
      </c>
      <c r="B130" s="37">
        <v>45</v>
      </c>
      <c r="C130" s="37">
        <v>52</v>
      </c>
      <c r="D130" s="37">
        <v>58</v>
      </c>
      <c r="E130" s="37">
        <v>61</v>
      </c>
      <c r="F130" s="37">
        <v>66</v>
      </c>
      <c r="G130" s="37">
        <v>70</v>
      </c>
      <c r="H130" s="32"/>
      <c r="I130" s="32"/>
    </row>
    <row r="131" spans="1:9" x14ac:dyDescent="0.35">
      <c r="A131" s="37" t="s">
        <v>165</v>
      </c>
      <c r="B131" s="37">
        <v>95</v>
      </c>
      <c r="C131" s="37">
        <v>104</v>
      </c>
      <c r="D131" s="37">
        <v>110</v>
      </c>
      <c r="E131" s="37">
        <v>125</v>
      </c>
      <c r="F131" s="37">
        <v>130</v>
      </c>
      <c r="G131" s="37">
        <v>138</v>
      </c>
      <c r="H131" s="32"/>
      <c r="I131" s="32"/>
    </row>
    <row r="132" spans="1:9" x14ac:dyDescent="0.35">
      <c r="A132" s="37" t="s">
        <v>166</v>
      </c>
      <c r="B132" s="37">
        <v>70</v>
      </c>
      <c r="C132" s="37">
        <v>74</v>
      </c>
      <c r="D132" s="37">
        <v>82</v>
      </c>
      <c r="E132" s="37">
        <v>89</v>
      </c>
      <c r="F132" s="37">
        <v>94</v>
      </c>
      <c r="G132" s="37">
        <v>100</v>
      </c>
      <c r="H132" s="32"/>
      <c r="I132" s="32"/>
    </row>
  </sheetData>
  <mergeCells count="12">
    <mergeCell ref="A1:I2"/>
    <mergeCell ref="A13:D13"/>
    <mergeCell ref="A29:I30"/>
    <mergeCell ref="B40:I40"/>
    <mergeCell ref="A47:I48"/>
    <mergeCell ref="A102:I103"/>
    <mergeCell ref="A117:I118"/>
    <mergeCell ref="E50:H50"/>
    <mergeCell ref="A63:I64"/>
    <mergeCell ref="E66:G66"/>
    <mergeCell ref="A81:I82"/>
    <mergeCell ref="A88:D88"/>
  </mergeCells>
  <dataValidations count="4">
    <dataValidation type="list" allowBlank="1" showInputMessage="1" showErrorMessage="1" sqref="A85" xr:uid="{E643BEF1-CCF7-4538-A078-7C9C5011BF59}">
      <formula1>$A$90:$A$99</formula1>
    </dataValidation>
    <dataValidation type="list" allowBlank="1" showInputMessage="1" showErrorMessage="1" sqref="A106" xr:uid="{B054571D-0293-47BF-8A49-9557D6604B63}">
      <formula1>$B$110:$I$110</formula1>
    </dataValidation>
    <dataValidation type="list" allowBlank="1" showInputMessage="1" showErrorMessage="1" sqref="A121" xr:uid="{0672DA8F-8AFB-4F8E-B5D5-40DC02A7E5CB}">
      <formula1>$A$127:$A$132</formula1>
    </dataValidation>
    <dataValidation type="list" allowBlank="1" showInputMessage="1" showErrorMessage="1" sqref="B121" xr:uid="{B49C5ACB-585E-495A-A266-378F155D76F0}">
      <formula1>$B$126:$G$126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ВПР,ГПР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2026-03-20T18:24:09Z</dcterms:created>
  <dcterms:modified xsi:type="dcterms:W3CDTF">2026-05-08T10:54:44Z</dcterms:modified>
</cp:coreProperties>
</file>