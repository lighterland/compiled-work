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New folder\college\sem2\digital skills\"/>
    </mc:Choice>
  </mc:AlternateContent>
  <xr:revisionPtr revIDLastSave="0" documentId="13_ncr:1_{D82F7E06-BCAD-4CF9-8BAD-1F9388687E47}" xr6:coauthVersionLast="47" xr6:coauthVersionMax="47" xr10:uidLastSave="{00000000-0000-0000-0000-000000000000}"/>
  <bookViews>
    <workbookView xWindow="-110" yWindow="-110" windowWidth="29020" windowHeight="17500" xr2:uid="{B50E780F-76A2-FE49-BB99-B8324AE4AD55}"/>
  </bookViews>
  <sheets>
    <sheet name="ЕСЛИ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6" i="1" l="1"/>
  <c r="D87" i="1"/>
  <c r="D88" i="1"/>
  <c r="D89" i="1"/>
  <c r="D85" i="1"/>
  <c r="D68" i="1"/>
  <c r="D69" i="1"/>
  <c r="D70" i="1"/>
  <c r="D71" i="1"/>
  <c r="D67" i="1"/>
  <c r="D53" i="1"/>
  <c r="D54" i="1"/>
  <c r="D55" i="1"/>
  <c r="D56" i="1"/>
  <c r="D52" i="1"/>
  <c r="C38" i="1"/>
  <c r="C39" i="1"/>
  <c r="C40" i="1"/>
  <c r="C41" i="1"/>
  <c r="C37" i="1"/>
  <c r="E24" i="1"/>
  <c r="E25" i="1"/>
  <c r="E26" i="1"/>
  <c r="E27" i="1"/>
  <c r="E23" i="1"/>
  <c r="D24" i="1"/>
  <c r="D25" i="1"/>
  <c r="D26" i="1"/>
  <c r="D27" i="1"/>
  <c r="D23" i="1"/>
  <c r="C10" i="1" l="1"/>
  <c r="C11" i="1"/>
  <c r="C12" i="1"/>
  <c r="C13" i="1"/>
  <c r="C9" i="1"/>
</calcChain>
</file>

<file path=xl/sharedStrings.xml><?xml version="1.0" encoding="utf-8"?>
<sst xmlns="http://schemas.openxmlformats.org/spreadsheetml/2006/main" count="92" uniqueCount="72">
  <si>
    <t>Что нужно сделать</t>
  </si>
  <si>
    <t>Контрольные параметры</t>
  </si>
  <si>
    <t>Проходной балл</t>
  </si>
  <si>
    <t>Студент</t>
  </si>
  <si>
    <t>Сотрудник</t>
  </si>
  <si>
    <t>План выполнен?</t>
  </si>
  <si>
    <t>Остаток на складе</t>
  </si>
  <si>
    <t>Срок хранения, мес.</t>
  </si>
  <si>
    <t>Порог срока, мес.</t>
  </si>
  <si>
    <t xml:space="preserve">Задание 1. </t>
  </si>
  <si>
    <t xml:space="preserve">Задание 2. </t>
  </si>
  <si>
    <t xml:space="preserve">Задание 3. </t>
  </si>
  <si>
    <t xml:space="preserve">Задание 4. </t>
  </si>
  <si>
    <t xml:space="preserve">Задание 5. </t>
  </si>
  <si>
    <t xml:space="preserve">Задание 6. </t>
  </si>
  <si>
    <t>В столбце «Стоимость с учетом переоценки» используйте ЕСЛИ + ИЛИ.</t>
  </si>
  <si>
    <t>Если срок хранения больше 6 месяцев или стоимость выше 700 руб., уменьшите стоимость на 10%; иначе оставьте без изменений.</t>
  </si>
  <si>
    <r>
      <t>В столбце «</t>
    </r>
    <r>
      <rPr>
        <b/>
        <sz val="11"/>
        <rFont val="Calibri"/>
        <family val="2"/>
      </rPr>
      <t>Допуск</t>
    </r>
    <r>
      <rPr>
        <sz val="11"/>
        <rFont val="Calibri"/>
        <family val="2"/>
      </rPr>
      <t>» укажите: Если баллы не ниже порога, вывести «Допущен», иначе — «Не допущен».</t>
    </r>
  </si>
  <si>
    <t>Баллы за семестр</t>
  </si>
  <si>
    <t>Допуск</t>
  </si>
  <si>
    <t>Введите данные минимум по 5 курьерам.</t>
  </si>
  <si>
    <t>План доставок</t>
  </si>
  <si>
    <t>Факт доставок</t>
  </si>
  <si>
    <t>Доплата?</t>
  </si>
  <si>
    <t>Нужно сравнить плановое и фактическое число доставок. Если фактическое число доставок равно или превышает плановое, то План выполнен. Если план выполнен, то назначается Доплата</t>
  </si>
  <si>
    <t>Название книги</t>
  </si>
  <si>
    <t>Экземпляров в наличии</t>
  </si>
  <si>
    <t>Статус</t>
  </si>
  <si>
    <t>В столбце «Статус» нужно определить, доступна ли книга для выдачи читателю.</t>
  </si>
  <si>
    <t>Нужно учитывать остаток на складе и продолжительность хранения.</t>
  </si>
  <si>
    <t>В столбце результата отметьте товары, которые подходят под условия распродажи при одновременном выполнении двух критериев.</t>
  </si>
  <si>
    <t>Минимальный остаток</t>
  </si>
  <si>
    <t>Товар</t>
  </si>
  <si>
    <t>Участвует в распродаже?</t>
  </si>
  <si>
    <t>Введите данные минимум по 5 слушателям онлайн-курса.</t>
  </si>
  <si>
    <t>Необходимо учитывать процент выполнения программы и итоговое тестирование.</t>
  </si>
  <si>
    <t>В столбце результата укажите, получает ли слушатель сертификат при одновременном выполнении условий.</t>
  </si>
  <si>
    <t>Минимум прохождения, %</t>
  </si>
  <si>
    <t>Минимум за тест</t>
  </si>
  <si>
    <t>Слушатель</t>
  </si>
  <si>
    <t>Прохождение курса, %</t>
  </si>
  <si>
    <t>Баллы за тест</t>
  </si>
  <si>
    <t>Сертификат</t>
  </si>
  <si>
    <t>Название товара</t>
  </si>
  <si>
    <t>Стоимость на момент поступления</t>
  </si>
  <si>
    <t>Стоимость с учетом переоценки</t>
  </si>
  <si>
    <t>Порог стоимости, руб.</t>
  </si>
  <si>
    <t>Снижение, %</t>
  </si>
  <si>
    <t>Создайте список минимум из 5 обучающихся и укажите количество набранных баллов за семестр.</t>
  </si>
  <si>
    <t xml:space="preserve">Создайте таблицу минимум для 5 наименований книг. Укажите количество экземпляров, доступных в фонде.					</t>
  </si>
  <si>
    <t>Сформируйте список минимум из 5 товаров магазина.</t>
  </si>
  <si>
    <t>Введите минимум 5 товаров, их стоимость на момент поступления и срок хранения.</t>
  </si>
  <si>
    <t>Авакян Эльмира Владиковна</t>
  </si>
  <si>
    <t>Арзуманян Ваге Агасиевич</t>
  </si>
  <si>
    <t>Батманов Александр Арсенович</t>
  </si>
  <si>
    <t>Бызина Татьяна Александровна</t>
  </si>
  <si>
    <t>Ван Икэ</t>
  </si>
  <si>
    <t>Мастер и Маргарита</t>
  </si>
  <si>
    <t>Война и мир</t>
  </si>
  <si>
    <t>Преступление и наказание</t>
  </si>
  <si>
    <t>Идиот</t>
  </si>
  <si>
    <t>Евгений Онегин</t>
  </si>
  <si>
    <t>Стол</t>
  </si>
  <si>
    <t>Стул</t>
  </si>
  <si>
    <t>Шкаф</t>
  </si>
  <si>
    <t>Диван</t>
  </si>
  <si>
    <t>Кровать</t>
  </si>
  <si>
    <t>Монитор</t>
  </si>
  <si>
    <t>Клавиатура</t>
  </si>
  <si>
    <t>Мышь</t>
  </si>
  <si>
    <t>Принтер</t>
  </si>
  <si>
    <t>Наушники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</si>
</sst>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ptos Narrow"/>
      <family val="2"/>
      <charset val="204"/>
      <scheme val="minor"/>
    </font>
    <font>
      <sz val="12"/>
      <color theme="1"/>
      <name val="Aptos Narrow"/>
      <family val="2"/>
      <charset val="204"/>
      <scheme val="minor"/>
    </font>
    <font>
      <sz val="11"/>
      <color theme="1"/>
      <name val="Aptos Narrow"/>
      <family val="2"/>
      <scheme val="minor"/>
    </font>
    <font>
      <b/>
      <sz val="16"/>
      <color rgb="FFFFFFFF"/>
      <name val="Calibri"/>
      <family val="2"/>
    </font>
    <font>
      <b/>
      <sz val="12"/>
      <color rgb="FFFFFFFF"/>
      <name val="Calibri"/>
      <family val="2"/>
    </font>
    <font>
      <sz val="11"/>
      <name val="Calibri"/>
      <family val="2"/>
    </font>
    <font>
      <b/>
      <sz val="11"/>
      <color rgb="FF7030A0"/>
      <name val="Calibri"/>
      <family val="2"/>
    </font>
    <font>
      <sz val="11"/>
      <color rgb="FF0000FF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4E78"/>
      </patternFill>
    </fill>
    <fill>
      <patternFill patternType="solid">
        <fgColor rgb="FFE4DFEC"/>
      </patternFill>
    </fill>
    <fill>
      <patternFill patternType="solid">
        <fgColor rgb="FFC00000"/>
      </patternFill>
    </fill>
    <fill>
      <patternFill patternType="solid">
        <fgColor rgb="FFD9EAF7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23">
    <xf numFmtId="0" fontId="0" fillId="0" borderId="0" xfId="0"/>
    <xf numFmtId="0" fontId="6" fillId="4" borderId="1" xfId="2" applyFont="1" applyFill="1" applyBorder="1" applyAlignment="1">
      <alignment horizontal="left" vertical="center"/>
    </xf>
    <xf numFmtId="0" fontId="8" fillId="3" borderId="1" xfId="2" applyFont="1" applyFill="1" applyBorder="1" applyAlignment="1">
      <alignment horizontal="center" vertical="center" wrapText="1"/>
    </xf>
    <xf numFmtId="0" fontId="8" fillId="5" borderId="1" xfId="2" applyFont="1" applyFill="1" applyBorder="1" applyAlignment="1">
      <alignment horizontal="center" vertical="center" wrapText="1"/>
    </xf>
    <xf numFmtId="0" fontId="7" fillId="6" borderId="1" xfId="2" applyFont="1" applyFill="1" applyBorder="1" applyAlignment="1">
      <alignment horizontal="left" vertical="center"/>
    </xf>
    <xf numFmtId="1" fontId="7" fillId="6" borderId="1" xfId="2" applyNumberFormat="1" applyFont="1" applyFill="1" applyBorder="1" applyAlignment="1">
      <alignment horizontal="left" vertical="center"/>
    </xf>
    <xf numFmtId="0" fontId="9" fillId="7" borderId="1" xfId="2" applyFont="1" applyFill="1" applyBorder="1" applyAlignment="1">
      <alignment horizontal="left" vertical="center"/>
    </xf>
    <xf numFmtId="0" fontId="6" fillId="0" borderId="1" xfId="2" applyFont="1" applyBorder="1" applyAlignment="1">
      <alignment horizontal="left" vertical="center"/>
    </xf>
    <xf numFmtId="0" fontId="11" fillId="0" borderId="1" xfId="2" applyFont="1" applyBorder="1" applyAlignment="1">
      <alignment horizontal="center" vertical="center"/>
    </xf>
    <xf numFmtId="1" fontId="9" fillId="7" borderId="1" xfId="2" applyNumberFormat="1" applyFont="1" applyFill="1" applyBorder="1" applyAlignment="1">
      <alignment horizontal="left" vertical="center"/>
    </xf>
    <xf numFmtId="0" fontId="6" fillId="4" borderId="1" xfId="2" applyFont="1" applyFill="1" applyBorder="1" applyAlignment="1">
      <alignment vertical="top" wrapText="1"/>
    </xf>
    <xf numFmtId="0" fontId="0" fillId="0" borderId="0" xfId="2" applyFont="1" applyAlignment="1">
      <alignment horizontal="center" vertical="center" wrapText="1"/>
    </xf>
    <xf numFmtId="4" fontId="7" fillId="6" borderId="1" xfId="2" applyNumberFormat="1" applyFont="1" applyFill="1" applyBorder="1" applyAlignment="1">
      <alignment horizontal="left" vertical="center"/>
    </xf>
    <xf numFmtId="4" fontId="9" fillId="7" borderId="1" xfId="2" applyNumberFormat="1" applyFont="1" applyFill="1" applyBorder="1" applyAlignment="1">
      <alignment horizontal="left" vertical="center"/>
    </xf>
    <xf numFmtId="9" fontId="0" fillId="0" borderId="0" xfId="1" applyFont="1" applyAlignment="1">
      <alignment horizontal="center" vertical="center" wrapText="1"/>
    </xf>
    <xf numFmtId="0" fontId="4" fillId="3" borderId="0" xfId="2" applyFont="1" applyFill="1" applyAlignment="1">
      <alignment horizontal="center"/>
    </xf>
    <xf numFmtId="0" fontId="0" fillId="0" borderId="0" xfId="0"/>
    <xf numFmtId="0" fontId="3" fillId="3" borderId="0" xfId="2" applyFont="1" applyFill="1" applyAlignment="1">
      <alignment horizontal="left" vertical="center"/>
    </xf>
    <xf numFmtId="0" fontId="0" fillId="0" borderId="0" xfId="0" applyAlignment="1">
      <alignment horizontal="left"/>
    </xf>
    <xf numFmtId="0" fontId="4" fillId="3" borderId="0" xfId="2" applyFont="1" applyFill="1" applyAlignment="1">
      <alignment horizontal="left" vertical="center"/>
    </xf>
    <xf numFmtId="0" fontId="5" fillId="2" borderId="0" xfId="2" applyFont="1" applyFill="1" applyAlignment="1">
      <alignment vertical="top" wrapText="1"/>
    </xf>
    <xf numFmtId="0" fontId="5" fillId="2" borderId="0" xfId="2" applyFont="1" applyFill="1" applyAlignment="1">
      <alignment horizontal="left" vertical="top" wrapText="1"/>
    </xf>
    <xf numFmtId="0" fontId="4" fillId="3" borderId="0" xfId="2" applyFont="1" applyFill="1" applyAlignment="1">
      <alignment horizontal="center" vertical="center" wrapText="1"/>
    </xf>
  </cellXfs>
  <cellStyles count="3">
    <cellStyle name="Normal" xfId="0" builtinId="0"/>
    <cellStyle name="Normal 2" xfId="2" xr:uid="{DFB3DA25-FDFD-4F48-AF89-4B338965175A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5A024-16F0-D246-AB53-85EFDF9A204A}">
  <dimension ref="A1:G89"/>
  <sheetViews>
    <sheetView showGridLines="0" tabSelected="1" zoomScale="94" workbookViewId="0">
      <selection activeCell="A22" sqref="A22"/>
    </sheetView>
  </sheetViews>
  <sheetFormatPr defaultColWidth="10.6640625" defaultRowHeight="16" x14ac:dyDescent="0.4"/>
  <cols>
    <col min="1" max="1" width="26.33203125" customWidth="1"/>
    <col min="2" max="2" width="33.33203125" customWidth="1"/>
    <col min="3" max="3" width="22.1640625" customWidth="1"/>
    <col min="4" max="4" width="29.83203125" customWidth="1"/>
    <col min="5" max="5" width="14.33203125" bestFit="1" customWidth="1"/>
    <col min="6" max="7" width="24.1640625" customWidth="1"/>
    <col min="8" max="8" width="18.1640625" customWidth="1"/>
    <col min="9" max="9" width="16.33203125" customWidth="1"/>
  </cols>
  <sheetData>
    <row r="1" spans="1:6" ht="21" x14ac:dyDescent="0.4">
      <c r="A1" s="17" t="s">
        <v>9</v>
      </c>
      <c r="B1" s="18"/>
      <c r="C1" s="18"/>
      <c r="D1" s="18"/>
      <c r="E1" s="18"/>
      <c r="F1" s="18"/>
    </row>
    <row r="3" spans="1:6" x14ac:dyDescent="0.4">
      <c r="A3" s="19" t="s">
        <v>0</v>
      </c>
      <c r="B3" s="16"/>
      <c r="C3" s="16"/>
      <c r="D3" s="16"/>
      <c r="E3" s="16"/>
      <c r="F3" s="16"/>
    </row>
    <row r="4" spans="1:6" ht="16" customHeight="1" x14ac:dyDescent="0.4">
      <c r="A4" s="20" t="s">
        <v>48</v>
      </c>
      <c r="B4" s="16"/>
      <c r="C4" s="16"/>
      <c r="D4" s="16"/>
      <c r="E4" s="16"/>
      <c r="F4" s="16"/>
    </row>
    <row r="5" spans="1:6" ht="16" customHeight="1" x14ac:dyDescent="0.4">
      <c r="A5" s="20" t="s">
        <v>17</v>
      </c>
      <c r="B5" s="16"/>
      <c r="C5" s="16"/>
      <c r="D5" s="16"/>
      <c r="E5" s="16"/>
      <c r="F5" s="16"/>
    </row>
    <row r="8" spans="1:6" x14ac:dyDescent="0.4">
      <c r="A8" s="2" t="s">
        <v>3</v>
      </c>
      <c r="B8" s="2" t="s">
        <v>18</v>
      </c>
      <c r="C8" s="3" t="s">
        <v>19</v>
      </c>
    </row>
    <row r="9" spans="1:6" x14ac:dyDescent="0.4">
      <c r="A9" s="4" t="s">
        <v>52</v>
      </c>
      <c r="B9" s="5">
        <v>65</v>
      </c>
      <c r="C9" s="6" t="str">
        <f>IF(B9&gt;=$F$11,"Допущен", "Не допущен")</f>
        <v>Не допущен</v>
      </c>
    </row>
    <row r="10" spans="1:6" x14ac:dyDescent="0.4">
      <c r="A10" s="4" t="s">
        <v>53</v>
      </c>
      <c r="B10" s="5">
        <v>85</v>
      </c>
      <c r="C10" s="6" t="str">
        <f t="shared" ref="C10:C13" si="0">IF(B10&gt;=$F$11,"Допущен", "Не допущен")</f>
        <v>Допущен</v>
      </c>
      <c r="E10" s="15" t="s">
        <v>1</v>
      </c>
      <c r="F10" s="16"/>
    </row>
    <row r="11" spans="1:6" x14ac:dyDescent="0.4">
      <c r="A11" s="4" t="s">
        <v>54</v>
      </c>
      <c r="B11" s="5">
        <v>70</v>
      </c>
      <c r="C11" s="6" t="str">
        <f t="shared" si="0"/>
        <v>Допущен</v>
      </c>
      <c r="E11" s="7" t="s">
        <v>2</v>
      </c>
      <c r="F11" s="8">
        <v>70</v>
      </c>
    </row>
    <row r="12" spans="1:6" x14ac:dyDescent="0.4">
      <c r="A12" s="4" t="s">
        <v>55</v>
      </c>
      <c r="B12" s="5">
        <v>45</v>
      </c>
      <c r="C12" s="6" t="str">
        <f t="shared" si="0"/>
        <v>Не допущен</v>
      </c>
    </row>
    <row r="13" spans="1:6" x14ac:dyDescent="0.4">
      <c r="A13" s="4" t="s">
        <v>56</v>
      </c>
      <c r="B13" s="5">
        <v>92</v>
      </c>
      <c r="C13" s="6" t="str">
        <f t="shared" si="0"/>
        <v>Допущен</v>
      </c>
    </row>
    <row r="16" spans="1:6" ht="21" x14ac:dyDescent="0.4">
      <c r="A16" s="17" t="s">
        <v>10</v>
      </c>
      <c r="B16" s="18"/>
      <c r="C16" s="18"/>
      <c r="D16" s="18"/>
      <c r="E16" s="18"/>
      <c r="F16" s="18"/>
    </row>
    <row r="17" spans="1:6" x14ac:dyDescent="0.4">
      <c r="A17" s="19" t="s">
        <v>0</v>
      </c>
      <c r="B17" s="16"/>
      <c r="C17" s="16"/>
      <c r="D17" s="16"/>
      <c r="E17" s="16"/>
      <c r="F17" s="16"/>
    </row>
    <row r="18" spans="1:6" ht="16" customHeight="1" x14ac:dyDescent="0.4">
      <c r="A18" s="20" t="s">
        <v>20</v>
      </c>
      <c r="B18" s="16"/>
      <c r="C18" s="16"/>
      <c r="D18" s="16"/>
      <c r="E18" s="16"/>
      <c r="F18" s="16"/>
    </row>
    <row r="19" spans="1:6" ht="16" customHeight="1" x14ac:dyDescent="0.4">
      <c r="A19" s="21" t="s">
        <v>24</v>
      </c>
      <c r="B19" s="21"/>
      <c r="C19" s="21"/>
      <c r="D19" s="21"/>
      <c r="E19" s="21"/>
      <c r="F19" s="21"/>
    </row>
    <row r="20" spans="1:6" x14ac:dyDescent="0.4">
      <c r="A20" s="21"/>
      <c r="B20" s="21"/>
      <c r="C20" s="21"/>
      <c r="D20" s="21"/>
      <c r="E20" s="21"/>
      <c r="F20" s="21"/>
    </row>
    <row r="22" spans="1:6" x14ac:dyDescent="0.4">
      <c r="A22" s="2" t="s">
        <v>4</v>
      </c>
      <c r="B22" s="2" t="s">
        <v>21</v>
      </c>
      <c r="C22" s="2" t="s">
        <v>22</v>
      </c>
      <c r="D22" s="3" t="s">
        <v>5</v>
      </c>
      <c r="E22" s="3" t="s">
        <v>23</v>
      </c>
    </row>
    <row r="23" spans="1:6" x14ac:dyDescent="0.4">
      <c r="A23" s="4" t="s">
        <v>52</v>
      </c>
      <c r="B23" s="5">
        <v>20</v>
      </c>
      <c r="C23" s="5">
        <v>18</v>
      </c>
      <c r="D23" s="9" t="str">
        <f>IF(C23&lt;=B23,"Да", "Нет")</f>
        <v>Да</v>
      </c>
      <c r="E23" s="6" t="str">
        <f>IF(D23="Да","Доплата", "Нет")</f>
        <v>Доплата</v>
      </c>
    </row>
    <row r="24" spans="1:6" x14ac:dyDescent="0.4">
      <c r="A24" s="4" t="s">
        <v>53</v>
      </c>
      <c r="B24" s="5">
        <v>25</v>
      </c>
      <c r="C24" s="5">
        <v>25</v>
      </c>
      <c r="D24" s="9" t="str">
        <f t="shared" ref="D24:D27" si="1">IF(C24&lt;=B24,"Да", "Нет")</f>
        <v>Да</v>
      </c>
      <c r="E24" s="6" t="str">
        <f t="shared" ref="E24:E27" si="2">IF(D24="Да","Доплата", "Нет")</f>
        <v>Доплата</v>
      </c>
    </row>
    <row r="25" spans="1:6" x14ac:dyDescent="0.4">
      <c r="A25" s="4" t="s">
        <v>54</v>
      </c>
      <c r="B25" s="5">
        <v>30</v>
      </c>
      <c r="C25" s="5">
        <v>32</v>
      </c>
      <c r="D25" s="9" t="str">
        <f t="shared" si="1"/>
        <v>Нет</v>
      </c>
      <c r="E25" s="6" t="str">
        <f t="shared" si="2"/>
        <v>Нет</v>
      </c>
    </row>
    <row r="26" spans="1:6" x14ac:dyDescent="0.4">
      <c r="A26" s="4" t="s">
        <v>55</v>
      </c>
      <c r="B26" s="5">
        <v>15</v>
      </c>
      <c r="C26" s="5">
        <v>10</v>
      </c>
      <c r="D26" s="9" t="str">
        <f t="shared" si="1"/>
        <v>Да</v>
      </c>
      <c r="E26" s="6" t="str">
        <f t="shared" si="2"/>
        <v>Доплата</v>
      </c>
    </row>
    <row r="27" spans="1:6" x14ac:dyDescent="0.4">
      <c r="A27" s="4" t="s">
        <v>56</v>
      </c>
      <c r="B27" s="5">
        <v>20</v>
      </c>
      <c r="C27" s="5">
        <v>22</v>
      </c>
      <c r="D27" s="9" t="str">
        <f t="shared" si="1"/>
        <v>Нет</v>
      </c>
      <c r="E27" s="6" t="str">
        <f t="shared" si="2"/>
        <v>Нет</v>
      </c>
    </row>
    <row r="30" spans="1:6" ht="21" x14ac:dyDescent="0.4">
      <c r="A30" s="17" t="s">
        <v>11</v>
      </c>
      <c r="B30" s="18"/>
      <c r="C30" s="18"/>
      <c r="D30" s="18"/>
      <c r="E30" s="18"/>
      <c r="F30" s="18"/>
    </row>
    <row r="31" spans="1:6" x14ac:dyDescent="0.4">
      <c r="A31" s="19" t="s">
        <v>0</v>
      </c>
      <c r="B31" s="16"/>
      <c r="C31" s="16"/>
      <c r="D31" s="16"/>
      <c r="E31" s="16"/>
      <c r="F31" s="16"/>
    </row>
    <row r="32" spans="1:6" ht="16" customHeight="1" x14ac:dyDescent="0.4">
      <c r="A32" s="20" t="s">
        <v>49</v>
      </c>
      <c r="B32" s="16"/>
      <c r="C32" s="16"/>
      <c r="D32" s="16"/>
      <c r="E32" s="16"/>
      <c r="F32" s="16"/>
    </row>
    <row r="33" spans="1:6" x14ac:dyDescent="0.4">
      <c r="A33" s="20" t="s">
        <v>28</v>
      </c>
      <c r="B33" s="16"/>
      <c r="C33" s="16"/>
      <c r="D33" s="16"/>
      <c r="E33" s="16"/>
      <c r="F33" s="16"/>
    </row>
    <row r="36" spans="1:6" x14ac:dyDescent="0.4">
      <c r="A36" s="2" t="s">
        <v>25</v>
      </c>
      <c r="B36" s="2" t="s">
        <v>26</v>
      </c>
      <c r="C36" s="3" t="s">
        <v>27</v>
      </c>
    </row>
    <row r="37" spans="1:6" x14ac:dyDescent="0.4">
      <c r="A37" s="4" t="s">
        <v>57</v>
      </c>
      <c r="B37" s="5">
        <v>3</v>
      </c>
      <c r="C37" s="6" t="str">
        <f>IF(B37&gt;0,"Доступна", "Нет в наличии")</f>
        <v>Доступна</v>
      </c>
    </row>
    <row r="38" spans="1:6" x14ac:dyDescent="0.4">
      <c r="A38" s="4" t="s">
        <v>58</v>
      </c>
      <c r="B38" s="5">
        <v>0</v>
      </c>
      <c r="C38" s="6" t="str">
        <f t="shared" ref="C38:C41" si="3">IF(B38&gt;0,"Доступна", "Нет в наличии")</f>
        <v>Нет в наличии</v>
      </c>
    </row>
    <row r="39" spans="1:6" x14ac:dyDescent="0.4">
      <c r="A39" s="4" t="s">
        <v>59</v>
      </c>
      <c r="B39" s="5">
        <v>5</v>
      </c>
      <c r="C39" s="6" t="str">
        <f t="shared" si="3"/>
        <v>Доступна</v>
      </c>
    </row>
    <row r="40" spans="1:6" x14ac:dyDescent="0.4">
      <c r="A40" s="4" t="s">
        <v>60</v>
      </c>
      <c r="B40" s="5">
        <v>0</v>
      </c>
      <c r="C40" s="6" t="str">
        <f t="shared" si="3"/>
        <v>Нет в наличии</v>
      </c>
    </row>
    <row r="41" spans="1:6" x14ac:dyDescent="0.4">
      <c r="A41" s="4" t="s">
        <v>61</v>
      </c>
      <c r="B41" s="5">
        <v>2</v>
      </c>
      <c r="C41" s="6" t="str">
        <f t="shared" si="3"/>
        <v>Доступна</v>
      </c>
    </row>
    <row r="44" spans="1:6" ht="21" x14ac:dyDescent="0.4">
      <c r="A44" s="17" t="s">
        <v>12</v>
      </c>
      <c r="B44" s="18"/>
      <c r="C44" s="18"/>
      <c r="D44" s="18"/>
      <c r="E44" s="18"/>
      <c r="F44" s="18"/>
    </row>
    <row r="45" spans="1:6" x14ac:dyDescent="0.4">
      <c r="A45" s="19" t="s">
        <v>0</v>
      </c>
      <c r="B45" s="16"/>
      <c r="C45" s="16"/>
      <c r="D45" s="16"/>
      <c r="E45" s="16"/>
      <c r="F45" s="16"/>
    </row>
    <row r="46" spans="1:6" x14ac:dyDescent="0.4">
      <c r="A46" s="20" t="s">
        <v>50</v>
      </c>
      <c r="B46" s="16"/>
      <c r="C46" s="16"/>
      <c r="D46" s="16"/>
      <c r="E46" s="16"/>
      <c r="F46" s="16"/>
    </row>
    <row r="47" spans="1:6" x14ac:dyDescent="0.4">
      <c r="A47" s="20" t="s">
        <v>29</v>
      </c>
      <c r="B47" s="16"/>
      <c r="C47" s="16"/>
      <c r="D47" s="16"/>
      <c r="E47" s="16"/>
      <c r="F47" s="16"/>
    </row>
    <row r="48" spans="1:6" x14ac:dyDescent="0.4">
      <c r="A48" s="20" t="s">
        <v>30</v>
      </c>
      <c r="B48" s="16"/>
      <c r="C48" s="16"/>
      <c r="D48" s="16"/>
      <c r="E48" s="16"/>
      <c r="F48" s="16"/>
    </row>
    <row r="51" spans="1:7" x14ac:dyDescent="0.4">
      <c r="A51" s="2" t="s">
        <v>32</v>
      </c>
      <c r="B51" s="2" t="s">
        <v>6</v>
      </c>
      <c r="C51" s="2" t="s">
        <v>7</v>
      </c>
      <c r="D51" s="3" t="s">
        <v>33</v>
      </c>
    </row>
    <row r="52" spans="1:7" x14ac:dyDescent="0.4">
      <c r="A52" s="4" t="s">
        <v>62</v>
      </c>
      <c r="B52" s="5">
        <v>10</v>
      </c>
      <c r="C52" s="5">
        <v>7</v>
      </c>
      <c r="D52" s="6" t="str">
        <f>IF(AND(B52&gt;=$G$55,C52&gt;=$G$56),"Да", "Нет")</f>
        <v>Да</v>
      </c>
    </row>
    <row r="53" spans="1:7" x14ac:dyDescent="0.4">
      <c r="A53" s="4" t="s">
        <v>63</v>
      </c>
      <c r="B53" s="5">
        <v>3</v>
      </c>
      <c r="C53" s="5">
        <v>5</v>
      </c>
      <c r="D53" s="6" t="str">
        <f t="shared" ref="D53:D56" si="4">IF(AND(B53&gt;=$G$55,C53&gt;=$G$56),"Да", "Нет")</f>
        <v>Нет</v>
      </c>
    </row>
    <row r="54" spans="1:7" x14ac:dyDescent="0.4">
      <c r="A54" s="4" t="s">
        <v>64</v>
      </c>
      <c r="B54" s="5">
        <v>6</v>
      </c>
      <c r="C54" s="5">
        <v>8</v>
      </c>
      <c r="D54" s="6" t="str">
        <f t="shared" si="4"/>
        <v>Да</v>
      </c>
      <c r="F54" s="15" t="s">
        <v>1</v>
      </c>
      <c r="G54" s="16"/>
    </row>
    <row r="55" spans="1:7" x14ac:dyDescent="0.4">
      <c r="A55" s="4" t="s">
        <v>65</v>
      </c>
      <c r="B55" s="5">
        <v>2</v>
      </c>
      <c r="C55" s="5">
        <v>10</v>
      </c>
      <c r="D55" s="6" t="str">
        <f t="shared" si="4"/>
        <v>Нет</v>
      </c>
      <c r="F55" s="10" t="s">
        <v>31</v>
      </c>
      <c r="G55" s="11">
        <v>5</v>
      </c>
    </row>
    <row r="56" spans="1:7" x14ac:dyDescent="0.4">
      <c r="A56" s="4" t="s">
        <v>66</v>
      </c>
      <c r="B56" s="5">
        <v>8</v>
      </c>
      <c r="C56" s="5">
        <v>2</v>
      </c>
      <c r="D56" s="6" t="str">
        <f t="shared" si="4"/>
        <v>Нет</v>
      </c>
      <c r="F56" s="10" t="s">
        <v>7</v>
      </c>
      <c r="G56" s="11">
        <v>6</v>
      </c>
    </row>
    <row r="59" spans="1:7" ht="21" x14ac:dyDescent="0.4">
      <c r="A59" s="17" t="s">
        <v>13</v>
      </c>
      <c r="B59" s="18"/>
      <c r="C59" s="18"/>
      <c r="D59" s="18"/>
      <c r="E59" s="18"/>
      <c r="F59" s="18"/>
    </row>
    <row r="60" spans="1:7" x14ac:dyDescent="0.4">
      <c r="A60" s="19" t="s">
        <v>0</v>
      </c>
      <c r="B60" s="16"/>
      <c r="C60" s="16"/>
      <c r="D60" s="16"/>
      <c r="E60" s="16"/>
      <c r="F60" s="16"/>
    </row>
    <row r="61" spans="1:7" x14ac:dyDescent="0.4">
      <c r="A61" s="20" t="s">
        <v>34</v>
      </c>
      <c r="B61" s="16"/>
      <c r="C61" s="16"/>
      <c r="D61" s="16"/>
      <c r="E61" s="16"/>
      <c r="F61" s="16"/>
    </row>
    <row r="62" spans="1:7" x14ac:dyDescent="0.4">
      <c r="A62" s="20" t="s">
        <v>35</v>
      </c>
      <c r="B62" s="16"/>
      <c r="C62" s="16"/>
      <c r="D62" s="16"/>
      <c r="E62" s="16"/>
      <c r="F62" s="16"/>
    </row>
    <row r="63" spans="1:7" x14ac:dyDescent="0.4">
      <c r="A63" s="20" t="s">
        <v>36</v>
      </c>
      <c r="B63" s="16"/>
      <c r="C63" s="16"/>
      <c r="D63" s="16"/>
      <c r="E63" s="16"/>
      <c r="F63" s="16"/>
    </row>
    <row r="66" spans="1:7" x14ac:dyDescent="0.4">
      <c r="A66" s="2" t="s">
        <v>39</v>
      </c>
      <c r="B66" s="2" t="s">
        <v>40</v>
      </c>
      <c r="C66" s="2" t="s">
        <v>41</v>
      </c>
      <c r="D66" s="2" t="s">
        <v>42</v>
      </c>
      <c r="F66" s="22" t="s">
        <v>1</v>
      </c>
      <c r="G66" s="16"/>
    </row>
    <row r="67" spans="1:7" x14ac:dyDescent="0.4">
      <c r="A67" s="4" t="s">
        <v>52</v>
      </c>
      <c r="B67" s="5">
        <v>85</v>
      </c>
      <c r="C67" s="5">
        <v>75</v>
      </c>
      <c r="D67" s="6" t="str">
        <f>IF(AND(B67&gt;=$G$67,C67&gt;=$G$68),"Выдан", "Не выдан")</f>
        <v>Выдан</v>
      </c>
      <c r="F67" s="10" t="s">
        <v>37</v>
      </c>
      <c r="G67" s="11">
        <v>80</v>
      </c>
    </row>
    <row r="68" spans="1:7" x14ac:dyDescent="0.4">
      <c r="A68" s="4" t="s">
        <v>53</v>
      </c>
      <c r="B68" s="5">
        <v>75</v>
      </c>
      <c r="C68" s="5">
        <v>80</v>
      </c>
      <c r="D68" s="6" t="str">
        <f t="shared" ref="D68:D71" si="5">IF(AND(B68&gt;=$G$67,C68&gt;=$G$68),"Выдан", "Не выдан")</f>
        <v>Не выдан</v>
      </c>
      <c r="F68" s="10" t="s">
        <v>38</v>
      </c>
      <c r="G68" s="11">
        <v>70</v>
      </c>
    </row>
    <row r="69" spans="1:7" x14ac:dyDescent="0.4">
      <c r="A69" s="4" t="s">
        <v>54</v>
      </c>
      <c r="B69" s="5">
        <v>100</v>
      </c>
      <c r="C69" s="5">
        <v>95</v>
      </c>
      <c r="D69" s="6" t="str">
        <f t="shared" si="5"/>
        <v>Выдан</v>
      </c>
    </row>
    <row r="70" spans="1:7" x14ac:dyDescent="0.4">
      <c r="A70" s="4" t="s">
        <v>55</v>
      </c>
      <c r="B70" s="5">
        <v>60</v>
      </c>
      <c r="C70" s="5">
        <v>65</v>
      </c>
      <c r="D70" s="6" t="str">
        <f t="shared" si="5"/>
        <v>Не выдан</v>
      </c>
    </row>
    <row r="71" spans="1:7" x14ac:dyDescent="0.4">
      <c r="A71" s="4" t="s">
        <v>56</v>
      </c>
      <c r="B71" s="5">
        <v>90</v>
      </c>
      <c r="C71" s="5">
        <v>68</v>
      </c>
      <c r="D71" s="6" t="str">
        <f t="shared" si="5"/>
        <v>Не выдан</v>
      </c>
    </row>
    <row r="77" spans="1:7" ht="21" x14ac:dyDescent="0.4">
      <c r="A77" s="17" t="s">
        <v>14</v>
      </c>
      <c r="B77" s="18"/>
      <c r="C77" s="18"/>
      <c r="D77" s="18"/>
      <c r="E77" s="18"/>
      <c r="F77" s="18"/>
    </row>
    <row r="78" spans="1:7" x14ac:dyDescent="0.4">
      <c r="A78" s="19" t="s">
        <v>0</v>
      </c>
      <c r="B78" s="16"/>
      <c r="C78" s="16"/>
      <c r="D78" s="16"/>
      <c r="E78" s="16"/>
      <c r="F78" s="16"/>
    </row>
    <row r="79" spans="1:7" x14ac:dyDescent="0.4">
      <c r="A79" s="20" t="s">
        <v>51</v>
      </c>
      <c r="B79" s="16"/>
      <c r="C79" s="16"/>
      <c r="D79" s="16"/>
      <c r="E79" s="16"/>
      <c r="F79" s="16"/>
    </row>
    <row r="80" spans="1:7" x14ac:dyDescent="0.4">
      <c r="A80" s="20" t="s">
        <v>15</v>
      </c>
      <c r="B80" s="16"/>
      <c r="C80" s="16"/>
      <c r="D80" s="16"/>
      <c r="E80" s="16"/>
      <c r="F80" s="16"/>
    </row>
    <row r="81" spans="1:7" x14ac:dyDescent="0.4">
      <c r="A81" s="20" t="s">
        <v>16</v>
      </c>
      <c r="B81" s="16"/>
      <c r="C81" s="16"/>
      <c r="D81" s="16"/>
      <c r="E81" s="16"/>
      <c r="F81" s="16"/>
    </row>
    <row r="84" spans="1:7" ht="22" customHeight="1" x14ac:dyDescent="0.4">
      <c r="A84" s="2" t="s">
        <v>43</v>
      </c>
      <c r="B84" s="2" t="s">
        <v>44</v>
      </c>
      <c r="C84" s="2" t="s">
        <v>7</v>
      </c>
      <c r="D84" s="3" t="s">
        <v>45</v>
      </c>
      <c r="F84" s="15" t="s">
        <v>1</v>
      </c>
      <c r="G84" s="16"/>
    </row>
    <row r="85" spans="1:7" x14ac:dyDescent="0.4">
      <c r="A85" s="4" t="s">
        <v>67</v>
      </c>
      <c r="B85" s="12">
        <v>800</v>
      </c>
      <c r="C85" s="5">
        <v>5</v>
      </c>
      <c r="D85" s="13">
        <f>IF(OR(B85&gt;$G$86,C85&gt;$G$85),B85*(100%-$G$87),B85)</f>
        <v>720</v>
      </c>
      <c r="F85" s="1" t="s">
        <v>8</v>
      </c>
      <c r="G85" s="11">
        <v>6</v>
      </c>
    </row>
    <row r="86" spans="1:7" x14ac:dyDescent="0.4">
      <c r="A86" s="4" t="s">
        <v>68</v>
      </c>
      <c r="B86" s="12">
        <v>500</v>
      </c>
      <c r="C86" s="5">
        <v>7</v>
      </c>
      <c r="D86" s="13">
        <f t="shared" ref="D86:D89" si="6">IF(OR(B86&gt;$G$86,C86&gt;$G$85),B86*(100%-$G$87),B86)</f>
        <v>450</v>
      </c>
      <c r="F86" s="1" t="s">
        <v>46</v>
      </c>
      <c r="G86" s="11">
        <v>700</v>
      </c>
    </row>
    <row r="87" spans="1:7" x14ac:dyDescent="0.4">
      <c r="A87" s="4" t="s">
        <v>69</v>
      </c>
      <c r="B87" s="12">
        <v>300</v>
      </c>
      <c r="C87" s="5">
        <v>4</v>
      </c>
      <c r="D87" s="13">
        <f t="shared" si="6"/>
        <v>300</v>
      </c>
      <c r="F87" s="1" t="s">
        <v>47</v>
      </c>
      <c r="G87" s="14">
        <v>0.1</v>
      </c>
    </row>
    <row r="88" spans="1:7" x14ac:dyDescent="0.4">
      <c r="A88" s="4" t="s">
        <v>70</v>
      </c>
      <c r="B88" s="12">
        <v>1500</v>
      </c>
      <c r="C88" s="5">
        <v>8</v>
      </c>
      <c r="D88" s="13">
        <f t="shared" si="6"/>
        <v>1350</v>
      </c>
    </row>
    <row r="89" spans="1:7" x14ac:dyDescent="0.4">
      <c r="A89" s="4" t="s">
        <v>71</v>
      </c>
      <c r="B89" s="12">
        <v>600</v>
      </c>
      <c r="C89" s="5">
        <v>2</v>
      </c>
      <c r="D89" s="13">
        <f t="shared" si="6"/>
        <v>600</v>
      </c>
    </row>
  </sheetData>
  <mergeCells count="31">
    <mergeCell ref="A16:F16"/>
    <mergeCell ref="A17:F17"/>
    <mergeCell ref="A18:F18"/>
    <mergeCell ref="A1:F1"/>
    <mergeCell ref="A3:F3"/>
    <mergeCell ref="E10:F10"/>
    <mergeCell ref="A4:F4"/>
    <mergeCell ref="A5:F5"/>
    <mergeCell ref="F66:G66"/>
    <mergeCell ref="A45:F45"/>
    <mergeCell ref="A46:F46"/>
    <mergeCell ref="A47:F47"/>
    <mergeCell ref="A48:F48"/>
    <mergeCell ref="F54:G54"/>
    <mergeCell ref="A59:F59"/>
    <mergeCell ref="A19:F20"/>
    <mergeCell ref="A60:F60"/>
    <mergeCell ref="A61:F61"/>
    <mergeCell ref="A62:F62"/>
    <mergeCell ref="A63:F63"/>
    <mergeCell ref="A30:F30"/>
    <mergeCell ref="A31:F31"/>
    <mergeCell ref="A32:F32"/>
    <mergeCell ref="A33:F33"/>
    <mergeCell ref="A44:F44"/>
    <mergeCell ref="F84:G84"/>
    <mergeCell ref="A77:F77"/>
    <mergeCell ref="A78:F78"/>
    <mergeCell ref="A79:F79"/>
    <mergeCell ref="A80:F80"/>
    <mergeCell ref="A81:F8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ЕСЛИ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Решетникова Марина Сергеевна</dc:creator>
  <cp:lastModifiedBy>Erland Adestio Sadana</cp:lastModifiedBy>
  <dcterms:created xsi:type="dcterms:W3CDTF">2026-03-20T12:48:44Z</dcterms:created>
  <dcterms:modified xsi:type="dcterms:W3CDTF">2026-03-27T11:48:25Z</dcterms:modified>
</cp:coreProperties>
</file>