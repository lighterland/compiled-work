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75A9058E-145E-4248-B08F-B80F84C998C3}" xr6:coauthVersionLast="47" xr6:coauthVersionMax="47" xr10:uidLastSave="{00000000-0000-0000-0000-000000000000}"/>
  <bookViews>
    <workbookView xWindow="-110" yWindow="-110" windowWidth="29020" windowHeight="17500" activeTab="1" xr2:uid="{0608192A-5CBF-430F-A617-827D8C3ADC91}"/>
  </bookViews>
  <sheets>
    <sheet name="1" sheetId="1" r:id="rId1"/>
    <sheet name="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3" l="1" a="1"/>
  <c r="H18" i="3" s="1"/>
  <c r="G19" i="3"/>
  <c r="G20" i="3"/>
  <c r="G21" i="3"/>
  <c r="G22" i="3"/>
  <c r="G18" i="3"/>
  <c r="K18" i="3" a="1"/>
  <c r="K18" i="3" s="1"/>
  <c r="K3" i="3"/>
  <c r="L3" i="3"/>
  <c r="M3" i="3"/>
  <c r="N3" i="3"/>
  <c r="J3" i="3"/>
  <c r="H18" i="1" a="1"/>
  <c r="H18" i="1" s="1"/>
  <c r="G19" i="1"/>
  <c r="G20" i="1"/>
  <c r="G21" i="1"/>
  <c r="G22" i="1"/>
  <c r="G18" i="1"/>
  <c r="K18" i="1" a="1"/>
  <c r="K18" i="1"/>
  <c r="K3" i="1"/>
  <c r="L3" i="1"/>
  <c r="M3" i="1"/>
  <c r="N3" i="1"/>
  <c r="J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<sst xmlns="http://schemas.openxmlformats.org/spreadsheetml/2006/main" count="44" uniqueCount="23">
  <si>
    <t>Год</t>
  </si>
  <si>
    <t>Рост денежной массы (%)</t>
  </si>
  <si>
    <t>Рост заработной платы (%)</t>
  </si>
  <si>
    <t>Рост цен на нефть (%)</t>
  </si>
  <si>
    <t>Уровень безработицы (%)</t>
  </si>
  <si>
    <t>Дефицит бюджета (% от ВВП)</t>
  </si>
  <si>
    <t>Ставка инфляции (%)</t>
  </si>
  <si>
    <t>Коэффициенты корреляции со ставкой инфляции:</t>
  </si>
  <si>
    <t>ЛИНЕЙН</t>
  </si>
  <si>
    <t>ТЕНДЕНЦИЯ</t>
  </si>
  <si>
    <t>Результаты функции ЛИНЕЙН:</t>
  </si>
  <si>
    <t>коэффициент k</t>
  </si>
  <si>
    <t>коэффициент b</t>
  </si>
  <si>
    <t>Корпоративная прибыль (%)</t>
  </si>
  <si>
    <t>Процентная ставка (%)</t>
  </si>
  <si>
    <t>Индекс потребительского доверия</t>
  </si>
  <si>
    <t>Изменение торгового баланса (%)</t>
  </si>
  <si>
    <t>Рост ВВП (%)</t>
  </si>
  <si>
    <t>Рост индекса фондового рынка (%)</t>
  </si>
  <si>
    <t>Стандартные ошибки</t>
  </si>
  <si>
    <t>Коэффициент детерминации и стандартная ошибка</t>
  </si>
  <si>
    <t>F-статистика и число степеней свободы</t>
  </si>
  <si>
    <t>Суммы квадратов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</si>
</sst>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charset val="204"/>
      <scheme val="minor"/>
    </font>
    <font>
      <b/>
      <sz val="11"/>
      <color rgb="FFFF00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2" fillId="0" borderId="1" xfId="0" applyFont="1" applyBorder="1"/>
    <xf numFmtId="0" fontId="0" fillId="0" borderId="1" xfId="0" applyBorder="1"/>
    <xf numFmtId="0" fontId="5" fillId="4" borderId="1" xfId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1" defaultTableStyle="TableStyleMedium2" defaultPivotStyle="PivotStyleLight16">
    <tableStyle name="Invisible" pivot="0" table="0" count="0" xr9:uid="{E9222819-CAFD-469D-ABCD-544F7B356FF6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28686</xdr:colOff>
      <xdr:row>3</xdr:row>
      <xdr:rowOff>161364</xdr:rowOff>
    </xdr:from>
    <xdr:to>
      <xdr:col>15</xdr:col>
      <xdr:colOff>89646</xdr:colOff>
      <xdr:row>14</xdr:row>
      <xdr:rowOff>134469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8349E6AC-CBB6-4D87-B431-2B458641B390}"/>
            </a:ext>
          </a:extLst>
        </xdr:cNvPr>
        <xdr:cNvSpPr/>
      </xdr:nvSpPr>
      <xdr:spPr bwMode="auto">
        <a:xfrm>
          <a:off x="7738333" y="1066799"/>
          <a:ext cx="5914913" cy="1945341"/>
        </a:xfrm>
        <a:prstGeom prst="roundRect">
          <a:avLst>
            <a:gd name="adj" fmla="val 4637"/>
          </a:avLst>
        </a:prstGeom>
        <a:solidFill>
          <a:srgbClr val="FFFFCC"/>
        </a:solidFill>
        <a:ln w="3175">
          <a:solidFill>
            <a:sysClr val="windowText" lastClr="000000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r>
            <a:rPr lang="ru-RU" sz="1100" b="1">
              <a:solidFill>
                <a:srgbClr val="00B050"/>
              </a:solidFill>
            </a:rPr>
            <a:t>ЗАДАНИЕ:</a:t>
          </a:r>
          <a:endParaRPr/>
        </a:p>
        <a:p>
          <a:pPr algn="l">
            <a:defRPr/>
          </a:pPr>
          <a:endParaRPr lang="ru-RU" sz="1100" b="1">
            <a:solidFill>
              <a:srgbClr val="00B050"/>
            </a:solidFill>
          </a:endParaRPr>
        </a:p>
        <a:p>
          <a:pPr algn="l">
            <a:defRPr/>
          </a:pPr>
          <a:r>
            <a:rPr lang="ru-RU" sz="1100" b="0">
              <a:solidFill>
                <a:sysClr val="windowText" lastClr="000000"/>
              </a:solidFill>
            </a:rPr>
            <a:t>Расчитайте</a:t>
          </a:r>
          <a:r>
            <a:rPr lang="ru-RU" sz="1100" b="0" baseline="0">
              <a:solidFill>
                <a:sysClr val="windowText" lastClr="000000"/>
              </a:solidFill>
            </a:rPr>
            <a:t> прогнозные значения для ставки инфляции, используя наиболее подходящий фактор.</a:t>
          </a:r>
        </a:p>
        <a:p>
          <a:pPr algn="l">
            <a:defRPr/>
          </a:pPr>
          <a:r>
            <a:rPr lang="ru-RU" sz="1100" b="0" baseline="0">
              <a:solidFill>
                <a:sysClr val="windowText" lastClr="000000"/>
              </a:solidFill>
            </a:rPr>
            <a:t>1) Рассчитайте коэффициент корреляции, наибольший по модулю выделите желтой заливкой</a:t>
          </a:r>
          <a:r>
            <a:rPr lang="en-US" sz="1100" b="0" baseline="0">
              <a:solidFill>
                <a:sysClr val="windowText" lastClr="000000"/>
              </a:solidFill>
            </a:rPr>
            <a:t>;</a:t>
          </a:r>
          <a:endParaRPr lang="ru-RU" sz="1100" b="0" baseline="0">
            <a:solidFill>
              <a:sysClr val="windowText" lastClr="000000"/>
            </a:solidFill>
          </a:endParaRPr>
        </a:p>
        <a:p>
          <a:pPr algn="l">
            <a:defRPr/>
          </a:pPr>
          <a:r>
            <a:rPr lang="ru-RU" sz="1100" b="0" baseline="0">
              <a:solidFill>
                <a:sysClr val="windowText" lastClr="000000"/>
              </a:solidFill>
            </a:rPr>
            <a:t>2) Расчитайте показатели регрессии функцией ЛИНЕЙН</a:t>
          </a:r>
        </a:p>
        <a:p>
          <a:pPr algn="l">
            <a:defRPr/>
          </a:pPr>
          <a:r>
            <a:rPr lang="ru-RU" sz="1100" b="0" baseline="0">
              <a:solidFill>
                <a:sysClr val="windowText" lastClr="000000"/>
              </a:solidFill>
            </a:rPr>
            <a:t>3) Расчитайте прогнозные показатели, продолжив столбец ставки инфляции формулой </a:t>
          </a:r>
          <a:r>
            <a:rPr lang="en-US" sz="1100" b="1" baseline="0">
              <a:solidFill>
                <a:sysClr val="windowText" lastClr="000000"/>
              </a:solidFill>
            </a:rPr>
            <a:t>=k*X+b</a:t>
          </a:r>
          <a:r>
            <a:rPr lang="ru-RU" sz="1100" b="1" baseline="0">
              <a:solidFill>
                <a:sysClr val="windowText" lastClr="000000"/>
              </a:solidFill>
            </a:rPr>
            <a:t> </a:t>
          </a:r>
          <a:r>
            <a:rPr lang="en-US" sz="1100" b="0" baseline="0">
              <a:solidFill>
                <a:sysClr val="windowText" lastClr="000000"/>
              </a:solidFill>
            </a:rPr>
            <a:t>(</a:t>
          </a:r>
          <a:r>
            <a:rPr lang="ru-RU" sz="1100" b="0" baseline="0">
              <a:solidFill>
                <a:sysClr val="windowText" lastClr="000000"/>
              </a:solidFill>
            </a:rPr>
            <a:t>указав соответствующие значения)</a:t>
          </a:r>
        </a:p>
        <a:p>
          <a:pPr algn="l">
            <a:defRPr/>
          </a:pPr>
          <a:r>
            <a:rPr lang="ru-RU" sz="1100" b="0" baseline="0">
              <a:solidFill>
                <a:sysClr val="windowText" lastClr="000000"/>
              </a:solidFill>
            </a:rPr>
            <a:t>4) Расчитайте прогнозные показатели в диапазоне </a:t>
          </a:r>
          <a:r>
            <a:rPr lang="en-US" sz="1100" b="0" baseline="0">
              <a:solidFill>
                <a:sysClr val="windowText" lastClr="000000"/>
              </a:solidFill>
            </a:rPr>
            <a:t>H1</a:t>
          </a:r>
          <a:r>
            <a:rPr lang="ru-RU" sz="1100" b="0" baseline="0">
              <a:solidFill>
                <a:sysClr val="windowText" lastClr="000000"/>
              </a:solidFill>
            </a:rPr>
            <a:t>8</a:t>
          </a:r>
          <a:r>
            <a:rPr lang="en-US" sz="1100" b="0" baseline="0">
              <a:solidFill>
                <a:sysClr val="windowText" lastClr="000000"/>
              </a:solidFill>
            </a:rPr>
            <a:t>:H2</a:t>
          </a:r>
          <a:r>
            <a:rPr lang="ru-RU" sz="1100" b="0" baseline="0">
              <a:solidFill>
                <a:sysClr val="windowText" lastClr="000000"/>
              </a:solidFill>
            </a:rPr>
            <a:t>2, используя функцию ТЕНДЕНЦИЯ</a:t>
          </a:r>
          <a:endParaRPr lang="ru-RU" sz="1100" b="1" baseline="0">
            <a:solidFill>
              <a:sysClr val="windowText" lastClr="000000"/>
            </a:solidFill>
          </a:endParaRPr>
        </a:p>
        <a:p>
          <a:pPr algn="l">
            <a:defRPr/>
          </a:pPr>
          <a:endParaRPr lang="ru-RU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28686</xdr:colOff>
      <xdr:row>3</xdr:row>
      <xdr:rowOff>161364</xdr:rowOff>
    </xdr:from>
    <xdr:to>
      <xdr:col>15</xdr:col>
      <xdr:colOff>89646</xdr:colOff>
      <xdr:row>14</xdr:row>
      <xdr:rowOff>134469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A97C27D7-A40D-47F1-AC83-60F8B1F8D73F}"/>
            </a:ext>
          </a:extLst>
        </xdr:cNvPr>
        <xdr:cNvSpPr/>
      </xdr:nvSpPr>
      <xdr:spPr bwMode="auto">
        <a:xfrm>
          <a:off x="7770606" y="1075764"/>
          <a:ext cx="5928360" cy="1984785"/>
        </a:xfrm>
        <a:prstGeom prst="roundRect">
          <a:avLst>
            <a:gd name="adj" fmla="val 4637"/>
          </a:avLst>
        </a:prstGeom>
        <a:solidFill>
          <a:srgbClr val="FFFFCC"/>
        </a:solidFill>
        <a:ln w="3175">
          <a:solidFill>
            <a:sysClr val="windowText" lastClr="000000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r>
            <a:rPr lang="ru-RU" sz="1100" b="1">
              <a:solidFill>
                <a:srgbClr val="00B050"/>
              </a:solidFill>
            </a:rPr>
            <a:t>ЗАДАНИЕ:</a:t>
          </a:r>
          <a:endParaRPr/>
        </a:p>
        <a:p>
          <a:pPr algn="l">
            <a:defRPr/>
          </a:pPr>
          <a:endParaRPr lang="ru-RU" sz="1100" b="1">
            <a:solidFill>
              <a:srgbClr val="00B050"/>
            </a:solidFill>
          </a:endParaRPr>
        </a:p>
        <a:p>
          <a:pPr algn="l">
            <a:defRPr/>
          </a:pPr>
          <a:r>
            <a:rPr lang="ru-RU" sz="1100" b="0">
              <a:solidFill>
                <a:sysClr val="windowText" lastClr="000000"/>
              </a:solidFill>
            </a:rPr>
            <a:t>Расчитайте</a:t>
          </a:r>
          <a:r>
            <a:rPr lang="ru-RU" sz="1100" b="0" baseline="0">
              <a:solidFill>
                <a:sysClr val="windowText" lastClr="000000"/>
              </a:solidFill>
            </a:rPr>
            <a:t> прогнозные значения для роста индекса фондового рынка, используя наиболее подходящий фактор.</a:t>
          </a:r>
        </a:p>
        <a:p>
          <a:pPr algn="l">
            <a:defRPr/>
          </a:pPr>
          <a:r>
            <a:rPr lang="ru-RU" sz="1100" b="0" baseline="0">
              <a:solidFill>
                <a:sysClr val="windowText" lastClr="000000"/>
              </a:solidFill>
            </a:rPr>
            <a:t>1) Рассчитайте коэффициент корреляции, наибольший по модулю выделите желтой заливкой</a:t>
          </a:r>
          <a:r>
            <a:rPr lang="en-US" sz="1100" b="0" baseline="0">
              <a:solidFill>
                <a:sysClr val="windowText" lastClr="000000"/>
              </a:solidFill>
            </a:rPr>
            <a:t>;</a:t>
          </a:r>
          <a:endParaRPr lang="ru-RU" sz="1100" b="0" baseline="0">
            <a:solidFill>
              <a:sysClr val="windowText" lastClr="000000"/>
            </a:solidFill>
          </a:endParaRPr>
        </a:p>
        <a:p>
          <a:pPr algn="l">
            <a:defRPr/>
          </a:pPr>
          <a:r>
            <a:rPr lang="ru-RU" sz="1100" b="0" baseline="0">
              <a:solidFill>
                <a:sysClr val="windowText" lastClr="000000"/>
              </a:solidFill>
            </a:rPr>
            <a:t>2) Расчитайте показатели регрессии функцией ЛИНЕЙН</a:t>
          </a:r>
        </a:p>
        <a:p>
          <a:pPr algn="l">
            <a:defRPr/>
          </a:pPr>
          <a:r>
            <a:rPr lang="ru-RU" sz="1100" b="0" baseline="0">
              <a:solidFill>
                <a:sysClr val="windowText" lastClr="000000"/>
              </a:solidFill>
            </a:rPr>
            <a:t>3) Расчитайте прогнозные показатели, продолжив столбец ставки роста индекса фондового рынка формулой </a:t>
          </a:r>
          <a:r>
            <a:rPr lang="en-US" sz="1100" b="1" baseline="0">
              <a:solidFill>
                <a:sysClr val="windowText" lastClr="000000"/>
              </a:solidFill>
            </a:rPr>
            <a:t>=k*X+b</a:t>
          </a:r>
          <a:r>
            <a:rPr lang="ru-RU" sz="1100" b="1" baseline="0">
              <a:solidFill>
                <a:sysClr val="windowText" lastClr="000000"/>
              </a:solidFill>
            </a:rPr>
            <a:t> </a:t>
          </a:r>
          <a:r>
            <a:rPr lang="en-US" sz="1100" b="0" baseline="0">
              <a:solidFill>
                <a:sysClr val="windowText" lastClr="000000"/>
              </a:solidFill>
            </a:rPr>
            <a:t>(</a:t>
          </a:r>
          <a:r>
            <a:rPr lang="ru-RU" sz="1100" b="0" baseline="0">
              <a:solidFill>
                <a:sysClr val="windowText" lastClr="000000"/>
              </a:solidFill>
            </a:rPr>
            <a:t>указав соответствующие значения)</a:t>
          </a:r>
        </a:p>
        <a:p>
          <a:pPr algn="l">
            <a:defRPr/>
          </a:pPr>
          <a:r>
            <a:rPr lang="ru-RU" sz="1100" b="0" baseline="0">
              <a:solidFill>
                <a:sysClr val="windowText" lastClr="000000"/>
              </a:solidFill>
            </a:rPr>
            <a:t>4) Расчитайте прогнозные показатели в диапазоне </a:t>
          </a:r>
          <a:r>
            <a:rPr lang="en-US" sz="1100" b="0" baseline="0">
              <a:solidFill>
                <a:sysClr val="windowText" lastClr="000000"/>
              </a:solidFill>
            </a:rPr>
            <a:t>H1</a:t>
          </a:r>
          <a:r>
            <a:rPr lang="ru-RU" sz="1100" b="0" baseline="0">
              <a:solidFill>
                <a:sysClr val="windowText" lastClr="000000"/>
              </a:solidFill>
            </a:rPr>
            <a:t>8</a:t>
          </a:r>
          <a:r>
            <a:rPr lang="en-US" sz="1100" b="0" baseline="0">
              <a:solidFill>
                <a:sysClr val="windowText" lastClr="000000"/>
              </a:solidFill>
            </a:rPr>
            <a:t>:H2</a:t>
          </a:r>
          <a:r>
            <a:rPr lang="ru-RU" sz="1100" b="0" baseline="0">
              <a:solidFill>
                <a:sysClr val="windowText" lastClr="000000"/>
              </a:solidFill>
            </a:rPr>
            <a:t>2, используя функцию ТЕНДЕНЦИЯ</a:t>
          </a:r>
          <a:endParaRPr lang="ru-RU" sz="1100" b="1" baseline="0">
            <a:solidFill>
              <a:sysClr val="windowText" lastClr="000000"/>
            </a:solidFill>
          </a:endParaRPr>
        </a:p>
        <a:p>
          <a:pPr algn="l">
            <a:defRPr/>
          </a:pPr>
          <a:endParaRPr lang="ru-RU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32F7-82A2-4FA0-BB4C-B0ADA4A8DC0D}">
  <dimension ref="A1:N23"/>
  <sheetViews>
    <sheetView topLeftCell="B1" zoomScale="111" zoomScaleNormal="100" workbookViewId="0">
      <selection activeCell="H18" sqref="H18"/>
    </sheetView>
  </sheetViews>
  <sheetFormatPr defaultRowHeight="14.5" x14ac:dyDescent="0.35"/>
  <cols>
    <col min="1" max="8" width="13" customWidth="1"/>
    <col min="10" max="14" width="15.36328125" customWidth="1"/>
  </cols>
  <sheetData>
    <row r="1" spans="1:14" x14ac:dyDescent="0.35">
      <c r="J1" s="3" t="s">
        <v>7</v>
      </c>
    </row>
    <row r="2" spans="1:14" ht="43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J2" s="14" t="s">
        <v>1</v>
      </c>
      <c r="K2" s="5" t="s">
        <v>2</v>
      </c>
      <c r="L2" s="5" t="s">
        <v>3</v>
      </c>
      <c r="M2" s="5" t="s">
        <v>4</v>
      </c>
      <c r="N2" s="5" t="s">
        <v>5</v>
      </c>
    </row>
    <row r="3" spans="1:14" x14ac:dyDescent="0.35">
      <c r="A3" s="2">
        <v>2001</v>
      </c>
      <c r="B3" s="2">
        <v>7</v>
      </c>
      <c r="C3" s="2">
        <v>7</v>
      </c>
      <c r="D3" s="2">
        <v>5</v>
      </c>
      <c r="E3" s="2">
        <v>6</v>
      </c>
      <c r="F3" s="2">
        <v>2</v>
      </c>
      <c r="G3" s="2">
        <v>6</v>
      </c>
      <c r="J3" s="13">
        <f>CORREL($G$3:$G$17,B$3:B$17)</f>
        <v>0.84205510413006646</v>
      </c>
      <c r="K3" s="13">
        <f t="shared" ref="K3:N3" si="0">CORREL($G$3:$G$17,C$3:C$17)</f>
        <v>0.69120245794044988</v>
      </c>
      <c r="L3" s="13">
        <f t="shared" si="0"/>
        <v>0.48201854649194742</v>
      </c>
      <c r="M3" s="13">
        <f t="shared" si="0"/>
        <v>-0.71467573317993582</v>
      </c>
      <c r="N3" s="13">
        <f t="shared" si="0"/>
        <v>-9.7189731086753023E-2</v>
      </c>
    </row>
    <row r="4" spans="1:14" x14ac:dyDescent="0.35">
      <c r="A4" s="2">
        <v>2002</v>
      </c>
      <c r="B4" s="2">
        <v>5</v>
      </c>
      <c r="C4" s="2">
        <v>5</v>
      </c>
      <c r="D4" s="2">
        <v>5</v>
      </c>
      <c r="E4" s="2">
        <v>5</v>
      </c>
      <c r="F4" s="2">
        <v>4</v>
      </c>
      <c r="G4" s="2">
        <v>5</v>
      </c>
    </row>
    <row r="5" spans="1:14" x14ac:dyDescent="0.35">
      <c r="A5" s="2">
        <v>2003</v>
      </c>
      <c r="B5" s="2">
        <v>6</v>
      </c>
      <c r="C5" s="2">
        <v>6</v>
      </c>
      <c r="D5" s="2">
        <v>4</v>
      </c>
      <c r="E5" s="2">
        <v>7</v>
      </c>
      <c r="F5" s="2">
        <v>4</v>
      </c>
      <c r="G5" s="2">
        <v>6</v>
      </c>
    </row>
    <row r="6" spans="1:14" x14ac:dyDescent="0.35">
      <c r="A6" s="2">
        <v>2004</v>
      </c>
      <c r="B6" s="2">
        <v>6</v>
      </c>
      <c r="C6" s="2">
        <v>7</v>
      </c>
      <c r="D6" s="2">
        <v>5</v>
      </c>
      <c r="E6" s="2">
        <v>2</v>
      </c>
      <c r="F6" s="2">
        <v>4</v>
      </c>
      <c r="G6" s="2">
        <v>8</v>
      </c>
    </row>
    <row r="7" spans="1:14" x14ac:dyDescent="0.35">
      <c r="A7" s="2">
        <v>2005</v>
      </c>
      <c r="B7" s="2">
        <v>4</v>
      </c>
      <c r="C7" s="2">
        <v>3</v>
      </c>
      <c r="D7" s="2">
        <v>6</v>
      </c>
      <c r="E7" s="2">
        <v>7</v>
      </c>
      <c r="F7" s="2">
        <v>5</v>
      </c>
      <c r="G7" s="2">
        <v>5</v>
      </c>
    </row>
    <row r="8" spans="1:14" x14ac:dyDescent="0.35">
      <c r="A8" s="2">
        <v>2006</v>
      </c>
      <c r="B8" s="2">
        <v>5</v>
      </c>
      <c r="C8" s="2">
        <v>4</v>
      </c>
      <c r="D8" s="2">
        <v>7</v>
      </c>
      <c r="E8" s="2">
        <v>9</v>
      </c>
      <c r="F8" s="2">
        <v>6</v>
      </c>
      <c r="G8" s="2">
        <v>5</v>
      </c>
    </row>
    <row r="9" spans="1:14" x14ac:dyDescent="0.35">
      <c r="A9" s="2">
        <v>2007</v>
      </c>
      <c r="B9" s="2">
        <v>6</v>
      </c>
      <c r="C9" s="2">
        <v>7</v>
      </c>
      <c r="D9" s="2">
        <v>7</v>
      </c>
      <c r="E9" s="2">
        <v>2</v>
      </c>
      <c r="F9" s="2">
        <v>9</v>
      </c>
      <c r="G9" s="2">
        <v>8</v>
      </c>
    </row>
    <row r="10" spans="1:14" x14ac:dyDescent="0.35">
      <c r="A10" s="2">
        <v>2008</v>
      </c>
      <c r="B10" s="2">
        <v>7</v>
      </c>
      <c r="C10" s="2">
        <v>8</v>
      </c>
      <c r="D10" s="2">
        <v>8</v>
      </c>
      <c r="E10" s="2">
        <v>4</v>
      </c>
      <c r="F10" s="2">
        <v>6</v>
      </c>
      <c r="G10" s="2">
        <v>7</v>
      </c>
    </row>
    <row r="11" spans="1:14" x14ac:dyDescent="0.35">
      <c r="A11" s="2">
        <v>2009</v>
      </c>
      <c r="B11" s="2">
        <v>4</v>
      </c>
      <c r="C11" s="2">
        <v>5</v>
      </c>
      <c r="D11" s="2">
        <v>5</v>
      </c>
      <c r="E11" s="2">
        <v>7</v>
      </c>
      <c r="F11" s="2">
        <v>5</v>
      </c>
      <c r="G11" s="2">
        <v>4</v>
      </c>
    </row>
    <row r="12" spans="1:14" x14ac:dyDescent="0.35">
      <c r="A12" s="2">
        <v>2010</v>
      </c>
      <c r="B12" s="2">
        <v>6</v>
      </c>
      <c r="C12" s="2">
        <v>3</v>
      </c>
      <c r="D12" s="2">
        <v>5</v>
      </c>
      <c r="E12" s="2">
        <v>5</v>
      </c>
      <c r="F12" s="2">
        <v>5</v>
      </c>
      <c r="G12" s="2">
        <v>6</v>
      </c>
    </row>
    <row r="13" spans="1:14" x14ac:dyDescent="0.35">
      <c r="A13" s="2">
        <v>2011</v>
      </c>
      <c r="B13" s="2">
        <v>4</v>
      </c>
      <c r="C13" s="2">
        <v>5</v>
      </c>
      <c r="D13" s="2">
        <v>5</v>
      </c>
      <c r="E13" s="2">
        <v>4</v>
      </c>
      <c r="F13" s="2">
        <v>1</v>
      </c>
      <c r="G13" s="2">
        <v>4</v>
      </c>
    </row>
    <row r="14" spans="1:14" x14ac:dyDescent="0.35">
      <c r="A14" s="2">
        <v>2012</v>
      </c>
      <c r="B14" s="2">
        <v>6</v>
      </c>
      <c r="C14" s="2">
        <v>4</v>
      </c>
      <c r="D14" s="2">
        <v>7</v>
      </c>
      <c r="E14" s="2">
        <v>7</v>
      </c>
      <c r="F14" s="2">
        <v>5</v>
      </c>
      <c r="G14" s="2">
        <v>4</v>
      </c>
    </row>
    <row r="15" spans="1:14" x14ac:dyDescent="0.35">
      <c r="A15" s="2">
        <v>2013</v>
      </c>
      <c r="B15" s="2">
        <v>5</v>
      </c>
      <c r="C15" s="2">
        <v>4</v>
      </c>
      <c r="D15" s="2">
        <v>5</v>
      </c>
      <c r="E15" s="2">
        <v>4</v>
      </c>
      <c r="F15" s="2">
        <v>5</v>
      </c>
      <c r="G15" s="2">
        <v>5</v>
      </c>
    </row>
    <row r="16" spans="1:14" x14ac:dyDescent="0.35">
      <c r="A16" s="2">
        <v>2014</v>
      </c>
      <c r="B16" s="2">
        <v>0</v>
      </c>
      <c r="C16" s="2">
        <v>3</v>
      </c>
      <c r="D16" s="2">
        <v>5</v>
      </c>
      <c r="E16" s="2">
        <v>9</v>
      </c>
      <c r="F16" s="2">
        <v>10</v>
      </c>
      <c r="G16" s="2">
        <v>1</v>
      </c>
    </row>
    <row r="17" spans="1:13" ht="15" thickBot="1" x14ac:dyDescent="0.4">
      <c r="A17" s="2">
        <v>2015</v>
      </c>
      <c r="B17" s="2">
        <v>3</v>
      </c>
      <c r="C17" s="2">
        <v>4</v>
      </c>
      <c r="D17" s="2">
        <v>-1</v>
      </c>
      <c r="E17" s="2">
        <v>7</v>
      </c>
      <c r="F17" s="2">
        <v>4</v>
      </c>
      <c r="G17" s="7">
        <v>2</v>
      </c>
      <c r="K17" s="3" t="s">
        <v>10</v>
      </c>
    </row>
    <row r="18" spans="1:13" ht="15.5" thickTop="1" thickBot="1" x14ac:dyDescent="0.4">
      <c r="A18" s="2">
        <v>2016</v>
      </c>
      <c r="B18" s="2">
        <v>3</v>
      </c>
      <c r="C18" s="2">
        <v>5</v>
      </c>
      <c r="D18" s="2">
        <v>6</v>
      </c>
      <c r="E18" s="2">
        <v>9</v>
      </c>
      <c r="F18" s="6">
        <v>6</v>
      </c>
      <c r="G18" s="8">
        <f>ROUND($K$18*B18+$L$18,2)</f>
        <v>3.3</v>
      </c>
      <c r="H18" s="8" cm="1">
        <f t="array" ref="H18:H22">ROUND(TREND(G3:G17,B3:B17,B18:B22),2)</f>
        <v>3.3</v>
      </c>
      <c r="J18" s="10" t="s">
        <v>11</v>
      </c>
      <c r="K18" s="12" cm="1">
        <f t="array" ref="K18:L22">LINEST(G3:G17,B3:B17,TRUE,TRUE)</f>
        <v>0.91394658753709201</v>
      </c>
      <c r="L18" s="12">
        <v>0.5578635014836788</v>
      </c>
      <c r="M18" s="11" t="s">
        <v>12</v>
      </c>
    </row>
    <row r="19" spans="1:13" ht="15.5" thickTop="1" thickBot="1" x14ac:dyDescent="0.4">
      <c r="A19" s="2">
        <v>2017</v>
      </c>
      <c r="B19" s="2">
        <v>4</v>
      </c>
      <c r="C19" s="2">
        <v>2</v>
      </c>
      <c r="D19" s="2">
        <v>4</v>
      </c>
      <c r="E19" s="2">
        <v>6</v>
      </c>
      <c r="F19" s="6">
        <v>5</v>
      </c>
      <c r="G19" s="8">
        <f t="shared" ref="G19:G22" si="1">ROUND($K$18*B19+$L$18,2)</f>
        <v>4.21</v>
      </c>
      <c r="H19" s="8">
        <v>4.21</v>
      </c>
      <c r="J19" t="s">
        <v>19</v>
      </c>
      <c r="K19" s="13">
        <v>0.16237259577328525</v>
      </c>
      <c r="L19" s="13">
        <v>0.848904884418485</v>
      </c>
    </row>
    <row r="20" spans="1:13" ht="15.5" thickTop="1" thickBot="1" x14ac:dyDescent="0.4">
      <c r="A20" s="2">
        <v>2018</v>
      </c>
      <c r="B20" s="2">
        <v>4</v>
      </c>
      <c r="C20" s="2">
        <v>5</v>
      </c>
      <c r="D20" s="2">
        <v>5</v>
      </c>
      <c r="E20" s="2">
        <v>5</v>
      </c>
      <c r="F20" s="6">
        <v>3</v>
      </c>
      <c r="G20" s="8">
        <f t="shared" si="1"/>
        <v>4.21</v>
      </c>
      <c r="H20" s="8">
        <v>4.21</v>
      </c>
      <c r="J20" t="s">
        <v>20</v>
      </c>
      <c r="K20" s="13">
        <v>0.70905679839149705</v>
      </c>
      <c r="L20" s="13">
        <v>1.0884213505316238</v>
      </c>
    </row>
    <row r="21" spans="1:13" ht="15.5" thickTop="1" thickBot="1" x14ac:dyDescent="0.4">
      <c r="A21" s="2">
        <v>2019</v>
      </c>
      <c r="B21" s="2">
        <v>2</v>
      </c>
      <c r="C21" s="2">
        <v>4</v>
      </c>
      <c r="D21" s="2">
        <v>4</v>
      </c>
      <c r="E21" s="2">
        <v>9</v>
      </c>
      <c r="F21" s="6">
        <v>7</v>
      </c>
      <c r="G21" s="8">
        <f t="shared" si="1"/>
        <v>2.39</v>
      </c>
      <c r="H21" s="8">
        <v>2.39</v>
      </c>
      <c r="J21" t="s">
        <v>21</v>
      </c>
      <c r="K21" s="13">
        <v>31.682260757867702</v>
      </c>
      <c r="L21" s="13">
        <v>13</v>
      </c>
    </row>
    <row r="22" spans="1:13" ht="15.5" thickTop="1" thickBot="1" x14ac:dyDescent="0.4">
      <c r="A22" s="2">
        <v>2020</v>
      </c>
      <c r="B22" s="2">
        <v>3</v>
      </c>
      <c r="C22" s="2">
        <v>4</v>
      </c>
      <c r="D22" s="2">
        <v>0</v>
      </c>
      <c r="E22" s="2">
        <v>6</v>
      </c>
      <c r="F22" s="6">
        <v>6</v>
      </c>
      <c r="G22" s="8">
        <f t="shared" si="1"/>
        <v>3.3</v>
      </c>
      <c r="H22" s="8">
        <v>3.3</v>
      </c>
      <c r="J22" t="s">
        <v>22</v>
      </c>
      <c r="K22" s="13">
        <v>37.532739861523254</v>
      </c>
      <c r="L22" s="13">
        <v>15.40059347181009</v>
      </c>
    </row>
    <row r="23" spans="1:13" ht="15" thickTop="1" x14ac:dyDescent="0.35">
      <c r="G23" s="9" t="s">
        <v>8</v>
      </c>
      <c r="H23" s="9" t="s">
        <v>9</v>
      </c>
    </row>
  </sheetData>
  <conditionalFormatting sqref="J3:N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B84C-F138-4552-B447-1B6252D512E3}">
  <dimension ref="A1:N23"/>
  <sheetViews>
    <sheetView tabSelected="1" zoomScaleNormal="100" workbookViewId="0">
      <selection activeCell="K29" sqref="K29"/>
    </sheetView>
  </sheetViews>
  <sheetFormatPr defaultRowHeight="14.5" x14ac:dyDescent="0.35"/>
  <cols>
    <col min="1" max="8" width="13" customWidth="1"/>
    <col min="10" max="14" width="15.36328125" customWidth="1"/>
  </cols>
  <sheetData>
    <row r="1" spans="1:14" x14ac:dyDescent="0.35">
      <c r="J1" s="3" t="s">
        <v>7</v>
      </c>
    </row>
    <row r="2" spans="1:14" ht="39" x14ac:dyDescent="0.35">
      <c r="A2" s="4" t="s">
        <v>0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J2" s="5" t="s">
        <v>13</v>
      </c>
      <c r="K2" s="14" t="s">
        <v>14</v>
      </c>
      <c r="L2" s="5" t="s">
        <v>15</v>
      </c>
      <c r="M2" s="5" t="s">
        <v>16</v>
      </c>
      <c r="N2" s="5" t="s">
        <v>17</v>
      </c>
    </row>
    <row r="3" spans="1:14" x14ac:dyDescent="0.35">
      <c r="A3" s="2">
        <v>2001</v>
      </c>
      <c r="B3" s="2">
        <v>6</v>
      </c>
      <c r="C3" s="2">
        <v>6</v>
      </c>
      <c r="D3" s="2">
        <v>94</v>
      </c>
      <c r="E3" s="2">
        <v>9</v>
      </c>
      <c r="F3" s="2">
        <v>10</v>
      </c>
      <c r="G3" s="2">
        <v>5</v>
      </c>
      <c r="J3" s="13">
        <f>CORREL($G$3:$G$17,B$3:B$17)</f>
        <v>0.85382406660262244</v>
      </c>
      <c r="K3" s="13">
        <f t="shared" ref="K3:N3" si="0">CORREL($G$3:$G$17,C$3:C$17)</f>
        <v>-0.9759758635610214</v>
      </c>
      <c r="L3" s="13">
        <f t="shared" si="0"/>
        <v>0.84836263308043813</v>
      </c>
      <c r="M3" s="13">
        <f t="shared" si="0"/>
        <v>0.57572636524123555</v>
      </c>
      <c r="N3" s="13">
        <f t="shared" si="0"/>
        <v>-0.25829460791857461</v>
      </c>
    </row>
    <row r="4" spans="1:14" x14ac:dyDescent="0.35">
      <c r="A4" s="2">
        <v>2002</v>
      </c>
      <c r="B4" s="2">
        <v>13</v>
      </c>
      <c r="C4" s="2">
        <v>1</v>
      </c>
      <c r="D4" s="2">
        <v>104</v>
      </c>
      <c r="E4" s="2">
        <v>8</v>
      </c>
      <c r="F4" s="2">
        <v>2</v>
      </c>
      <c r="G4" s="2">
        <v>11</v>
      </c>
    </row>
    <row r="5" spans="1:14" x14ac:dyDescent="0.35">
      <c r="A5" s="2">
        <v>2003</v>
      </c>
      <c r="B5" s="2">
        <v>8</v>
      </c>
      <c r="C5" s="2">
        <v>3</v>
      </c>
      <c r="D5" s="2">
        <v>105</v>
      </c>
      <c r="E5" s="2">
        <v>13</v>
      </c>
      <c r="F5" s="2">
        <v>10</v>
      </c>
      <c r="G5" s="2">
        <v>9</v>
      </c>
    </row>
    <row r="6" spans="1:14" x14ac:dyDescent="0.35">
      <c r="A6" s="2">
        <v>2004</v>
      </c>
      <c r="B6" s="2">
        <v>5</v>
      </c>
      <c r="C6" s="2">
        <v>8</v>
      </c>
      <c r="D6" s="2">
        <v>94</v>
      </c>
      <c r="E6" s="2">
        <v>7</v>
      </c>
      <c r="F6" s="2">
        <v>16</v>
      </c>
      <c r="G6" s="2">
        <v>3</v>
      </c>
    </row>
    <row r="7" spans="1:14" x14ac:dyDescent="0.35">
      <c r="A7" s="2">
        <v>2005</v>
      </c>
      <c r="B7" s="2">
        <v>5</v>
      </c>
      <c r="C7" s="2">
        <v>7</v>
      </c>
      <c r="D7" s="2">
        <v>99</v>
      </c>
      <c r="E7" s="2">
        <v>6</v>
      </c>
      <c r="F7" s="2">
        <v>8</v>
      </c>
      <c r="G7" s="2">
        <v>6</v>
      </c>
    </row>
    <row r="8" spans="1:14" x14ac:dyDescent="0.35">
      <c r="A8" s="2">
        <v>2006</v>
      </c>
      <c r="B8" s="2">
        <v>12</v>
      </c>
      <c r="C8" s="2">
        <v>0</v>
      </c>
      <c r="D8" s="2">
        <v>106</v>
      </c>
      <c r="E8" s="2">
        <v>8</v>
      </c>
      <c r="F8" s="2">
        <v>8</v>
      </c>
      <c r="G8" s="2">
        <v>13</v>
      </c>
    </row>
    <row r="9" spans="1:14" x14ac:dyDescent="0.35">
      <c r="A9" s="2">
        <v>2007</v>
      </c>
      <c r="B9" s="2">
        <v>3</v>
      </c>
      <c r="C9" s="2">
        <v>10</v>
      </c>
      <c r="D9" s="2">
        <v>92</v>
      </c>
      <c r="E9" s="2">
        <v>2</v>
      </c>
      <c r="F9" s="2">
        <v>8</v>
      </c>
      <c r="G9" s="2">
        <v>1</v>
      </c>
    </row>
    <row r="10" spans="1:14" x14ac:dyDescent="0.35">
      <c r="A10" s="2">
        <v>2008</v>
      </c>
      <c r="B10" s="2">
        <v>5</v>
      </c>
      <c r="C10" s="2">
        <v>5</v>
      </c>
      <c r="D10" s="2">
        <v>103</v>
      </c>
      <c r="E10" s="2">
        <v>4</v>
      </c>
      <c r="F10" s="2">
        <v>2</v>
      </c>
      <c r="G10" s="2">
        <v>7</v>
      </c>
    </row>
    <row r="11" spans="1:14" x14ac:dyDescent="0.35">
      <c r="A11" s="2">
        <v>2009</v>
      </c>
      <c r="B11" s="2">
        <v>11</v>
      </c>
      <c r="C11" s="2">
        <v>1</v>
      </c>
      <c r="D11" s="2">
        <v>105</v>
      </c>
      <c r="E11" s="2">
        <v>15</v>
      </c>
      <c r="F11" s="2">
        <v>9</v>
      </c>
      <c r="G11" s="2">
        <v>12</v>
      </c>
    </row>
    <row r="12" spans="1:14" x14ac:dyDescent="0.35">
      <c r="A12" s="2">
        <v>2010</v>
      </c>
      <c r="B12" s="2">
        <v>4</v>
      </c>
      <c r="C12" s="2">
        <v>6</v>
      </c>
      <c r="D12" s="2">
        <v>96</v>
      </c>
      <c r="E12" s="2">
        <v>7</v>
      </c>
      <c r="F12" s="2">
        <v>3</v>
      </c>
      <c r="G12" s="2">
        <v>5</v>
      </c>
    </row>
    <row r="13" spans="1:14" x14ac:dyDescent="0.35">
      <c r="A13" s="2">
        <v>2011</v>
      </c>
      <c r="B13" s="2">
        <v>6</v>
      </c>
      <c r="C13" s="2">
        <v>5</v>
      </c>
      <c r="D13" s="2">
        <v>98</v>
      </c>
      <c r="E13" s="2">
        <v>10</v>
      </c>
      <c r="F13" s="2">
        <v>7</v>
      </c>
      <c r="G13" s="2">
        <v>6</v>
      </c>
    </row>
    <row r="14" spans="1:14" x14ac:dyDescent="0.35">
      <c r="A14" s="2">
        <v>2012</v>
      </c>
      <c r="B14" s="2">
        <v>4</v>
      </c>
      <c r="C14" s="2">
        <v>3</v>
      </c>
      <c r="D14" s="2">
        <v>101</v>
      </c>
      <c r="E14" s="2">
        <v>5</v>
      </c>
      <c r="F14" s="2">
        <v>12</v>
      </c>
      <c r="G14" s="2">
        <v>8</v>
      </c>
    </row>
    <row r="15" spans="1:14" x14ac:dyDescent="0.35">
      <c r="A15" s="2">
        <v>2013</v>
      </c>
      <c r="B15" s="2">
        <v>9</v>
      </c>
      <c r="C15" s="2">
        <v>0</v>
      </c>
      <c r="D15" s="2">
        <v>101</v>
      </c>
      <c r="E15" s="2">
        <v>11</v>
      </c>
      <c r="F15" s="2">
        <v>6</v>
      </c>
      <c r="G15" s="2">
        <v>12</v>
      </c>
    </row>
    <row r="16" spans="1:14" x14ac:dyDescent="0.35">
      <c r="A16" s="2">
        <v>2014</v>
      </c>
      <c r="B16" s="2">
        <v>5</v>
      </c>
      <c r="C16" s="2">
        <v>6</v>
      </c>
      <c r="D16" s="2">
        <v>92</v>
      </c>
      <c r="E16" s="2">
        <v>10</v>
      </c>
      <c r="F16" s="2">
        <v>9</v>
      </c>
      <c r="G16" s="2">
        <v>6</v>
      </c>
    </row>
    <row r="17" spans="1:13" ht="15" thickBot="1" x14ac:dyDescent="0.4">
      <c r="A17" s="2">
        <v>2015</v>
      </c>
      <c r="B17" s="2">
        <v>8</v>
      </c>
      <c r="C17" s="2">
        <v>6</v>
      </c>
      <c r="D17" s="2">
        <v>96</v>
      </c>
      <c r="E17" s="2">
        <v>7</v>
      </c>
      <c r="F17" s="2">
        <v>11</v>
      </c>
      <c r="G17" s="7">
        <v>7</v>
      </c>
      <c r="K17" s="3" t="s">
        <v>10</v>
      </c>
    </row>
    <row r="18" spans="1:13" ht="15.5" thickTop="1" thickBot="1" x14ac:dyDescent="0.4">
      <c r="A18" s="2">
        <v>2016</v>
      </c>
      <c r="B18" s="2">
        <v>7</v>
      </c>
      <c r="C18" s="2">
        <v>5</v>
      </c>
      <c r="D18" s="2">
        <v>99</v>
      </c>
      <c r="E18" s="2">
        <v>10</v>
      </c>
      <c r="F18" s="6">
        <v>9</v>
      </c>
      <c r="G18" s="8">
        <f>ROUND($K$18*C18+$L$18,2)</f>
        <v>6.8</v>
      </c>
      <c r="H18" s="8" cm="1">
        <f t="array" ref="H18:H22">ROUND(TREND(G3:G17,C3:C17,C18:C22),2)</f>
        <v>6.8</v>
      </c>
      <c r="J18" s="10" t="s">
        <v>11</v>
      </c>
      <c r="K18" s="12" cm="1">
        <f t="array" ref="K18:L22">LINEST(G3:G17,C3:C17,TRUE,TRUE)</f>
        <v>-1.1179540709812108</v>
      </c>
      <c r="L18" s="12">
        <v>12.393528183716075</v>
      </c>
      <c r="M18" s="11" t="s">
        <v>12</v>
      </c>
    </row>
    <row r="19" spans="1:13" ht="15.5" thickTop="1" thickBot="1" x14ac:dyDescent="0.4">
      <c r="A19" s="2">
        <v>2017</v>
      </c>
      <c r="B19" s="2">
        <v>14</v>
      </c>
      <c r="C19" s="2">
        <v>0</v>
      </c>
      <c r="D19" s="2">
        <v>111</v>
      </c>
      <c r="E19" s="2">
        <v>10</v>
      </c>
      <c r="F19" s="6">
        <v>4</v>
      </c>
      <c r="G19" s="8">
        <f t="shared" ref="G19:G22" si="1">ROUND($K$18*C19+$L$18,2)</f>
        <v>12.39</v>
      </c>
      <c r="H19" s="8">
        <v>12.39</v>
      </c>
      <c r="J19" t="s">
        <v>19</v>
      </c>
      <c r="K19" s="13">
        <v>6.921941405942629E-2</v>
      </c>
      <c r="L19" s="13">
        <v>0.36931438727510907</v>
      </c>
    </row>
    <row r="20" spans="1:13" ht="15.5" thickTop="1" thickBot="1" x14ac:dyDescent="0.4">
      <c r="A20" s="2">
        <v>2018</v>
      </c>
      <c r="B20" s="2">
        <v>15</v>
      </c>
      <c r="C20" s="2">
        <v>1</v>
      </c>
      <c r="D20" s="2">
        <v>108</v>
      </c>
      <c r="E20" s="2">
        <v>9</v>
      </c>
      <c r="F20" s="6">
        <v>7</v>
      </c>
      <c r="G20" s="8">
        <f t="shared" si="1"/>
        <v>11.28</v>
      </c>
      <c r="H20" s="8">
        <v>11.28</v>
      </c>
      <c r="J20" t="s">
        <v>20</v>
      </c>
      <c r="K20" s="13">
        <v>0.95252888625368082</v>
      </c>
      <c r="L20" s="13">
        <v>0.78231208920358875</v>
      </c>
    </row>
    <row r="21" spans="1:13" ht="15.5" thickTop="1" thickBot="1" x14ac:dyDescent="0.4">
      <c r="A21" s="2">
        <v>2019</v>
      </c>
      <c r="B21" s="2">
        <v>10</v>
      </c>
      <c r="C21" s="2">
        <v>3</v>
      </c>
      <c r="D21" s="2">
        <v>108</v>
      </c>
      <c r="E21" s="2">
        <v>11</v>
      </c>
      <c r="F21" s="6">
        <v>14</v>
      </c>
      <c r="G21" s="8">
        <f t="shared" si="1"/>
        <v>9.0399999999999991</v>
      </c>
      <c r="H21" s="8">
        <v>9.0399999999999991</v>
      </c>
      <c r="J21" t="s">
        <v>21</v>
      </c>
      <c r="K21" s="13">
        <v>260.85074783521389</v>
      </c>
      <c r="L21" s="13">
        <v>13</v>
      </c>
    </row>
    <row r="22" spans="1:13" ht="15.5" thickTop="1" thickBot="1" x14ac:dyDescent="0.4">
      <c r="A22" s="2">
        <v>2020</v>
      </c>
      <c r="B22" s="2">
        <v>9</v>
      </c>
      <c r="C22" s="2">
        <v>3</v>
      </c>
      <c r="D22" s="2">
        <v>101</v>
      </c>
      <c r="E22" s="2">
        <v>8</v>
      </c>
      <c r="F22" s="6">
        <v>2</v>
      </c>
      <c r="G22" s="8">
        <f t="shared" si="1"/>
        <v>9.0399999999999991</v>
      </c>
      <c r="H22" s="8">
        <v>9.0399999999999991</v>
      </c>
      <c r="J22" t="s">
        <v>22</v>
      </c>
      <c r="K22" s="13">
        <v>159.64384133611694</v>
      </c>
      <c r="L22" s="13">
        <v>7.9561586638830901</v>
      </c>
    </row>
    <row r="23" spans="1:13" ht="15" thickTop="1" x14ac:dyDescent="0.35">
      <c r="G23" s="9" t="s">
        <v>8</v>
      </c>
      <c r="H23" s="9" t="s">
        <v>9</v>
      </c>
    </row>
  </sheetData>
  <conditionalFormatting sqref="J3:N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Лазырин Михаил Сергеевич</dc:creator>
  <cp:lastModifiedBy>Erland Adestio Sadana</cp:lastModifiedBy>
  <dcterms:created xsi:type="dcterms:W3CDTF">2026-02-02T17:50:27Z</dcterms:created>
  <dcterms:modified xsi:type="dcterms:W3CDTF">2026-05-18T07:56:43Z</dcterms:modified>
</cp:coreProperties>
</file>