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CB57574C-A9E6-4D8C-B2A3-362602606C29}" xr6:coauthVersionLast="47" xr6:coauthVersionMax="47" xr10:uidLastSave="{00000000-0000-0000-0000-000000000000}"/>
  <bookViews>
    <workbookView xWindow="-110" yWindow="-110" windowWidth="29020" windowHeight="17500" activeTab="2" xr2:uid="{B69CBE40-A0A2-4E27-B3AF-20437C87E17B}"/>
  </bookViews>
  <sheets>
    <sheet name="Задание 1" sheetId="7" r:id="rId1"/>
    <sheet name="Задание 2" sheetId="9" r:id="rId2"/>
    <sheet name="Задание 3" sheetId="10" r:id="rId3"/>
    <sheet name="Лист1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0" l="1"/>
  <c r="C15" i="10"/>
  <c r="C16" i="10"/>
  <c r="C17" i="10"/>
  <c r="C18" i="10"/>
  <c r="C19" i="10"/>
  <c r="C20" i="10"/>
  <c r="C14" i="10"/>
  <c r="I19" i="9"/>
  <c r="I13" i="9"/>
  <c r="I14" i="9"/>
  <c r="I15" i="9"/>
  <c r="I16" i="9"/>
  <c r="I17" i="9"/>
  <c r="I18" i="9"/>
  <c r="I12" i="9"/>
  <c r="H13" i="9"/>
  <c r="H14" i="9"/>
  <c r="H15" i="9"/>
  <c r="H16" i="9"/>
  <c r="H17" i="9"/>
  <c r="H18" i="9"/>
  <c r="H12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E13" i="9"/>
  <c r="E14" i="9"/>
  <c r="E15" i="9"/>
  <c r="E16" i="9"/>
  <c r="E17" i="9"/>
  <c r="E18" i="9"/>
  <c r="E12" i="9"/>
  <c r="E9" i="7"/>
  <c r="E10" i="7"/>
  <c r="E11" i="7"/>
  <c r="E12" i="7"/>
  <c r="E13" i="7"/>
  <c r="E14" i="7"/>
  <c r="E8" i="7"/>
  <c r="D15" i="7"/>
  <c r="D9" i="7"/>
  <c r="D10" i="7"/>
  <c r="D11" i="7"/>
  <c r="D12" i="7"/>
  <c r="D13" i="7"/>
  <c r="D14" i="7"/>
  <c r="D8" i="7"/>
  <c r="B21" i="10"/>
  <c r="D19" i="9"/>
  <c r="C19" i="9"/>
  <c r="B19" i="9"/>
  <c r="H19" i="9" l="1"/>
  <c r="E15" i="7"/>
  <c r="A19" i="6"/>
  <c r="A18" i="6"/>
  <c r="A17" i="6"/>
  <c r="A16" i="6"/>
  <c r="A15" i="6"/>
  <c r="A14" i="6"/>
  <c r="A13" i="6"/>
  <c r="C9" i="6" l="1"/>
  <c r="C6" i="6"/>
  <c r="C7" i="6"/>
  <c r="C3" i="6"/>
  <c r="C8" i="6"/>
  <c r="C4" i="6"/>
  <c r="C5" i="6"/>
  <c r="A8" i="6" l="1"/>
  <c r="A4" i="6"/>
  <c r="A9" i="6"/>
  <c r="A5" i="6"/>
  <c r="A6" i="6"/>
  <c r="A7" i="6"/>
  <c r="A3" i="6"/>
  <c r="B9" i="6"/>
  <c r="B5" i="6"/>
  <c r="B6" i="6"/>
  <c r="B7" i="6"/>
  <c r="B3" i="6"/>
  <c r="B8" i="6"/>
  <c r="B4" i="6"/>
  <c r="E9" i="6" l="1"/>
  <c r="E7" i="6"/>
  <c r="E5" i="6"/>
  <c r="E8" i="6"/>
  <c r="E6" i="6"/>
  <c r="E4" i="6"/>
  <c r="E3" i="6"/>
</calcChain>
</file>

<file path=xl/sharedStrings.xml><?xml version="1.0" encoding="utf-8"?>
<sst xmlns="http://schemas.openxmlformats.org/spreadsheetml/2006/main" count="42" uniqueCount="40">
  <si>
    <t>Товар</t>
  </si>
  <si>
    <t>Выручка Январь</t>
  </si>
  <si>
    <t>Выручка Февраль</t>
  </si>
  <si>
    <t>Выручка 
Март</t>
  </si>
  <si>
    <t>% выручки Январь</t>
  </si>
  <si>
    <t>% выручки Февраль</t>
  </si>
  <si>
    <t>% выручки Март</t>
  </si>
  <si>
    <t>Факт выручки итого</t>
  </si>
  <si>
    <t>% выручки итого</t>
  </si>
  <si>
    <t>Товар А</t>
  </si>
  <si>
    <t>Товар В</t>
  </si>
  <si>
    <t>Итого</t>
  </si>
  <si>
    <t>Товар Б</t>
  </si>
  <si>
    <t>Товар Г</t>
  </si>
  <si>
    <t>Товар Д</t>
  </si>
  <si>
    <t>Товар Е</t>
  </si>
  <si>
    <t>Товар Ж</t>
  </si>
  <si>
    <t>Менеджер</t>
  </si>
  <si>
    <t>Иванов</t>
  </si>
  <si>
    <t>Еременко</t>
  </si>
  <si>
    <t>Сергеев</t>
  </si>
  <si>
    <t>Андреев</t>
  </si>
  <si>
    <t>Мусин</t>
  </si>
  <si>
    <t>Лаптев</t>
  </si>
  <si>
    <t>Крепин</t>
  </si>
  <si>
    <t>Выручка Январь  ФАКТ</t>
  </si>
  <si>
    <t>Выручка Январь ПЛАН</t>
  </si>
  <si>
    <t>% выполнения плана</t>
  </si>
  <si>
    <t>Наименование</t>
  </si>
  <si>
    <t>Продано, шт.</t>
  </si>
  <si>
    <t>Доля в общих продажах</t>
  </si>
  <si>
    <t>Цена</t>
  </si>
  <si>
    <t xml:space="preserve">Сумма, руб. </t>
  </si>
  <si>
    <t>Товар 1</t>
  </si>
  <si>
    <t>Товар 2</t>
  </si>
  <si>
    <t>Товар 3</t>
  </si>
  <si>
    <t>Товар 4</t>
  </si>
  <si>
    <t>Товар 5</t>
  </si>
  <si>
    <t>Товар 6</t>
  </si>
  <si>
    <t>Товар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</si>
</sst>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&quot;р.&quot;_-;\-* #,##0\ &quot;р.&quot;_-;_-* &quot;-&quot;??\ &quot;р.&quot;_-;_-@_-"/>
    <numFmt numFmtId="165" formatCode=";;;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65" fontId="0" fillId="0" borderId="0" xfId="0" applyNumberFormat="1" applyProtection="1">
      <protection hidden="1"/>
    </xf>
    <xf numFmtId="165" fontId="0" fillId="0" borderId="0" xfId="1" applyNumberFormat="1" applyFont="1" applyProtection="1">
      <protection hidden="1"/>
    </xf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center"/>
    </xf>
    <xf numFmtId="9" fontId="5" fillId="3" borderId="1" xfId="1" applyFont="1" applyFill="1" applyBorder="1"/>
    <xf numFmtId="164" fontId="5" fillId="3" borderId="1" xfId="0" applyNumberFormat="1" applyFont="1" applyFill="1" applyBorder="1"/>
    <xf numFmtId="0" fontId="3" fillId="0" borderId="0" xfId="0" applyFont="1"/>
    <xf numFmtId="9" fontId="3" fillId="5" borderId="1" xfId="1" applyFont="1" applyFill="1" applyBorder="1"/>
    <xf numFmtId="0" fontId="3" fillId="0" borderId="1" xfId="0" applyFont="1" applyBorder="1" applyAlignment="1">
      <alignment horizontal="center"/>
    </xf>
    <xf numFmtId="10" fontId="3" fillId="5" borderId="1" xfId="1" applyNumberFormat="1" applyFont="1" applyFill="1" applyBorder="1" applyAlignment="1">
      <alignment horizontal="center"/>
    </xf>
    <xf numFmtId="10" fontId="5" fillId="3" borderId="1" xfId="0" applyNumberFormat="1" applyFont="1" applyFill="1" applyBorder="1" applyAlignment="1">
      <alignment horizontal="center"/>
    </xf>
    <xf numFmtId="10" fontId="5" fillId="3" borderId="1" xfId="1" applyNumberFormat="1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317499</xdr:colOff>
      <xdr:row>5</xdr:row>
      <xdr:rowOff>1104899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id="{ECB01963-7F65-5F48-A492-E4F0002AD7C2}"/>
            </a:ext>
          </a:extLst>
        </xdr:cNvPr>
        <xdr:cNvSpPr/>
      </xdr:nvSpPr>
      <xdr:spPr>
        <a:xfrm>
          <a:off x="0" y="0"/>
          <a:ext cx="7251699" cy="2057399"/>
        </a:xfrm>
        <a:prstGeom prst="roundRect">
          <a:avLst>
            <a:gd name="adj" fmla="val 4637"/>
          </a:avLst>
        </a:prstGeom>
        <a:solidFill>
          <a:schemeClr val="accent4">
            <a:lumMod val="20000"/>
            <a:lumOff val="80000"/>
          </a:schemeClr>
        </a:solidFill>
        <a:ln w="3175">
          <a:solidFill>
            <a:sysClr val="windowText" lastClr="000000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>
              <a:solidFill>
                <a:srgbClr val="00B050"/>
              </a:solidFill>
            </a:rPr>
            <a:t>ЗАДАНИЕ</a:t>
          </a:r>
        </a:p>
        <a:p>
          <a:pPr algn="l"/>
          <a:endParaRPr lang="ru-RU" sz="1200" b="1">
            <a:solidFill>
              <a:srgbClr val="00B050"/>
            </a:solidFill>
          </a:endParaRPr>
        </a:p>
        <a:p>
          <a:pPr algn="l"/>
          <a: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Рассчитайте </a:t>
          </a:r>
          <a:r>
            <a:rPr lang="ru-RU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Сумма, руб. </a:t>
          </a:r>
          <a:b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Добавьте в конце таблицы строку </a:t>
          </a:r>
          <a:r>
            <a:rPr lang="ru-RU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Итого.</a:t>
          </a:r>
          <a: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Рассчитайте общую сумму проданных товаров. </a:t>
          </a:r>
          <a:b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С использованием абсолютных ссылок, вычислите долю каждого товара в общих продажах. </a:t>
          </a:r>
          <a:b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Найдите на сайте ЦБ РФ актуальный курс доллара, скопируйте к себе на лист. </a:t>
          </a:r>
          <a:b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Присвойте имя </a:t>
          </a:r>
          <a:r>
            <a:rPr lang="e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USD</a:t>
          </a:r>
          <a:r>
            <a:rPr lang="e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ячейке, содержащую информацию о курсе.</a:t>
          </a:r>
          <a:b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Добавьте в таблицу столбец </a:t>
          </a:r>
          <a:r>
            <a:rPr lang="ru-RU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Сумма, </a:t>
          </a:r>
          <a:r>
            <a:rPr lang="e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USD </a:t>
          </a:r>
          <a:r>
            <a:rPr lang="ru-RU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проведите соответствующие вычисления. При решении используйте имена ячеек.</a:t>
          </a:r>
          <a:r>
            <a:rPr lang="ru-RU" sz="1200">
              <a:solidFill>
                <a:schemeClr val="tx1"/>
              </a:solidFill>
            </a:rPr>
            <a:t> </a:t>
          </a:r>
          <a:endParaRPr lang="ru-RU" sz="1200" baseline="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9</xdr:row>
      <xdr:rowOff>165100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5D33A839-E81E-1449-BCA0-03E297A09894}"/>
            </a:ext>
          </a:extLst>
        </xdr:cNvPr>
        <xdr:cNvSpPr/>
      </xdr:nvSpPr>
      <xdr:spPr>
        <a:xfrm>
          <a:off x="0" y="0"/>
          <a:ext cx="8077200" cy="19939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050" b="1">
              <a:solidFill>
                <a:srgbClr val="00B050"/>
              </a:solidFill>
            </a:rPr>
            <a:t>ЗАДАНИЕ</a:t>
          </a:r>
        </a:p>
        <a:p>
          <a:pPr algn="l"/>
          <a:endParaRPr lang="ru-RU" sz="1050" b="1">
            <a:solidFill>
              <a:srgbClr val="00B050"/>
            </a:solidFill>
          </a:endParaRPr>
        </a:p>
        <a:p>
          <a:pPr algn="l"/>
          <a:r>
            <a:rPr lang="ru-RU" sz="1050">
              <a:solidFill>
                <a:sysClr val="windowText" lastClr="000000"/>
              </a:solidFill>
            </a:rPr>
            <a:t>1. В ячейке </a:t>
          </a:r>
          <a:r>
            <a:rPr lang="en-US" sz="1050" b="1">
              <a:solidFill>
                <a:sysClr val="windowText" lastClr="000000"/>
              </a:solidFill>
            </a:rPr>
            <a:t>E12</a:t>
          </a:r>
          <a:r>
            <a:rPr lang="en-US" sz="1050">
              <a:solidFill>
                <a:sysClr val="windowText" lastClr="000000"/>
              </a:solidFill>
            </a:rPr>
            <a:t> </a:t>
          </a:r>
          <a:r>
            <a:rPr lang="ru-RU" sz="1050">
              <a:solidFill>
                <a:sysClr val="windowText" lastClr="000000"/>
              </a:solidFill>
            </a:rPr>
            <a:t>создайте формулу с использованием </a:t>
          </a:r>
          <a:r>
            <a:rPr lang="ru-RU" sz="1050" b="1">
              <a:solidFill>
                <a:sysClr val="windowText" lastClr="000000"/>
              </a:solidFill>
            </a:rPr>
            <a:t>абсолютных</a:t>
          </a:r>
          <a:r>
            <a:rPr lang="ru-RU" sz="1050">
              <a:solidFill>
                <a:sysClr val="windowText" lastClr="000000"/>
              </a:solidFill>
            </a:rPr>
            <a:t> </a:t>
          </a:r>
          <a:r>
            <a:rPr lang="ru-RU" sz="1050" b="1">
              <a:solidFill>
                <a:sysClr val="windowText" lastClr="000000"/>
              </a:solidFill>
            </a:rPr>
            <a:t>ссылок</a:t>
          </a:r>
          <a:r>
            <a:rPr lang="ru-RU" sz="1050">
              <a:solidFill>
                <a:sysClr val="windowText" lastClr="000000"/>
              </a:solidFill>
            </a:rPr>
            <a:t>, рассчитывающую % выручки товара от итоговой выручки месяца. Полученная формула должна быть составлена так, чтобы без дополнительных корректировок ее можно было распространить на все ячейки диапазона </a:t>
          </a:r>
          <a:r>
            <a:rPr lang="en-US" sz="1050" b="1">
              <a:solidFill>
                <a:sysClr val="windowText" lastClr="000000"/>
              </a:solidFill>
            </a:rPr>
            <a:t>E12:G18 </a:t>
          </a:r>
          <a:r>
            <a:rPr lang="ru-RU" sz="1050">
              <a:solidFill>
                <a:sysClr val="windowText" lastClr="000000"/>
              </a:solidFill>
            </a:rPr>
            <a:t>и получить корректный расчет. Распространите формулу на все ячейки диапазона </a:t>
          </a:r>
          <a:r>
            <a:rPr lang="en-US" sz="1050" b="1">
              <a:solidFill>
                <a:sysClr val="windowText" lastClr="000000"/>
              </a:solidFill>
            </a:rPr>
            <a:t>E12:G18</a:t>
          </a:r>
          <a:r>
            <a:rPr lang="en-US" sz="1050">
              <a:solidFill>
                <a:sysClr val="windowText" lastClr="000000"/>
              </a:solidFill>
            </a:rPr>
            <a:t>.</a:t>
          </a:r>
        </a:p>
        <a:p>
          <a:pPr algn="l"/>
          <a:endParaRPr lang="en-US" sz="1050">
            <a:solidFill>
              <a:sysClr val="windowText" lastClr="000000"/>
            </a:solidFill>
          </a:endParaRPr>
        </a:p>
        <a:p>
          <a:pPr algn="l"/>
          <a:r>
            <a:rPr lang="en-US" sz="1050">
              <a:solidFill>
                <a:sysClr val="windowText" lastClr="000000"/>
              </a:solidFill>
            </a:rPr>
            <a:t>2. </a:t>
          </a:r>
          <a:r>
            <a:rPr lang="ru-RU" sz="1050">
              <a:solidFill>
                <a:sysClr val="windowText" lastClr="000000"/>
              </a:solidFill>
            </a:rPr>
            <a:t>В ячейке </a:t>
          </a:r>
          <a:r>
            <a:rPr lang="en-US" sz="1050" b="1">
              <a:solidFill>
                <a:sysClr val="windowText" lastClr="000000"/>
              </a:solidFill>
            </a:rPr>
            <a:t>I12</a:t>
          </a:r>
          <a:r>
            <a:rPr lang="en-US" sz="1050">
              <a:solidFill>
                <a:sysClr val="windowText" lastClr="000000"/>
              </a:solidFill>
            </a:rPr>
            <a:t> </a:t>
          </a:r>
          <a:r>
            <a:rPr lang="ru-RU" sz="1050">
              <a:solidFill>
                <a:sysClr val="windowText" lastClr="000000"/>
              </a:solidFill>
            </a:rPr>
            <a:t>создайте формулу, используя </a:t>
          </a:r>
          <a:r>
            <a:rPr lang="ru-RU" sz="1050" b="1">
              <a:solidFill>
                <a:sysClr val="windowText" lastClr="000000"/>
              </a:solidFill>
            </a:rPr>
            <a:t>абсолютные</a:t>
          </a:r>
          <a:r>
            <a:rPr lang="ru-RU" sz="1050">
              <a:solidFill>
                <a:sysClr val="windowText" lastClr="000000"/>
              </a:solidFill>
            </a:rPr>
            <a:t> </a:t>
          </a:r>
          <a:r>
            <a:rPr lang="ru-RU" sz="1050" b="1">
              <a:solidFill>
                <a:sysClr val="windowText" lastClr="000000"/>
              </a:solidFill>
            </a:rPr>
            <a:t>ссылки</a:t>
          </a:r>
          <a:r>
            <a:rPr lang="ru-RU" sz="1050">
              <a:solidFill>
                <a:sysClr val="windowText" lastClr="000000"/>
              </a:solidFill>
            </a:rPr>
            <a:t>, которая рассчитает % выручки товара за три месяца от общей выручки по всем товарам за все месяцы. Протяните полученную формулу на все ячейки диапазона </a:t>
          </a:r>
          <a:r>
            <a:rPr lang="en-US" sz="1050" b="1">
              <a:solidFill>
                <a:sysClr val="windowText" lastClr="000000"/>
              </a:solidFill>
            </a:rPr>
            <a:t>I12:I18</a:t>
          </a:r>
          <a:r>
            <a:rPr lang="en-US" sz="1050">
              <a:solidFill>
                <a:sysClr val="windowText" lastClr="000000"/>
              </a:solidFill>
            </a:rPr>
            <a:t>.</a:t>
          </a:r>
          <a:br>
            <a:rPr lang="ru-RU" sz="1000">
              <a:solidFill>
                <a:sysClr val="windowText" lastClr="000000"/>
              </a:solidFill>
            </a:rPr>
          </a:br>
          <a:endParaRPr lang="ru-RU" sz="9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228600</xdr:colOff>
      <xdr:row>10</xdr:row>
      <xdr:rowOff>25400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id="{BF706FC1-863A-5642-B793-836B23FA2280}"/>
            </a:ext>
          </a:extLst>
        </xdr:cNvPr>
        <xdr:cNvSpPr/>
      </xdr:nvSpPr>
      <xdr:spPr>
        <a:xfrm>
          <a:off x="0" y="0"/>
          <a:ext cx="7658100" cy="1930400"/>
        </a:xfrm>
        <a:prstGeom prst="roundRect">
          <a:avLst>
            <a:gd name="adj" fmla="val 4637"/>
          </a:avLst>
        </a:prstGeom>
        <a:solidFill>
          <a:schemeClr val="accent4">
            <a:lumMod val="20000"/>
            <a:lumOff val="80000"/>
          </a:schemeClr>
        </a:solidFill>
        <a:ln w="3175">
          <a:solidFill>
            <a:sysClr val="windowText" lastClr="000000"/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rgbClr val="00B050"/>
              </a:solidFill>
            </a:rPr>
            <a:t>ЗАДАНИЕ</a:t>
          </a:r>
        </a:p>
        <a:p>
          <a:pPr algn="l"/>
          <a:endParaRPr lang="ru-RU" sz="1400" b="1">
            <a:solidFill>
              <a:srgbClr val="00B050"/>
            </a:solidFill>
          </a:endParaRPr>
        </a:p>
        <a:p>
          <a:pPr algn="l"/>
          <a:r>
            <a:rPr lang="ru-RU" sz="1400">
              <a:solidFill>
                <a:sysClr val="windowText" lastClr="000000"/>
              </a:solidFill>
            </a:rPr>
            <a:t>1. Создайте именованный диапазон для ячейки с планом на </a:t>
          </a:r>
          <a:r>
            <a:rPr lang="ru-RU" sz="1400" b="1">
              <a:solidFill>
                <a:sysClr val="windowText" lastClr="000000"/>
              </a:solidFill>
            </a:rPr>
            <a:t>Январь</a:t>
          </a:r>
          <a:r>
            <a:rPr lang="ru-RU" sz="1400">
              <a:solidFill>
                <a:sysClr val="windowText" lastClr="000000"/>
              </a:solidFill>
            </a:rPr>
            <a:t>. Задайте название именованного диапазона </a:t>
          </a:r>
          <a:r>
            <a:rPr lang="ru-RU" sz="1400" b="1">
              <a:solidFill>
                <a:sysClr val="windowText" lastClr="000000"/>
              </a:solidFill>
            </a:rPr>
            <a:t>План</a:t>
          </a:r>
          <a:r>
            <a:rPr lang="ru-RU" sz="1400">
              <a:solidFill>
                <a:sysClr val="windowText" lastClr="000000"/>
              </a:solidFill>
            </a:rPr>
            <a:t>.</a:t>
          </a:r>
        </a:p>
        <a:p>
          <a:pPr algn="l"/>
          <a:endParaRPr lang="ru-RU" sz="1400">
            <a:solidFill>
              <a:sysClr val="windowText" lastClr="000000"/>
            </a:solidFill>
          </a:endParaRPr>
        </a:p>
        <a:p>
          <a:pPr algn="l"/>
          <a:r>
            <a:rPr lang="ru-RU" sz="1400">
              <a:solidFill>
                <a:sysClr val="windowText" lastClr="000000"/>
              </a:solidFill>
            </a:rPr>
            <a:t>2. В столбце </a:t>
          </a:r>
          <a:r>
            <a:rPr lang="ru-RU" sz="1400" b="1">
              <a:solidFill>
                <a:sysClr val="windowText" lastClr="000000"/>
              </a:solidFill>
            </a:rPr>
            <a:t>% выполнения плана</a:t>
          </a:r>
          <a:r>
            <a:rPr lang="ru-RU" sz="1400">
              <a:solidFill>
                <a:sysClr val="windowText" lastClr="000000"/>
              </a:solidFill>
            </a:rPr>
            <a:t> составьте формулу, которая рассчитает % выполнения плана каждого менеджера от плановой выручки. Ссылка должна использовать именованный диапазон </a:t>
          </a:r>
          <a:r>
            <a:rPr lang="ru-RU" sz="1400" b="1">
              <a:solidFill>
                <a:sysClr val="windowText" lastClr="000000"/>
              </a:solidFill>
            </a:rPr>
            <a:t>План</a:t>
          </a:r>
          <a:r>
            <a:rPr lang="ru-RU" sz="1400">
              <a:solidFill>
                <a:sysClr val="windowText" lastClr="000000"/>
              </a:solidFill>
            </a:rPr>
            <a:t>.</a:t>
          </a:r>
          <a:br>
            <a:rPr lang="ru-RU" sz="1100">
              <a:solidFill>
                <a:sysClr val="windowText" lastClr="000000"/>
              </a:solidFill>
            </a:rPr>
          </a:br>
          <a:endParaRPr lang="ru-RU" sz="1100" baseline="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9B66-CCE8-9643-B599-D2597510AF20}">
  <dimension ref="A6:E15"/>
  <sheetViews>
    <sheetView showGridLines="0" workbookViewId="0">
      <selection activeCell="E20" sqref="E20"/>
    </sheetView>
  </sheetViews>
  <sheetFormatPr defaultColWidth="11.453125" defaultRowHeight="14.5" x14ac:dyDescent="0.35"/>
  <cols>
    <col min="1" max="1" width="28.453125" bestFit="1" customWidth="1"/>
    <col min="2" max="2" width="11.7265625" bestFit="1" customWidth="1"/>
    <col min="3" max="3" width="16.1796875" customWidth="1"/>
    <col min="4" max="4" width="15.453125" bestFit="1" customWidth="1"/>
    <col min="5" max="5" width="19.81640625" customWidth="1"/>
  </cols>
  <sheetData>
    <row r="6" spans="1:5" ht="109" customHeight="1" x14ac:dyDescent="0.35"/>
    <row r="7" spans="1:5" ht="37" x14ac:dyDescent="0.35">
      <c r="A7" s="4" t="s">
        <v>28</v>
      </c>
      <c r="B7" s="5" t="s">
        <v>29</v>
      </c>
      <c r="C7" s="5" t="s">
        <v>31</v>
      </c>
      <c r="D7" s="5" t="s">
        <v>32</v>
      </c>
      <c r="E7" s="5" t="s">
        <v>30</v>
      </c>
    </row>
    <row r="8" spans="1:5" ht="18.5" x14ac:dyDescent="0.45">
      <c r="A8" s="3" t="s">
        <v>33</v>
      </c>
      <c r="B8" s="15">
        <v>5</v>
      </c>
      <c r="C8" s="7">
        <v>32000</v>
      </c>
      <c r="D8" s="7">
        <f t="shared" ref="D8:D14" si="0">B8*C8</f>
        <v>160000</v>
      </c>
      <c r="E8" s="16">
        <f>D8/$D$15</f>
        <v>8.3164405634388483E-2</v>
      </c>
    </row>
    <row r="9" spans="1:5" ht="18.5" x14ac:dyDescent="0.45">
      <c r="A9" s="3" t="s">
        <v>34</v>
      </c>
      <c r="B9" s="15">
        <v>7</v>
      </c>
      <c r="C9" s="7">
        <v>29900</v>
      </c>
      <c r="D9" s="7">
        <f t="shared" si="0"/>
        <v>209300</v>
      </c>
      <c r="E9" s="16">
        <f t="shared" ref="E9:E14" si="1">D9/$D$15</f>
        <v>0.10878943812048443</v>
      </c>
    </row>
    <row r="10" spans="1:5" ht="18.5" x14ac:dyDescent="0.45">
      <c r="A10" s="3" t="s">
        <v>35</v>
      </c>
      <c r="B10" s="15">
        <v>12</v>
      </c>
      <c r="C10" s="7">
        <v>23500</v>
      </c>
      <c r="D10" s="7">
        <f t="shared" si="0"/>
        <v>282000</v>
      </c>
      <c r="E10" s="16">
        <f t="shared" si="1"/>
        <v>0.14657726493060969</v>
      </c>
    </row>
    <row r="11" spans="1:5" ht="18.5" x14ac:dyDescent="0.45">
      <c r="A11" s="3" t="s">
        <v>36</v>
      </c>
      <c r="B11" s="15">
        <v>15</v>
      </c>
      <c r="C11" s="7">
        <v>8500</v>
      </c>
      <c r="D11" s="7">
        <f t="shared" si="0"/>
        <v>127500</v>
      </c>
      <c r="E11" s="16">
        <f t="shared" si="1"/>
        <v>6.6271635739903315E-2</v>
      </c>
    </row>
    <row r="12" spans="1:5" ht="18.5" x14ac:dyDescent="0.45">
      <c r="A12" s="3" t="s">
        <v>37</v>
      </c>
      <c r="B12" s="15">
        <v>23</v>
      </c>
      <c r="C12" s="7">
        <v>8700</v>
      </c>
      <c r="D12" s="7">
        <f t="shared" si="0"/>
        <v>200100</v>
      </c>
      <c r="E12" s="16">
        <f t="shared" si="1"/>
        <v>0.10400748479650709</v>
      </c>
    </row>
    <row r="13" spans="1:5" ht="18.5" x14ac:dyDescent="0.45">
      <c r="A13" s="3" t="s">
        <v>38</v>
      </c>
      <c r="B13" s="15">
        <v>9</v>
      </c>
      <c r="C13" s="7">
        <v>45000</v>
      </c>
      <c r="D13" s="7">
        <f t="shared" si="0"/>
        <v>405000</v>
      </c>
      <c r="E13" s="16">
        <f t="shared" si="1"/>
        <v>0.21050990176204584</v>
      </c>
    </row>
    <row r="14" spans="1:5" ht="18.5" x14ac:dyDescent="0.45">
      <c r="A14" s="3" t="s">
        <v>39</v>
      </c>
      <c r="B14" s="15">
        <v>18</v>
      </c>
      <c r="C14" s="7">
        <v>30000</v>
      </c>
      <c r="D14" s="7">
        <f t="shared" si="0"/>
        <v>540000</v>
      </c>
      <c r="E14" s="16">
        <f t="shared" si="1"/>
        <v>0.28067986901606112</v>
      </c>
    </row>
    <row r="15" spans="1:5" ht="18.5" x14ac:dyDescent="0.45">
      <c r="A15" s="3" t="s">
        <v>11</v>
      </c>
      <c r="D15" s="7">
        <f>SUM(D8:D14)</f>
        <v>1923900</v>
      </c>
      <c r="E15" s="16">
        <f>SUM(E8:E14)</f>
        <v>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8AE2-4449-7E44-93C5-97BA9F8805BA}">
  <dimension ref="A11:I19"/>
  <sheetViews>
    <sheetView showGridLines="0" workbookViewId="0">
      <selection activeCell="C36" sqref="C36"/>
    </sheetView>
  </sheetViews>
  <sheetFormatPr defaultColWidth="11.453125" defaultRowHeight="14.5" x14ac:dyDescent="0.35"/>
  <cols>
    <col min="1" max="1" width="14" customWidth="1"/>
    <col min="2" max="4" width="15" bestFit="1" customWidth="1"/>
    <col min="8" max="8" width="15.453125" bestFit="1" customWidth="1"/>
  </cols>
  <sheetData>
    <row r="11" spans="1:9" ht="55.5" x14ac:dyDescent="0.35">
      <c r="A11" s="4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6" t="s">
        <v>7</v>
      </c>
      <c r="I11" s="6" t="s">
        <v>8</v>
      </c>
    </row>
    <row r="12" spans="1:9" ht="18.5" x14ac:dyDescent="0.45">
      <c r="A12" s="3" t="s">
        <v>9</v>
      </c>
      <c r="B12" s="7">
        <v>75479</v>
      </c>
      <c r="C12" s="7">
        <v>86362</v>
      </c>
      <c r="D12" s="7">
        <v>56206</v>
      </c>
      <c r="E12" s="16">
        <f>B12/B$19</f>
        <v>0.12920902078533009</v>
      </c>
      <c r="F12" s="16">
        <f t="shared" ref="F12:G18" si="0">C12/C$19</f>
        <v>0.1094127499135335</v>
      </c>
      <c r="G12" s="16">
        <f t="shared" si="0"/>
        <v>7.4429161463581944E-2</v>
      </c>
      <c r="H12" s="8">
        <f>SUM(B12:D12)</f>
        <v>218047</v>
      </c>
      <c r="I12" s="16">
        <f>H12/$H$19</f>
        <v>0.10243459927108593</v>
      </c>
    </row>
    <row r="13" spans="1:9" ht="18.5" x14ac:dyDescent="0.45">
      <c r="A13" s="3" t="s">
        <v>12</v>
      </c>
      <c r="B13" s="7">
        <v>94580</v>
      </c>
      <c r="C13" s="7">
        <v>116534</v>
      </c>
      <c r="D13" s="7">
        <v>127097</v>
      </c>
      <c r="E13" s="16">
        <f t="shared" ref="E13:E18" si="1">B13/B$19</f>
        <v>0.16190714219685634</v>
      </c>
      <c r="F13" s="16">
        <f t="shared" si="0"/>
        <v>0.14763791248956384</v>
      </c>
      <c r="G13" s="16">
        <f t="shared" si="0"/>
        <v>0.1683045072507717</v>
      </c>
      <c r="H13" s="8">
        <f t="shared" ref="H13:H18" si="2">SUM(B13:D13)</f>
        <v>338211</v>
      </c>
      <c r="I13" s="16">
        <f t="shared" ref="I13:I18" si="3">H13/$H$19</f>
        <v>0.15888550750101238</v>
      </c>
    </row>
    <row r="14" spans="1:9" ht="18.5" x14ac:dyDescent="0.45">
      <c r="A14" s="3" t="s">
        <v>10</v>
      </c>
      <c r="B14" s="7">
        <v>65754</v>
      </c>
      <c r="C14" s="7">
        <v>127187</v>
      </c>
      <c r="D14" s="7">
        <v>63202</v>
      </c>
      <c r="E14" s="16">
        <f t="shared" si="1"/>
        <v>0.11256124157339915</v>
      </c>
      <c r="F14" s="16">
        <f t="shared" si="0"/>
        <v>0.16113428849786463</v>
      </c>
      <c r="G14" s="16">
        <f t="shared" si="0"/>
        <v>8.3693411073929927E-2</v>
      </c>
      <c r="H14" s="8">
        <f t="shared" si="2"/>
        <v>256143</v>
      </c>
      <c r="I14" s="16">
        <f t="shared" si="3"/>
        <v>0.12033142194615733</v>
      </c>
    </row>
    <row r="15" spans="1:9" ht="18.5" x14ac:dyDescent="0.45">
      <c r="A15" s="3" t="s">
        <v>13</v>
      </c>
      <c r="B15" s="7">
        <v>101126</v>
      </c>
      <c r="C15" s="7">
        <v>130439</v>
      </c>
      <c r="D15" s="7">
        <v>141637</v>
      </c>
      <c r="E15" s="16">
        <f t="shared" si="1"/>
        <v>0.17311293784943219</v>
      </c>
      <c r="F15" s="16">
        <f t="shared" si="0"/>
        <v>0.16525427486592942</v>
      </c>
      <c r="G15" s="16">
        <f t="shared" si="0"/>
        <v>0.18755867953985972</v>
      </c>
      <c r="H15" s="8">
        <f t="shared" si="2"/>
        <v>373202</v>
      </c>
      <c r="I15" s="16">
        <f t="shared" si="3"/>
        <v>0.17532365644639833</v>
      </c>
    </row>
    <row r="16" spans="1:9" ht="18.5" x14ac:dyDescent="0.45">
      <c r="A16" s="3" t="s">
        <v>14</v>
      </c>
      <c r="B16" s="7">
        <v>79708</v>
      </c>
      <c r="C16" s="7">
        <v>131655</v>
      </c>
      <c r="D16" s="7">
        <v>120277</v>
      </c>
      <c r="E16" s="16">
        <f t="shared" si="1"/>
        <v>0.13644845094340269</v>
      </c>
      <c r="F16" s="16">
        <f t="shared" si="0"/>
        <v>0.16679483557428329</v>
      </c>
      <c r="G16" s="16">
        <f t="shared" si="0"/>
        <v>0.15927332052370288</v>
      </c>
      <c r="H16" s="8">
        <f t="shared" si="2"/>
        <v>331640</v>
      </c>
      <c r="I16" s="16">
        <f t="shared" si="3"/>
        <v>0.15579856866759434</v>
      </c>
    </row>
    <row r="17" spans="1:9" ht="18.5" x14ac:dyDescent="0.45">
      <c r="A17" s="3" t="s">
        <v>15</v>
      </c>
      <c r="B17" s="7">
        <v>95436</v>
      </c>
      <c r="C17" s="7">
        <v>75819</v>
      </c>
      <c r="D17" s="7">
        <v>146894</v>
      </c>
      <c r="E17" s="16">
        <f t="shared" si="1"/>
        <v>0.16337248913828697</v>
      </c>
      <c r="F17" s="16">
        <f t="shared" si="0"/>
        <v>9.6055733837731833E-2</v>
      </c>
      <c r="G17" s="16">
        <f t="shared" si="0"/>
        <v>0.19452010895689792</v>
      </c>
      <c r="H17" s="8">
        <f t="shared" si="2"/>
        <v>318149</v>
      </c>
      <c r="I17" s="16">
        <f t="shared" si="3"/>
        <v>0.14946073701310597</v>
      </c>
    </row>
    <row r="18" spans="1:9" ht="18.5" x14ac:dyDescent="0.45">
      <c r="A18" s="3" t="s">
        <v>16</v>
      </c>
      <c r="B18" s="7">
        <v>72079</v>
      </c>
      <c r="C18" s="7">
        <v>121327</v>
      </c>
      <c r="D18" s="7">
        <v>99848</v>
      </c>
      <c r="E18" s="16">
        <f t="shared" si="1"/>
        <v>0.12338871751329254</v>
      </c>
      <c r="F18" s="16">
        <f t="shared" si="0"/>
        <v>0.15371020482109352</v>
      </c>
      <c r="G18" s="16">
        <f t="shared" si="0"/>
        <v>0.13222081119125589</v>
      </c>
      <c r="H18" s="8">
        <f t="shared" si="2"/>
        <v>293254</v>
      </c>
      <c r="I18" s="16">
        <f t="shared" si="3"/>
        <v>0.13776550915464572</v>
      </c>
    </row>
    <row r="19" spans="1:9" ht="18.5" x14ac:dyDescent="0.45">
      <c r="A19" s="9" t="s">
        <v>11</v>
      </c>
      <c r="B19" s="10">
        <f>SUM(B12:B18)</f>
        <v>584162</v>
      </c>
      <c r="C19" s="10">
        <f>SUM(C12:C18)</f>
        <v>789323</v>
      </c>
      <c r="D19" s="10">
        <f>SUM(D12:D18)</f>
        <v>755161</v>
      </c>
      <c r="E19" s="11"/>
      <c r="F19" s="9"/>
      <c r="G19" s="9"/>
      <c r="H19" s="12">
        <f>SUM(H12:H18)</f>
        <v>2128646</v>
      </c>
      <c r="I19" s="17">
        <f>SUM(I12:I18)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3B1D-DC68-2C43-8D87-DD1610591FCA}">
  <dimension ref="A13:E21"/>
  <sheetViews>
    <sheetView showGridLines="0" tabSelected="1" workbookViewId="0">
      <selection activeCell="D29" sqref="D29"/>
    </sheetView>
  </sheetViews>
  <sheetFormatPr defaultColWidth="11.453125" defaultRowHeight="14.5" x14ac:dyDescent="0.35"/>
  <cols>
    <col min="1" max="1" width="12.54296875" bestFit="1" customWidth="1"/>
    <col min="2" max="2" width="20" customWidth="1"/>
    <col min="5" max="5" width="27.81640625" customWidth="1"/>
  </cols>
  <sheetData>
    <row r="13" spans="1:5" ht="74" x14ac:dyDescent="0.45">
      <c r="A13" s="4" t="s">
        <v>17</v>
      </c>
      <c r="B13" s="5" t="s">
        <v>25</v>
      </c>
      <c r="C13" s="5" t="s">
        <v>27</v>
      </c>
      <c r="D13" s="13"/>
      <c r="E13" s="5" t="s">
        <v>26</v>
      </c>
    </row>
    <row r="14" spans="1:5" ht="18.5" x14ac:dyDescent="0.45">
      <c r="A14" s="3" t="s">
        <v>18</v>
      </c>
      <c r="B14" s="7">
        <v>394405</v>
      </c>
      <c r="C14" s="14">
        <f>B14/$E$14</f>
        <v>1.1600147058823529</v>
      </c>
      <c r="D14" s="13"/>
      <c r="E14" s="7">
        <v>340000</v>
      </c>
    </row>
    <row r="15" spans="1:5" ht="18.5" x14ac:dyDescent="0.45">
      <c r="A15" s="3" t="s">
        <v>19</v>
      </c>
      <c r="B15" s="7">
        <v>377042</v>
      </c>
      <c r="C15" s="14">
        <f t="shared" ref="C15:C20" si="0">B15/$E$14</f>
        <v>1.1089470588235295</v>
      </c>
      <c r="D15" s="13"/>
      <c r="E15" s="13"/>
    </row>
    <row r="16" spans="1:5" ht="18.5" x14ac:dyDescent="0.45">
      <c r="A16" s="3" t="s">
        <v>20</v>
      </c>
      <c r="B16" s="7">
        <v>240216</v>
      </c>
      <c r="C16" s="14">
        <f t="shared" si="0"/>
        <v>0.70651764705882358</v>
      </c>
      <c r="D16" s="13"/>
      <c r="E16" s="13"/>
    </row>
    <row r="17" spans="1:5" ht="18.5" x14ac:dyDescent="0.45">
      <c r="A17" s="3" t="s">
        <v>21</v>
      </c>
      <c r="B17" s="7">
        <v>304515</v>
      </c>
      <c r="C17" s="14">
        <f t="shared" si="0"/>
        <v>0.89563235294117649</v>
      </c>
      <c r="D17" s="13"/>
      <c r="E17" s="13"/>
    </row>
    <row r="18" spans="1:5" ht="18.5" x14ac:dyDescent="0.45">
      <c r="A18" s="3" t="s">
        <v>22</v>
      </c>
      <c r="B18" s="7">
        <v>336306</v>
      </c>
      <c r="C18" s="14">
        <f t="shared" si="0"/>
        <v>0.98913529411764711</v>
      </c>
      <c r="D18" s="13"/>
      <c r="E18" s="13"/>
    </row>
    <row r="19" spans="1:5" ht="18.5" x14ac:dyDescent="0.45">
      <c r="A19" s="3" t="s">
        <v>23</v>
      </c>
      <c r="B19" s="7">
        <v>232778</v>
      </c>
      <c r="C19" s="14">
        <f t="shared" si="0"/>
        <v>0.6846411764705882</v>
      </c>
      <c r="D19" s="13"/>
      <c r="E19" s="13"/>
    </row>
    <row r="20" spans="1:5" ht="18.5" x14ac:dyDescent="0.45">
      <c r="A20" s="3" t="s">
        <v>24</v>
      </c>
      <c r="B20" s="7">
        <v>441838</v>
      </c>
      <c r="C20" s="14">
        <f t="shared" si="0"/>
        <v>1.2995235294117646</v>
      </c>
      <c r="D20" s="13"/>
      <c r="E20" s="13"/>
    </row>
    <row r="21" spans="1:5" ht="18.5" x14ac:dyDescent="0.45">
      <c r="A21" s="9" t="s">
        <v>11</v>
      </c>
      <c r="B21" s="19">
        <f>SUM(B14:B20)</f>
        <v>2327100</v>
      </c>
      <c r="C21" s="18">
        <f>B21/(COUNTA(B14:B20)*E14)</f>
        <v>0.97777310924369742</v>
      </c>
      <c r="D21" s="13"/>
      <c r="E21" s="1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2919-E125-4560-B944-8C3A249FDEF7}">
  <dimension ref="A1:E19"/>
  <sheetViews>
    <sheetView workbookViewId="0">
      <selection sqref="A1:K21"/>
    </sheetView>
  </sheetViews>
  <sheetFormatPr defaultColWidth="9" defaultRowHeight="14.5" x14ac:dyDescent="0.35"/>
  <cols>
    <col min="1" max="16384" width="9" style="1"/>
  </cols>
  <sheetData>
    <row r="1" spans="1:5" x14ac:dyDescent="0.35">
      <c r="A1" s="1">
        <v>1</v>
      </c>
    </row>
    <row r="3" spans="1:5" x14ac:dyDescent="0.35">
      <c r="A3" s="2" t="e">
        <f>#REF!/#REF!</f>
        <v>#REF!</v>
      </c>
      <c r="B3" s="2" t="e">
        <f>#REF!/#REF!</f>
        <v>#REF!</v>
      </c>
      <c r="C3" s="2" t="e">
        <f>#REF!/#REF!</f>
        <v>#REF!</v>
      </c>
      <c r="E3" s="2" t="e">
        <f>#REF!/#REF!</f>
        <v>#REF!</v>
      </c>
    </row>
    <row r="4" spans="1:5" x14ac:dyDescent="0.35">
      <c r="A4" s="2" t="e">
        <f>#REF!/#REF!</f>
        <v>#REF!</v>
      </c>
      <c r="B4" s="2" t="e">
        <f>#REF!/#REF!</f>
        <v>#REF!</v>
      </c>
      <c r="C4" s="2" t="e">
        <f>#REF!/#REF!</f>
        <v>#REF!</v>
      </c>
      <c r="E4" s="2" t="e">
        <f>#REF!/#REF!</f>
        <v>#REF!</v>
      </c>
    </row>
    <row r="5" spans="1:5" x14ac:dyDescent="0.35">
      <c r="A5" s="2" t="e">
        <f>#REF!/#REF!</f>
        <v>#REF!</v>
      </c>
      <c r="B5" s="2" t="e">
        <f>#REF!/#REF!</f>
        <v>#REF!</v>
      </c>
      <c r="C5" s="2" t="e">
        <f>#REF!/#REF!</f>
        <v>#REF!</v>
      </c>
      <c r="E5" s="2" t="e">
        <f>#REF!/#REF!</f>
        <v>#REF!</v>
      </c>
    </row>
    <row r="6" spans="1:5" x14ac:dyDescent="0.35">
      <c r="A6" s="2" t="e">
        <f>#REF!/#REF!</f>
        <v>#REF!</v>
      </c>
      <c r="B6" s="2" t="e">
        <f>#REF!/#REF!</f>
        <v>#REF!</v>
      </c>
      <c r="C6" s="2" t="e">
        <f>#REF!/#REF!</f>
        <v>#REF!</v>
      </c>
      <c r="E6" s="2" t="e">
        <f>#REF!/#REF!</f>
        <v>#REF!</v>
      </c>
    </row>
    <row r="7" spans="1:5" x14ac:dyDescent="0.35">
      <c r="A7" s="2" t="e">
        <f>#REF!/#REF!</f>
        <v>#REF!</v>
      </c>
      <c r="B7" s="2" t="e">
        <f>#REF!/#REF!</f>
        <v>#REF!</v>
      </c>
      <c r="C7" s="2" t="e">
        <f>#REF!/#REF!</f>
        <v>#REF!</v>
      </c>
      <c r="E7" s="2" t="e">
        <f>#REF!/#REF!</f>
        <v>#REF!</v>
      </c>
    </row>
    <row r="8" spans="1:5" x14ac:dyDescent="0.35">
      <c r="A8" s="2" t="e">
        <f>#REF!/#REF!</f>
        <v>#REF!</v>
      </c>
      <c r="B8" s="2" t="e">
        <f>#REF!/#REF!</f>
        <v>#REF!</v>
      </c>
      <c r="C8" s="2" t="e">
        <f>#REF!/#REF!</f>
        <v>#REF!</v>
      </c>
      <c r="E8" s="2" t="e">
        <f>#REF!/#REF!</f>
        <v>#REF!</v>
      </c>
    </row>
    <row r="9" spans="1:5" x14ac:dyDescent="0.35">
      <c r="A9" s="2" t="e">
        <f>#REF!/#REF!</f>
        <v>#REF!</v>
      </c>
      <c r="B9" s="2" t="e">
        <f>#REF!/#REF!</f>
        <v>#REF!</v>
      </c>
      <c r="C9" s="2" t="e">
        <f>#REF!/#REF!</f>
        <v>#REF!</v>
      </c>
      <c r="E9" s="2" t="e">
        <f>#REF!/#REF!</f>
        <v>#REF!</v>
      </c>
    </row>
    <row r="11" spans="1:5" x14ac:dyDescent="0.35">
      <c r="A11" s="1">
        <v>2</v>
      </c>
    </row>
    <row r="13" spans="1:5" x14ac:dyDescent="0.35">
      <c r="A13" s="1" t="e">
        <f>#REF!/#REF!</f>
        <v>#REF!</v>
      </c>
    </row>
    <row r="14" spans="1:5" x14ac:dyDescent="0.35">
      <c r="A14" s="1" t="e">
        <f>#REF!/#REF!</f>
        <v>#REF!</v>
      </c>
    </row>
    <row r="15" spans="1:5" x14ac:dyDescent="0.35">
      <c r="A15" s="1" t="e">
        <f>#REF!/#REF!</f>
        <v>#REF!</v>
      </c>
    </row>
    <row r="16" spans="1:5" x14ac:dyDescent="0.35">
      <c r="A16" s="1" t="e">
        <f>#REF!/#REF!</f>
        <v>#REF!</v>
      </c>
    </row>
    <row r="17" spans="1:1" x14ac:dyDescent="0.35">
      <c r="A17" s="1" t="e">
        <f>#REF!/#REF!</f>
        <v>#REF!</v>
      </c>
    </row>
    <row r="18" spans="1:1" x14ac:dyDescent="0.35">
      <c r="A18" s="1" t="e">
        <f>#REF!/#REF!</f>
        <v>#REF!</v>
      </c>
    </row>
    <row r="19" spans="1:1" x14ac:dyDescent="0.35">
      <c r="A19" s="1" t="e">
        <f>#REF!/#REF!</f>
        <v>#REF!</v>
      </c>
    </row>
  </sheetData>
  <sheetProtection algorithmName="SHA-512" hashValue="SpsR1W6IY+8am3DjQS3bS0Esd+7JZHm/0q6HUKrpepXDF2rVS2KtTMFlf5F5Q10tYJWGZQ2f9UOzjSjZ7po/ow==" saltValue="5hmXXLMXXPyXyEbp1Z6Tn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Решетникова Марина Сергеевна</dc:creator>
  <cp:lastModifiedBy>Erland Adestio Sadana</cp:lastModifiedBy>
  <dcterms:created xsi:type="dcterms:W3CDTF">2020-10-26T12:33:07Z</dcterms:created>
  <dcterms:modified xsi:type="dcterms:W3CDTF">2026-02-23T12:56:47Z</dcterms:modified>
</cp:coreProperties>
</file>