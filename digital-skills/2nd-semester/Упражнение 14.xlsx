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D:\New folder\college\sem2\digital skills\"/>
    </mc:Choice>
  </mc:AlternateContent>
  <xr:revisionPtr revIDLastSave="0" documentId="13_ncr:1_{224009A7-F69B-4FD3-A033-18EFE259DEC2}" xr6:coauthVersionLast="47" xr6:coauthVersionMax="47" xr10:uidLastSave="{00000000-0000-0000-0000-000000000000}"/>
  <bookViews>
    <workbookView xWindow="-110" yWindow="-110" windowWidth="29020" windowHeight="17500" xr2:uid="{9D626308-D7D1-C643-A5FA-B2808E0E1126}"/>
  </bookViews>
  <sheets>
    <sheet name="Потоки обучения" sheetId="1" r:id="rId1"/>
    <sheet name="Потоки обучения 1" sheetId="2" r:id="rId2"/>
    <sheet name="Потоки обучения 2" sheetId="3" r:id="rId3"/>
  </sheets>
  <definedNames>
    <definedName name="Slicer_Год">#N/A</definedName>
    <definedName name="Slicer_Формат">#N/A</definedName>
  </definedNames>
  <calcPr calcId="191029"/>
  <pivotCaches>
    <pivotCache cacheId="28" r:id="rId4"/>
    <pivotCache cacheId="57" r:id="rId5"/>
    <pivotCache cacheId="66"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5" i="3" l="1"/>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I178" i="3"/>
  <c r="I179" i="3"/>
  <c r="I180" i="3"/>
  <c r="I181" i="3"/>
  <c r="I182" i="3"/>
  <c r="I183" i="3"/>
  <c r="I184" i="3"/>
  <c r="I185" i="3"/>
  <c r="I186" i="3"/>
  <c r="I187" i="3"/>
  <c r="I188" i="3"/>
  <c r="I189" i="3"/>
  <c r="I190" i="3"/>
  <c r="I191" i="3"/>
  <c r="I192" i="3"/>
  <c r="I193" i="3"/>
  <c r="I194" i="3"/>
  <c r="I195" i="3"/>
  <c r="I196" i="3"/>
  <c r="I197" i="3"/>
  <c r="I198" i="3"/>
  <c r="I199" i="3"/>
  <c r="I200" i="3"/>
  <c r="I201" i="3"/>
  <c r="I202" i="3"/>
  <c r="I203" i="3"/>
  <c r="I204" i="3"/>
  <c r="I205" i="3"/>
  <c r="I206" i="3"/>
  <c r="I207" i="3"/>
  <c r="I208" i="3"/>
  <c r="I209" i="3"/>
  <c r="I210" i="3"/>
  <c r="I211" i="3"/>
  <c r="I212" i="3"/>
  <c r="I213" i="3"/>
  <c r="I214" i="3"/>
  <c r="I215" i="3"/>
  <c r="I216" i="3"/>
  <c r="I217" i="3"/>
  <c r="I218" i="3"/>
  <c r="I219" i="3"/>
  <c r="I220" i="3"/>
  <c r="I221" i="3"/>
  <c r="I222" i="3"/>
  <c r="I223" i="3"/>
  <c r="I224" i="3"/>
  <c r="I225" i="3"/>
  <c r="I226" i="3"/>
  <c r="I227" i="3"/>
  <c r="I228" i="3"/>
  <c r="I229" i="3"/>
  <c r="I230" i="3"/>
  <c r="I231" i="3"/>
  <c r="I232" i="3"/>
  <c r="I233" i="3"/>
  <c r="I234" i="3"/>
  <c r="I235" i="3"/>
  <c r="I236" i="3"/>
  <c r="I237" i="3"/>
  <c r="I238" i="3"/>
  <c r="I239" i="3"/>
  <c r="I240" i="3"/>
  <c r="I241" i="3"/>
  <c r="I242" i="3"/>
  <c r="I243" i="3"/>
  <c r="I244" i="3"/>
  <c r="I245" i="3"/>
  <c r="I246" i="3"/>
  <c r="I247" i="3"/>
  <c r="I248" i="3"/>
  <c r="I249" i="3"/>
  <c r="I250" i="3"/>
  <c r="I251" i="3"/>
  <c r="I252" i="3"/>
  <c r="I253" i="3"/>
  <c r="I254" i="3"/>
  <c r="I255" i="3"/>
  <c r="I256" i="3"/>
  <c r="I257" i="3"/>
  <c r="I258" i="3"/>
  <c r="I259" i="3"/>
  <c r="I260" i="3"/>
  <c r="I261" i="3"/>
  <c r="I262" i="3"/>
  <c r="I263" i="3"/>
  <c r="I264" i="3"/>
  <c r="I265" i="3"/>
  <c r="I266" i="3"/>
  <c r="I267" i="3"/>
  <c r="I268" i="3"/>
  <c r="I269" i="3"/>
  <c r="I270" i="3"/>
  <c r="I271" i="3"/>
  <c r="I272" i="3"/>
  <c r="I273" i="3"/>
  <c r="I274" i="3"/>
  <c r="I275" i="3"/>
  <c r="I276" i="3"/>
  <c r="I277" i="3"/>
  <c r="I278" i="3"/>
  <c r="I279" i="3"/>
  <c r="I280" i="3"/>
  <c r="I281" i="3"/>
  <c r="I282" i="3"/>
  <c r="I283" i="3"/>
  <c r="I284" i="3"/>
  <c r="I285" i="3"/>
  <c r="I286" i="3"/>
  <c r="I287" i="3"/>
  <c r="I288" i="3"/>
  <c r="I289" i="3"/>
  <c r="I290" i="3"/>
  <c r="I291" i="3"/>
  <c r="I292" i="3"/>
  <c r="I293" i="3"/>
  <c r="I294" i="3"/>
  <c r="I295" i="3"/>
  <c r="I296" i="3"/>
  <c r="I297" i="3"/>
  <c r="I298" i="3"/>
  <c r="I299" i="3"/>
  <c r="I300" i="3"/>
  <c r="I301" i="3"/>
  <c r="I302" i="3"/>
  <c r="I303" i="3"/>
  <c r="I304" i="3"/>
  <c r="I305" i="3"/>
  <c r="I306" i="3"/>
  <c r="I307" i="3"/>
  <c r="I308" i="3"/>
  <c r="I309" i="3"/>
  <c r="I310" i="3"/>
  <c r="I311" i="3"/>
  <c r="I312" i="3"/>
  <c r="I313" i="3"/>
  <c r="I314" i="3"/>
  <c r="I315" i="3"/>
  <c r="I316" i="3"/>
  <c r="I317" i="3"/>
  <c r="I318" i="3"/>
  <c r="I319" i="3"/>
  <c r="I320" i="3"/>
  <c r="I321" i="3"/>
  <c r="I322" i="3"/>
  <c r="I323" i="3"/>
  <c r="I324" i="3"/>
  <c r="I325" i="3"/>
  <c r="I326" i="3"/>
  <c r="I327" i="3"/>
  <c r="I328" i="3"/>
  <c r="I329" i="3"/>
  <c r="I330" i="3"/>
  <c r="I331" i="3"/>
  <c r="I332" i="3"/>
  <c r="I333" i="3"/>
  <c r="I334" i="3"/>
  <c r="I335" i="3"/>
  <c r="I336" i="3"/>
  <c r="I337" i="3"/>
  <c r="I338" i="3"/>
  <c r="I339" i="3"/>
  <c r="I340" i="3"/>
  <c r="I341" i="3"/>
  <c r="I342" i="3"/>
  <c r="I343" i="3"/>
  <c r="I344" i="3"/>
  <c r="I345" i="3"/>
  <c r="I346" i="3"/>
  <c r="I347" i="3"/>
  <c r="I348" i="3"/>
  <c r="I349" i="3"/>
  <c r="I350" i="3"/>
  <c r="I351" i="3"/>
  <c r="I352" i="3"/>
  <c r="I353" i="3"/>
  <c r="I354" i="3"/>
  <c r="I355" i="3"/>
  <c r="I356" i="3"/>
  <c r="I357" i="3"/>
  <c r="I358" i="3"/>
  <c r="I359" i="3"/>
  <c r="I360" i="3"/>
  <c r="I361" i="3"/>
  <c r="I362" i="3"/>
  <c r="I363" i="3"/>
  <c r="I4" i="3"/>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4" i="1"/>
</calcChain>
</file>

<file path=xl/sharedStrings.xml><?xml version="1.0" encoding="utf-8"?>
<sst xmlns="http://schemas.openxmlformats.org/spreadsheetml/2006/main" count="5583" uniqueCount="428">
  <si>
    <t>Архив по наборам на программы</t>
  </si>
  <si>
    <t>Январь</t>
  </si>
  <si>
    <t>Аналитика</t>
  </si>
  <si>
    <t>Смирнов</t>
  </si>
  <si>
    <t>Очно</t>
  </si>
  <si>
    <t>PT-2201-001</t>
  </si>
  <si>
    <t>Маркетинг</t>
  </si>
  <si>
    <t>Артамонов</t>
  </si>
  <si>
    <t>Интенсив</t>
  </si>
  <si>
    <t>PT-2201-002</t>
  </si>
  <si>
    <t>Программирование</t>
  </si>
  <si>
    <t>Лаврова</t>
  </si>
  <si>
    <t>Онлайн</t>
  </si>
  <si>
    <t>PT-2201-003</t>
  </si>
  <si>
    <t>Горин</t>
  </si>
  <si>
    <t>Смешанный</t>
  </si>
  <si>
    <t>PT-2201-004</t>
  </si>
  <si>
    <t>Дизайн</t>
  </si>
  <si>
    <t>Белова</t>
  </si>
  <si>
    <t>PT-2201-005</t>
  </si>
  <si>
    <t>PT-2201-006</t>
  </si>
  <si>
    <t>PT-2201-007</t>
  </si>
  <si>
    <t>Управление</t>
  </si>
  <si>
    <t>PT-2201-008</t>
  </si>
  <si>
    <t>PT-2201-009</t>
  </si>
  <si>
    <t>PT-2201-010</t>
  </si>
  <si>
    <t>Февраль</t>
  </si>
  <si>
    <t>PT-2202-011</t>
  </si>
  <si>
    <t>PT-2202-012</t>
  </si>
  <si>
    <t>PT-2202-013</t>
  </si>
  <si>
    <t>PT-2202-014</t>
  </si>
  <si>
    <t>PT-2202-015</t>
  </si>
  <si>
    <t>PT-2202-016</t>
  </si>
  <si>
    <t>PT-2202-017</t>
  </si>
  <si>
    <t>PT-2202-018</t>
  </si>
  <si>
    <t>PT-2202-019</t>
  </si>
  <si>
    <t>PT-2202-020</t>
  </si>
  <si>
    <t>Март</t>
  </si>
  <si>
    <t>PT-2203-021</t>
  </si>
  <si>
    <t>PT-2203-022</t>
  </si>
  <si>
    <t>PT-2203-023</t>
  </si>
  <si>
    <t>PT-2203-024</t>
  </si>
  <si>
    <t>PT-2203-025</t>
  </si>
  <si>
    <t>PT-2203-026</t>
  </si>
  <si>
    <t>PT-2203-027</t>
  </si>
  <si>
    <t>PT-2203-028</t>
  </si>
  <si>
    <t>PT-2203-029</t>
  </si>
  <si>
    <t>PT-2203-030</t>
  </si>
  <si>
    <t>Апрель</t>
  </si>
  <si>
    <t>PT-2204-031</t>
  </si>
  <si>
    <t>PT-2204-032</t>
  </si>
  <si>
    <t>PT-2204-033</t>
  </si>
  <si>
    <t>PT-2204-034</t>
  </si>
  <si>
    <t>PT-2204-035</t>
  </si>
  <si>
    <t>PT-2204-036</t>
  </si>
  <si>
    <t>PT-2204-037</t>
  </si>
  <si>
    <t>PT-2204-038</t>
  </si>
  <si>
    <t>PT-2204-039</t>
  </si>
  <si>
    <t>PT-2204-040</t>
  </si>
  <si>
    <t>Май</t>
  </si>
  <si>
    <t>PT-2205-041</t>
  </si>
  <si>
    <t>PT-2205-042</t>
  </si>
  <si>
    <t>PT-2205-043</t>
  </si>
  <si>
    <t>PT-2205-044</t>
  </si>
  <si>
    <t>PT-2205-045</t>
  </si>
  <si>
    <t>PT-2205-046</t>
  </si>
  <si>
    <t>PT-2205-047</t>
  </si>
  <si>
    <t>PT-2205-048</t>
  </si>
  <si>
    <t>PT-2205-049</t>
  </si>
  <si>
    <t>PT-2205-050</t>
  </si>
  <si>
    <t>Июнь</t>
  </si>
  <si>
    <t>PT-2206-051</t>
  </si>
  <si>
    <t>PT-2206-052</t>
  </si>
  <si>
    <t>PT-2206-053</t>
  </si>
  <si>
    <t>PT-2206-054</t>
  </si>
  <si>
    <t>PT-2206-055</t>
  </si>
  <si>
    <t>PT-2206-056</t>
  </si>
  <si>
    <t>PT-2206-057</t>
  </si>
  <si>
    <t>PT-2206-058</t>
  </si>
  <si>
    <t>PT-2206-059</t>
  </si>
  <si>
    <t>PT-2206-060</t>
  </si>
  <si>
    <t>Июль</t>
  </si>
  <si>
    <t>PT-2207-061</t>
  </si>
  <si>
    <t>PT-2207-062</t>
  </si>
  <si>
    <t>PT-2207-063</t>
  </si>
  <si>
    <t>PT-2207-064</t>
  </si>
  <si>
    <t>PT-2207-065</t>
  </si>
  <si>
    <t>PT-2207-066</t>
  </si>
  <si>
    <t>PT-2207-067</t>
  </si>
  <si>
    <t>PT-2207-068</t>
  </si>
  <si>
    <t>PT-2207-069</t>
  </si>
  <si>
    <t>PT-2207-070</t>
  </si>
  <si>
    <t>Август</t>
  </si>
  <si>
    <t>PT-2208-071</t>
  </si>
  <si>
    <t>PT-2208-072</t>
  </si>
  <si>
    <t>PT-2208-073</t>
  </si>
  <si>
    <t>PT-2208-074</t>
  </si>
  <si>
    <t>PT-2208-075</t>
  </si>
  <si>
    <t>PT-2208-076</t>
  </si>
  <si>
    <t>PT-2208-077</t>
  </si>
  <si>
    <t>PT-2208-078</t>
  </si>
  <si>
    <t>PT-2208-079</t>
  </si>
  <si>
    <t>PT-2208-080</t>
  </si>
  <si>
    <t>Сентябрь</t>
  </si>
  <si>
    <t>PT-2209-081</t>
  </si>
  <si>
    <t>PT-2209-082</t>
  </si>
  <si>
    <t>PT-2209-083</t>
  </si>
  <si>
    <t>PT-2209-084</t>
  </si>
  <si>
    <t>PT-2209-085</t>
  </si>
  <si>
    <t>PT-2209-086</t>
  </si>
  <si>
    <t>PT-2209-087</t>
  </si>
  <si>
    <t>PT-2209-088</t>
  </si>
  <si>
    <t>PT-2209-089</t>
  </si>
  <si>
    <t>PT-2209-090</t>
  </si>
  <si>
    <t>Октябрь</t>
  </si>
  <si>
    <t>PT-2210-091</t>
  </si>
  <si>
    <t>PT-2210-092</t>
  </si>
  <si>
    <t>PT-2210-093</t>
  </si>
  <si>
    <t>PT-2210-094</t>
  </si>
  <si>
    <t>PT-2210-095</t>
  </si>
  <si>
    <t>PT-2210-096</t>
  </si>
  <si>
    <t>PT-2210-097</t>
  </si>
  <si>
    <t>PT-2210-098</t>
  </si>
  <si>
    <t>PT-2210-099</t>
  </si>
  <si>
    <t>PT-2210-100</t>
  </si>
  <si>
    <t>Ноябрь</t>
  </si>
  <si>
    <t>PT-2211-101</t>
  </si>
  <si>
    <t>PT-2211-102</t>
  </si>
  <si>
    <t>PT-2211-103</t>
  </si>
  <si>
    <t>PT-2211-104</t>
  </si>
  <si>
    <t>PT-2211-105</t>
  </si>
  <si>
    <t>PT-2211-106</t>
  </si>
  <si>
    <t>PT-2211-107</t>
  </si>
  <si>
    <t>PT-2211-108</t>
  </si>
  <si>
    <t>PT-2211-109</t>
  </si>
  <si>
    <t>PT-2211-110</t>
  </si>
  <si>
    <t>Декабрь</t>
  </si>
  <si>
    <t>PT-2212-111</t>
  </si>
  <si>
    <t>PT-2212-112</t>
  </si>
  <si>
    <t>PT-2212-113</t>
  </si>
  <si>
    <t>PT-2212-114</t>
  </si>
  <si>
    <t>PT-2212-115</t>
  </si>
  <si>
    <t>PT-2212-116</t>
  </si>
  <si>
    <t>PT-2212-117</t>
  </si>
  <si>
    <t>PT-2212-118</t>
  </si>
  <si>
    <t>PT-2212-119</t>
  </si>
  <si>
    <t>PT-2212-120</t>
  </si>
  <si>
    <t>PT-2301-121</t>
  </si>
  <si>
    <t>PT-2301-122</t>
  </si>
  <si>
    <t>PT-2301-123</t>
  </si>
  <si>
    <t>PT-2301-124</t>
  </si>
  <si>
    <t>PT-2301-125</t>
  </si>
  <si>
    <t>PT-2301-126</t>
  </si>
  <si>
    <t>PT-2301-127</t>
  </si>
  <si>
    <t>PT-2301-128</t>
  </si>
  <si>
    <t>PT-2301-129</t>
  </si>
  <si>
    <t>PT-2301-130</t>
  </si>
  <si>
    <t>PT-2302-131</t>
  </si>
  <si>
    <t>PT-2302-132</t>
  </si>
  <si>
    <t>PT-2302-133</t>
  </si>
  <si>
    <t>PT-2302-134</t>
  </si>
  <si>
    <t>PT-2302-135</t>
  </si>
  <si>
    <t>PT-2302-136</t>
  </si>
  <si>
    <t>PT-2302-137</t>
  </si>
  <si>
    <t>PT-2302-138</t>
  </si>
  <si>
    <t>PT-2302-139</t>
  </si>
  <si>
    <t>PT-2302-140</t>
  </si>
  <si>
    <t>PT-2303-141</t>
  </si>
  <si>
    <t>PT-2303-142</t>
  </si>
  <si>
    <t>PT-2303-143</t>
  </si>
  <si>
    <t>PT-2303-144</t>
  </si>
  <si>
    <t>PT-2303-145</t>
  </si>
  <si>
    <t>PT-2303-146</t>
  </si>
  <si>
    <t>PT-2303-147</t>
  </si>
  <si>
    <t>PT-2303-148</t>
  </si>
  <si>
    <t>PT-2303-149</t>
  </si>
  <si>
    <t>PT-2303-150</t>
  </si>
  <si>
    <t>PT-2304-151</t>
  </si>
  <si>
    <t>PT-2304-152</t>
  </si>
  <si>
    <t>PT-2304-153</t>
  </si>
  <si>
    <t>PT-2304-154</t>
  </si>
  <si>
    <t>PT-2304-155</t>
  </si>
  <si>
    <t>PT-2304-156</t>
  </si>
  <si>
    <t>PT-2304-157</t>
  </si>
  <si>
    <t>PT-2304-158</t>
  </si>
  <si>
    <t>PT-2304-159</t>
  </si>
  <si>
    <t>PT-2304-160</t>
  </si>
  <si>
    <t>PT-2305-161</t>
  </si>
  <si>
    <t>PT-2305-162</t>
  </si>
  <si>
    <t>PT-2305-163</t>
  </si>
  <si>
    <t>PT-2305-164</t>
  </si>
  <si>
    <t>PT-2305-165</t>
  </si>
  <si>
    <t>PT-2305-166</t>
  </si>
  <si>
    <t>PT-2305-167</t>
  </si>
  <si>
    <t>PT-2305-168</t>
  </si>
  <si>
    <t>PT-2305-169</t>
  </si>
  <si>
    <t>PT-2305-170</t>
  </si>
  <si>
    <t>PT-2306-171</t>
  </si>
  <si>
    <t>PT-2306-172</t>
  </si>
  <si>
    <t>PT-2306-173</t>
  </si>
  <si>
    <t>PT-2306-174</t>
  </si>
  <si>
    <t>PT-2306-175</t>
  </si>
  <si>
    <t>PT-2306-176</t>
  </si>
  <si>
    <t>PT-2306-177</t>
  </si>
  <si>
    <t>PT-2306-178</t>
  </si>
  <si>
    <t>PT-2306-179</t>
  </si>
  <si>
    <t>PT-2306-180</t>
  </si>
  <si>
    <t>PT-2307-181</t>
  </si>
  <si>
    <t>PT-2307-182</t>
  </si>
  <si>
    <t>PT-2307-183</t>
  </si>
  <si>
    <t>PT-2307-184</t>
  </si>
  <si>
    <t>PT-2307-185</t>
  </si>
  <si>
    <t>PT-2307-186</t>
  </si>
  <si>
    <t>PT-2307-187</t>
  </si>
  <si>
    <t>PT-2307-188</t>
  </si>
  <si>
    <t>PT-2307-189</t>
  </si>
  <si>
    <t>PT-2307-190</t>
  </si>
  <si>
    <t>PT-2308-191</t>
  </si>
  <si>
    <t>PT-2308-192</t>
  </si>
  <si>
    <t>PT-2308-193</t>
  </si>
  <si>
    <t>PT-2308-194</t>
  </si>
  <si>
    <t>PT-2308-195</t>
  </si>
  <si>
    <t>PT-2308-196</t>
  </si>
  <si>
    <t>PT-2308-197</t>
  </si>
  <si>
    <t>PT-2308-198</t>
  </si>
  <si>
    <t>PT-2308-199</t>
  </si>
  <si>
    <t>PT-2308-200</t>
  </si>
  <si>
    <t>PT-2309-201</t>
  </si>
  <si>
    <t>PT-2309-202</t>
  </si>
  <si>
    <t>PT-2309-203</t>
  </si>
  <si>
    <t>PT-2309-204</t>
  </si>
  <si>
    <t>PT-2309-205</t>
  </si>
  <si>
    <t>PT-2309-206</t>
  </si>
  <si>
    <t>PT-2309-207</t>
  </si>
  <si>
    <t>PT-2309-208</t>
  </si>
  <si>
    <t>PT-2309-209</t>
  </si>
  <si>
    <t>PT-2309-210</t>
  </si>
  <si>
    <t>PT-2310-211</t>
  </si>
  <si>
    <t>PT-2310-212</t>
  </si>
  <si>
    <t>PT-2310-213</t>
  </si>
  <si>
    <t>PT-2310-214</t>
  </si>
  <si>
    <t>PT-2310-215</t>
  </si>
  <si>
    <t>PT-2310-216</t>
  </si>
  <si>
    <t>PT-2310-217</t>
  </si>
  <si>
    <t>PT-2310-218</t>
  </si>
  <si>
    <t>PT-2310-219</t>
  </si>
  <si>
    <t>PT-2310-220</t>
  </si>
  <si>
    <t>PT-2311-221</t>
  </si>
  <si>
    <t>PT-2311-222</t>
  </si>
  <si>
    <t>PT-2311-223</t>
  </si>
  <si>
    <t>PT-2311-224</t>
  </si>
  <si>
    <t>PT-2311-225</t>
  </si>
  <si>
    <t>PT-2311-226</t>
  </si>
  <si>
    <t>PT-2311-227</t>
  </si>
  <si>
    <t>PT-2311-228</t>
  </si>
  <si>
    <t>PT-2311-229</t>
  </si>
  <si>
    <t>PT-2311-230</t>
  </si>
  <si>
    <t>PT-2312-231</t>
  </si>
  <si>
    <t>PT-2312-232</t>
  </si>
  <si>
    <t>PT-2312-233</t>
  </si>
  <si>
    <t>PT-2312-234</t>
  </si>
  <si>
    <t>PT-2312-235</t>
  </si>
  <si>
    <t>PT-2312-236</t>
  </si>
  <si>
    <t>PT-2312-237</t>
  </si>
  <si>
    <t>PT-2312-238</t>
  </si>
  <si>
    <t>PT-2312-239</t>
  </si>
  <si>
    <t>PT-2312-240</t>
  </si>
  <si>
    <t>PT-2401-241</t>
  </si>
  <si>
    <t>PT-2401-242</t>
  </si>
  <si>
    <t>PT-2401-243</t>
  </si>
  <si>
    <t>PT-2401-244</t>
  </si>
  <si>
    <t>PT-2401-245</t>
  </si>
  <si>
    <t>PT-2401-246</t>
  </si>
  <si>
    <t>PT-2401-247</t>
  </si>
  <si>
    <t>PT-2401-248</t>
  </si>
  <si>
    <t>PT-2401-249</t>
  </si>
  <si>
    <t>PT-2401-250</t>
  </si>
  <si>
    <t>PT-2402-251</t>
  </si>
  <si>
    <t>PT-2402-252</t>
  </si>
  <si>
    <t>PT-2402-253</t>
  </si>
  <si>
    <t>PT-2402-254</t>
  </si>
  <si>
    <t>PT-2402-255</t>
  </si>
  <si>
    <t>PT-2402-256</t>
  </si>
  <si>
    <t>PT-2402-257</t>
  </si>
  <si>
    <t>PT-2402-258</t>
  </si>
  <si>
    <t>PT-2402-259</t>
  </si>
  <si>
    <t>PT-2402-260</t>
  </si>
  <si>
    <t>PT-2403-261</t>
  </si>
  <si>
    <t>PT-2403-262</t>
  </si>
  <si>
    <t>PT-2403-263</t>
  </si>
  <si>
    <t>PT-2403-264</t>
  </si>
  <si>
    <t>PT-2403-265</t>
  </si>
  <si>
    <t>PT-2403-266</t>
  </si>
  <si>
    <t>PT-2403-267</t>
  </si>
  <si>
    <t>PT-2403-268</t>
  </si>
  <si>
    <t>PT-2403-269</t>
  </si>
  <si>
    <t>PT-2403-270</t>
  </si>
  <si>
    <t>PT-2404-271</t>
  </si>
  <si>
    <t>PT-2404-272</t>
  </si>
  <si>
    <t>PT-2404-273</t>
  </si>
  <si>
    <t>PT-2404-274</t>
  </si>
  <si>
    <t>PT-2404-275</t>
  </si>
  <si>
    <t>PT-2404-276</t>
  </si>
  <si>
    <t>PT-2404-277</t>
  </si>
  <si>
    <t>PT-2404-278</t>
  </si>
  <si>
    <t>PT-2404-279</t>
  </si>
  <si>
    <t>PT-2404-280</t>
  </si>
  <si>
    <t>PT-2405-281</t>
  </si>
  <si>
    <t>PT-2405-282</t>
  </si>
  <si>
    <t>PT-2405-283</t>
  </si>
  <si>
    <t>PT-2405-284</t>
  </si>
  <si>
    <t>PT-2405-285</t>
  </si>
  <si>
    <t>PT-2405-286</t>
  </si>
  <si>
    <t>PT-2405-287</t>
  </si>
  <si>
    <t>PT-2405-288</t>
  </si>
  <si>
    <t>PT-2405-289</t>
  </si>
  <si>
    <t>PT-2405-290</t>
  </si>
  <si>
    <t>PT-2406-291</t>
  </si>
  <si>
    <t>PT-2406-292</t>
  </si>
  <si>
    <t>PT-2406-293</t>
  </si>
  <si>
    <t>PT-2406-294</t>
  </si>
  <si>
    <t>PT-2406-295</t>
  </si>
  <si>
    <t>PT-2406-296</t>
  </si>
  <si>
    <t>PT-2406-297</t>
  </si>
  <si>
    <t>PT-2406-298</t>
  </si>
  <si>
    <t>PT-2406-299</t>
  </si>
  <si>
    <t>PT-2406-300</t>
  </si>
  <si>
    <t>PT-2407-301</t>
  </si>
  <si>
    <t>PT-2407-302</t>
  </si>
  <si>
    <t>PT-2407-303</t>
  </si>
  <si>
    <t>PT-2407-304</t>
  </si>
  <si>
    <t>PT-2407-305</t>
  </si>
  <si>
    <t>PT-2407-306</t>
  </si>
  <si>
    <t>PT-2407-307</t>
  </si>
  <si>
    <t>PT-2407-308</t>
  </si>
  <si>
    <t>PT-2407-309</t>
  </si>
  <si>
    <t>PT-2407-310</t>
  </si>
  <si>
    <t>PT-2408-311</t>
  </si>
  <si>
    <t>PT-2408-312</t>
  </si>
  <si>
    <t>PT-2408-313</t>
  </si>
  <si>
    <t>PT-2408-314</t>
  </si>
  <si>
    <t>PT-2408-315</t>
  </si>
  <si>
    <t>PT-2408-316</t>
  </si>
  <si>
    <t>PT-2408-317</t>
  </si>
  <si>
    <t>PT-2408-318</t>
  </si>
  <si>
    <t>PT-2408-319</t>
  </si>
  <si>
    <t>PT-2408-320</t>
  </si>
  <si>
    <t>PT-2409-321</t>
  </si>
  <si>
    <t>PT-2409-322</t>
  </si>
  <si>
    <t>PT-2409-323</t>
  </si>
  <si>
    <t>PT-2409-324</t>
  </si>
  <si>
    <t>PT-2409-325</t>
  </si>
  <si>
    <t>PT-2409-326</t>
  </si>
  <si>
    <t>PT-2409-327</t>
  </si>
  <si>
    <t>PT-2409-328</t>
  </si>
  <si>
    <t>PT-2409-329</t>
  </si>
  <si>
    <t>PT-2409-330</t>
  </si>
  <si>
    <t>PT-2410-331</t>
  </si>
  <si>
    <t>PT-2410-332</t>
  </si>
  <si>
    <t>PT-2410-333</t>
  </si>
  <si>
    <t>PT-2410-334</t>
  </si>
  <si>
    <t>PT-2410-335</t>
  </si>
  <si>
    <t>PT-2410-336</t>
  </si>
  <si>
    <t>PT-2410-337</t>
  </si>
  <si>
    <t>PT-2410-338</t>
  </si>
  <si>
    <t>PT-2410-339</t>
  </si>
  <si>
    <t>PT-2410-340</t>
  </si>
  <si>
    <t>PT-2411-341</t>
  </si>
  <si>
    <t>PT-2411-342</t>
  </si>
  <si>
    <t>PT-2411-343</t>
  </si>
  <si>
    <t>PT-2411-344</t>
  </si>
  <si>
    <t>PT-2411-345</t>
  </si>
  <si>
    <t>PT-2411-346</t>
  </si>
  <si>
    <t>PT-2411-347</t>
  </si>
  <si>
    <t>PT-2411-348</t>
  </si>
  <si>
    <t>PT-2411-349</t>
  </si>
  <si>
    <t>PT-2411-350</t>
  </si>
  <si>
    <t>PT-2412-351</t>
  </si>
  <si>
    <t>PT-2412-352</t>
  </si>
  <si>
    <t>PT-2412-353</t>
  </si>
  <si>
    <t>PT-2412-354</t>
  </si>
  <si>
    <t>PT-2412-355</t>
  </si>
  <si>
    <t>PT-2412-356</t>
  </si>
  <si>
    <t>PT-2412-357</t>
  </si>
  <si>
    <t>PT-2412-358</t>
  </si>
  <si>
    <t>PT-2412-359</t>
  </si>
  <si>
    <t>PT-2412-360</t>
  </si>
  <si>
    <t>Год</t>
  </si>
  <si>
    <t>Месяц</t>
  </si>
  <si>
    <t>Направление</t>
  </si>
  <si>
    <t>Куратор</t>
  </si>
  <si>
    <t>Формат</t>
  </si>
  <si>
    <t>Слушатели</t>
  </si>
  <si>
    <t>Код потока</t>
  </si>
  <si>
    <t>Выручка</t>
  </si>
  <si>
    <t>Подсказка по полям</t>
  </si>
  <si>
    <t>Строки: Направление</t>
  </si>
  <si>
    <t>Столбцы: Месяцы</t>
  </si>
  <si>
    <t xml:space="preserve">Фильтры: Год </t>
  </si>
  <si>
    <t>Значения: Поступления</t>
  </si>
  <si>
    <t>Постройте сводную таблицу</t>
  </si>
  <si>
    <t>Row Labels</t>
  </si>
  <si>
    <t>Grand Total</t>
  </si>
  <si>
    <t>Column Labels</t>
  </si>
  <si>
    <t>(All)</t>
  </si>
  <si>
    <t>Sum of Выручка</t>
  </si>
  <si>
    <t>Total Sum of Выручка</t>
  </si>
  <si>
    <t>Total Average of Выручка</t>
  </si>
  <si>
    <t>Average of Выручка</t>
  </si>
  <si>
    <t>Total % of Выручка</t>
  </si>
  <si>
    <t>% of Выручка</t>
  </si>
  <si>
    <t>month</t>
  </si>
  <si>
    <t>Jan</t>
  </si>
  <si>
    <t>Feb</t>
  </si>
  <si>
    <t>Mar</t>
  </si>
  <si>
    <t>Apr</t>
  </si>
  <si>
    <t>May</t>
  </si>
  <si>
    <t>Jun</t>
  </si>
  <si>
    <t>Jul</t>
  </si>
  <si>
    <t>Aug</t>
  </si>
  <si>
    <t>Sep</t>
  </si>
  <si>
    <t>Oct</t>
  </si>
  <si>
    <t>Nov</t>
  </si>
  <si>
    <t>Dec</t>
  </si>
  <si>
    <t>Total Monthly % Diff of Выручка</t>
  </si>
  <si>
    <t>Monthly % Diff of Выручка</t>
  </si>
  <si>
    <t>В таблице видно, что самая большая общая выручка у направления “Программирование” — 42,11 млн ₽. Это значит, что это самое сильное направление по доходу за год. Также высокие результаты у “Маркетинга” (34,26 млн ₽) и “Аналитики” (32,84 млн ₽).
Наименьшая выручка у “Управления” — 22,64 млн ₽, это самое слабое направление по доходам.
По месяцам видно, что выручка не стабильная: например, в ноябре общая сумма самая высокая — 15,10 млн ₽, а в январе и феврале она ниже.
В целом можно сказать, что:
- “Программирование” — лидер по доходу
- “Управление” — самое слабое направление
- доходы растут и падают в течение года, нет ровного тренда.
В ноябре выручка выше, чем в другие месяцы. Возможные причины:
- Конец года и закрытие бюджета: Компании часто стараются использовать оставшийся бюджет до конца года, поэтому покупают больше услуг.
- Запуск новых курсов или проектов: В ноябре могли стартовать новые наборы студентов или программы обучения.
- Сезонный рост спроса: Осенью люди чаще начинают обучение и планирование карьеры.
- Маркетинговые кампании: Возможно, в этот период были акции, скидки или рекламные кампании.</t>
  </si>
  <si>
    <t>В разные годы и при разных форматах обучения выручка распределяется по-разному между направлениями и кураторами.
В 2023 и 2024 годах формат «Онлайн» и «Интенсив» часто показывают более высокую выручку в сравнении с другими форматами, особенно в направлениях "Программирование" и "Маркетинг". При этом «Смешанный» формат даёт более стабильные, но средние значения.
Также видно, что разные кураторы имеют разный уровень эффективности: некоторые (например, Артамонов и Горин) часто участвуют в потоках с высокой выручкой, особенно в активные месяцы. Однако результат меняется в зависимости от фильтра, поэтому один куратор не всегда стабильно лидер.
В целом, данные показывают, что выручка зависит от трёх факторов: год, формат обучения и комбинация направления с куратором.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</si>
</sst>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quot; ₽&quot;"/>
  </numFmts>
  <fonts count="9" x14ac:knownFonts="1">
    <font>
      <sz val="12"/>
      <color theme="1"/>
      <name val="Aptos Narrow"/>
      <family val="2"/>
      <charset val="204"/>
      <scheme val="minor"/>
    </font>
    <font>
      <sz val="12"/>
      <color theme="1"/>
      <name val="Aptos Narrow"/>
      <family val="2"/>
      <charset val="204"/>
      <scheme val="minor"/>
    </font>
    <font>
      <sz val="11"/>
      <color theme="1"/>
      <name val="Aptos Narrow"/>
      <family val="2"/>
      <scheme val="minor"/>
    </font>
    <font>
      <b/>
      <sz val="16"/>
      <color rgb="FFFFFFFF"/>
      <name val="Calibri"/>
      <family val="2"/>
    </font>
    <font>
      <b/>
      <sz val="11"/>
      <color rgb="FFFFFFFF"/>
      <name val="Calibri"/>
      <family val="2"/>
    </font>
    <font>
      <sz val="12"/>
      <color theme="1"/>
      <name val="Calibri"/>
      <family val="2"/>
    </font>
    <font>
      <b/>
      <sz val="12"/>
      <color rgb="FFFFFFFF"/>
      <name val="Calibri"/>
      <family val="2"/>
    </font>
    <font>
      <sz val="10"/>
      <color theme="1"/>
      <name val="Calibri"/>
      <family val="2"/>
    </font>
    <font>
      <sz val="10"/>
      <color theme="1"/>
      <name val="Aptos Narrow"/>
      <family val="2"/>
      <charset val="204"/>
      <scheme val="minor"/>
    </font>
  </fonts>
  <fills count="4">
    <fill>
      <patternFill patternType="none"/>
    </fill>
    <fill>
      <patternFill patternType="gray125"/>
    </fill>
    <fill>
      <patternFill patternType="solid">
        <fgColor rgb="FF1F4E78"/>
      </patternFill>
    </fill>
    <fill>
      <patternFill patternType="solid">
        <fgColor rgb="FFF4F8FB"/>
      </patternFill>
    </fill>
  </fills>
  <borders count="16">
    <border>
      <left/>
      <right/>
      <top/>
      <bottom/>
      <diagonal/>
    </border>
    <border>
      <left style="thin">
        <color theme="4" tint="0.39997558519241921"/>
      </left>
      <right/>
      <top style="thin">
        <color theme="4" tint="0.39997558519241921"/>
      </top>
      <bottom style="thin">
        <color rgb="FFC8CDD3"/>
      </bottom>
      <diagonal/>
    </border>
    <border>
      <left/>
      <right/>
      <top style="thin">
        <color theme="4" tint="0.39997558519241921"/>
      </top>
      <bottom style="thin">
        <color rgb="FFC8CDD3"/>
      </bottom>
      <diagonal/>
    </border>
    <border>
      <left/>
      <right style="thin">
        <color theme="4" tint="0.39997558519241921"/>
      </right>
      <top style="thin">
        <color theme="4" tint="0.39997558519241921"/>
      </top>
      <bottom style="thin">
        <color rgb="FFC8CDD3"/>
      </bottom>
      <diagonal/>
    </border>
    <border>
      <left style="thin">
        <color theme="4" tint="0.39997558519241921"/>
      </left>
      <right/>
      <top style="thin">
        <color theme="4" tint="0.39997558519241921"/>
      </top>
      <bottom style="medium">
        <color rgb="FF203864"/>
      </bottom>
      <diagonal/>
    </border>
    <border>
      <left/>
      <right/>
      <top style="thin">
        <color theme="4" tint="0.39997558519241921"/>
      </top>
      <bottom style="medium">
        <color rgb="FF203864"/>
      </bottom>
      <diagonal/>
    </border>
    <border>
      <left/>
      <right style="thin">
        <color theme="4" tint="0.39997558519241921"/>
      </right>
      <top style="thin">
        <color theme="4" tint="0.39997558519241921"/>
      </top>
      <bottom style="medium">
        <color rgb="FF203864"/>
      </bottom>
      <diagonal/>
    </border>
    <border>
      <left style="thin">
        <color rgb="FFC8CDD3"/>
      </left>
      <right style="thin">
        <color rgb="FFC8CDD3"/>
      </right>
      <top style="thin">
        <color rgb="FFC8CDD3"/>
      </top>
      <bottom style="thin">
        <color rgb="FFC8CDD3"/>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2" fillId="0" borderId="0"/>
  </cellStyleXfs>
  <cellXfs count="42">
    <xf numFmtId="0" fontId="0" fillId="0" borderId="0" xfId="0"/>
    <xf numFmtId="0" fontId="4" fillId="2" borderId="4" xfId="1" applyFont="1" applyFill="1" applyBorder="1" applyAlignment="1">
      <alignment horizontal="center" vertical="center"/>
    </xf>
    <xf numFmtId="0" fontId="4" fillId="2" borderId="5" xfId="1" applyFont="1" applyFill="1" applyBorder="1" applyAlignment="1">
      <alignment horizontal="center" vertical="center"/>
    </xf>
    <xf numFmtId="0" fontId="4" fillId="2" borderId="6" xfId="1" applyFont="1" applyFill="1" applyBorder="1" applyAlignment="1">
      <alignment horizontal="center" vertical="center"/>
    </xf>
    <xf numFmtId="0" fontId="5" fillId="0" borderId="0" xfId="0" applyFont="1" applyAlignment="1">
      <alignment horizontal="left"/>
    </xf>
    <xf numFmtId="0" fontId="5" fillId="0" borderId="0" xfId="0" applyFont="1"/>
    <xf numFmtId="0" fontId="5" fillId="0" borderId="1" xfId="1" applyFont="1" applyBorder="1" applyAlignment="1">
      <alignment horizontal="center"/>
    </xf>
    <xf numFmtId="0" fontId="5" fillId="0" borderId="2" xfId="1" applyFont="1" applyBorder="1" applyAlignment="1">
      <alignment horizontal="left"/>
    </xf>
    <xf numFmtId="164" fontId="5" fillId="0" borderId="2" xfId="1" applyNumberFormat="1" applyFont="1" applyBorder="1" applyAlignment="1">
      <alignment horizontal="center"/>
    </xf>
    <xf numFmtId="3" fontId="5" fillId="0" borderId="2" xfId="1" applyNumberFormat="1" applyFont="1" applyBorder="1" applyAlignment="1">
      <alignment horizontal="center"/>
    </xf>
    <xf numFmtId="0" fontId="5" fillId="0" borderId="3" xfId="1" applyFont="1" applyBorder="1" applyAlignment="1">
      <alignment horizontal="center"/>
    </xf>
    <xf numFmtId="0" fontId="3" fillId="2" borderId="0" xfId="1" applyFont="1" applyFill="1" applyAlignment="1">
      <alignment horizontal="left"/>
    </xf>
    <xf numFmtId="0" fontId="5" fillId="0" borderId="0" xfId="0" applyFont="1" applyAlignment="1">
      <alignment horizontal="left"/>
    </xf>
    <xf numFmtId="0" fontId="6" fillId="2" borderId="0" xfId="1" applyFont="1" applyFill="1"/>
    <xf numFmtId="0" fontId="1" fillId="0" borderId="0" xfId="0" applyFont="1"/>
    <xf numFmtId="0" fontId="5" fillId="3" borderId="7" xfId="1" applyFont="1" applyFill="1" applyBorder="1" applyAlignment="1">
      <alignment wrapText="1"/>
    </xf>
    <xf numFmtId="0" fontId="1" fillId="0" borderId="7" xfId="1" applyFont="1" applyBorder="1"/>
    <xf numFmtId="0" fontId="6" fillId="2" borderId="0" xfId="1" applyFont="1" applyFill="1" applyAlignment="1">
      <alignment horizontal="center"/>
    </xf>
    <xf numFmtId="0" fontId="1" fillId="0" borderId="0" xfId="0" applyFont="1" applyAlignment="1">
      <alignment horizontal="center"/>
    </xf>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0" fontId="7" fillId="0" borderId="8" xfId="0" applyFont="1" applyBorder="1" applyAlignment="1">
      <alignment horizontal="left" vertical="top" wrapText="1"/>
    </xf>
    <xf numFmtId="0" fontId="7" fillId="0" borderId="9" xfId="0" applyFont="1" applyBorder="1" applyAlignment="1">
      <alignment horizontal="left" vertical="top" wrapText="1"/>
    </xf>
    <xf numFmtId="0" fontId="7" fillId="0" borderId="10" xfId="0" applyFont="1" applyBorder="1" applyAlignment="1">
      <alignment horizontal="left" vertical="top" wrapText="1"/>
    </xf>
    <xf numFmtId="0" fontId="7" fillId="0" borderId="11" xfId="0" applyFont="1" applyBorder="1" applyAlignment="1">
      <alignment horizontal="left" vertical="top" wrapText="1"/>
    </xf>
    <xf numFmtId="0" fontId="7" fillId="0" borderId="0" xfId="0" applyFont="1" applyBorder="1" applyAlignment="1">
      <alignment horizontal="left" vertical="top" wrapText="1"/>
    </xf>
    <xf numFmtId="0" fontId="7" fillId="0" borderId="12" xfId="0" applyFont="1" applyBorder="1" applyAlignment="1">
      <alignment horizontal="left" vertical="top" wrapText="1"/>
    </xf>
    <xf numFmtId="0" fontId="7" fillId="0" borderId="13" xfId="0" applyFont="1" applyBorder="1" applyAlignment="1">
      <alignment horizontal="left" vertical="top" wrapText="1"/>
    </xf>
    <xf numFmtId="0" fontId="7" fillId="0" borderId="14" xfId="0" applyFont="1" applyBorder="1" applyAlignment="1">
      <alignment horizontal="left" vertical="top" wrapText="1"/>
    </xf>
    <xf numFmtId="0" fontId="7" fillId="0" borderId="15" xfId="0" applyFont="1" applyBorder="1" applyAlignment="1">
      <alignment horizontal="left" vertical="top" wrapText="1"/>
    </xf>
    <xf numFmtId="0" fontId="8" fillId="0" borderId="0" xfId="0" applyFont="1" applyAlignment="1">
      <alignment vertical="top"/>
    </xf>
    <xf numFmtId="0" fontId="8" fillId="0" borderId="8" xfId="0" applyFont="1" applyBorder="1" applyAlignment="1">
      <alignment horizontal="left" vertical="top" wrapText="1"/>
    </xf>
    <xf numFmtId="0" fontId="8" fillId="0" borderId="9" xfId="0" applyFont="1" applyBorder="1" applyAlignment="1">
      <alignment horizontal="left" vertical="top" wrapText="1"/>
    </xf>
    <xf numFmtId="0" fontId="8" fillId="0" borderId="10" xfId="0" applyFont="1" applyBorder="1" applyAlignment="1">
      <alignment horizontal="left" vertical="top" wrapText="1"/>
    </xf>
    <xf numFmtId="0" fontId="8" fillId="0" borderId="11" xfId="0" applyFont="1" applyBorder="1" applyAlignment="1">
      <alignment horizontal="left" vertical="top" wrapText="1"/>
    </xf>
    <xf numFmtId="0" fontId="8" fillId="0" borderId="0" xfId="0" applyFont="1" applyBorder="1" applyAlignment="1">
      <alignment horizontal="left" vertical="top" wrapText="1"/>
    </xf>
    <xf numFmtId="0" fontId="8" fillId="0" borderId="12" xfId="0" applyFont="1" applyBorder="1" applyAlignment="1">
      <alignment horizontal="left" vertical="top" wrapText="1"/>
    </xf>
    <xf numFmtId="0" fontId="8" fillId="0" borderId="13" xfId="0" applyFont="1" applyBorder="1" applyAlignment="1">
      <alignment horizontal="left" vertical="top" wrapText="1"/>
    </xf>
    <xf numFmtId="0" fontId="8" fillId="0" borderId="14" xfId="0" applyFont="1" applyBorder="1" applyAlignment="1">
      <alignment horizontal="left" vertical="top" wrapText="1"/>
    </xf>
    <xf numFmtId="0" fontId="8" fillId="0" borderId="15" xfId="0" applyFont="1" applyBorder="1" applyAlignment="1">
      <alignment horizontal="left" vertical="top" wrapText="1"/>
    </xf>
  </cellXfs>
  <cellStyles count="2">
    <cellStyle name="Normal" xfId="0" builtinId="0"/>
    <cellStyle name="Normal 2" xfId="1" xr:uid="{09DDC499-BE52-5547-A8B7-4D61B2D2ACF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[Упражнение 14.xlsx]Потоки обучения 2!PivotTable4</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'Потоки обучения 2'!$K$15:$K$16</c:f>
              <c:strCache>
                <c:ptCount val="1"/>
                <c:pt idx="0">
                  <c:v>Jan</c:v>
                </c:pt>
              </c:strCache>
            </c:strRef>
          </c:tx>
          <c:spPr>
            <a:solidFill>
              <a:schemeClr val="accent1"/>
            </a:solidFill>
            <a:ln>
              <a:noFill/>
            </a:ln>
            <a:effectLst/>
          </c:spPr>
          <c:invertIfNegative val="0"/>
          <c:cat>
            <c:strRef>
              <c:f>'Потоки обучения 2'!$J$17:$J$22</c:f>
              <c:strCache>
                <c:ptCount val="5"/>
                <c:pt idx="0">
                  <c:v>Аналитика</c:v>
                </c:pt>
                <c:pt idx="1">
                  <c:v>Дизайн</c:v>
                </c:pt>
                <c:pt idx="2">
                  <c:v>Маркетинг</c:v>
                </c:pt>
                <c:pt idx="3">
                  <c:v>Программирование</c:v>
                </c:pt>
                <c:pt idx="4">
                  <c:v>Управление</c:v>
                </c:pt>
              </c:strCache>
            </c:strRef>
          </c:cat>
          <c:val>
            <c:numRef>
              <c:f>'Потоки обучения 2'!$K$17:$K$22</c:f>
              <c:numCache>
                <c:formatCode>#,##0" ₽"</c:formatCode>
                <c:ptCount val="5"/>
                <c:pt idx="0">
                  <c:v>1242660</c:v>
                </c:pt>
                <c:pt idx="1">
                  <c:v>3738270</c:v>
                </c:pt>
                <c:pt idx="2">
                  <c:v>2557270</c:v>
                </c:pt>
                <c:pt idx="3">
                  <c:v>1922420</c:v>
                </c:pt>
                <c:pt idx="4">
                  <c:v>2411690</c:v>
                </c:pt>
              </c:numCache>
            </c:numRef>
          </c:val>
          <c:extLst>
            <c:ext xmlns:c16="http://schemas.microsoft.com/office/drawing/2014/chart" uri="{C3380CC4-5D6E-409C-BE32-E72D297353CC}">
              <c16:uniqueId val="{00000000-DFEA-4AD6-B211-999B8B368C79}"/>
            </c:ext>
          </c:extLst>
        </c:ser>
        <c:ser>
          <c:idx val="1"/>
          <c:order val="1"/>
          <c:tx>
            <c:strRef>
              <c:f>'Потоки обучения 2'!$L$15:$L$16</c:f>
              <c:strCache>
                <c:ptCount val="1"/>
                <c:pt idx="0">
                  <c:v>Feb</c:v>
                </c:pt>
              </c:strCache>
            </c:strRef>
          </c:tx>
          <c:spPr>
            <a:solidFill>
              <a:schemeClr val="accent2"/>
            </a:solidFill>
            <a:ln>
              <a:noFill/>
            </a:ln>
            <a:effectLst/>
          </c:spPr>
          <c:invertIfNegative val="0"/>
          <c:cat>
            <c:strRef>
              <c:f>'Потоки обучения 2'!$J$17:$J$22</c:f>
              <c:strCache>
                <c:ptCount val="5"/>
                <c:pt idx="0">
                  <c:v>Аналитика</c:v>
                </c:pt>
                <c:pt idx="1">
                  <c:v>Дизайн</c:v>
                </c:pt>
                <c:pt idx="2">
                  <c:v>Маркетинг</c:v>
                </c:pt>
                <c:pt idx="3">
                  <c:v>Программирование</c:v>
                </c:pt>
                <c:pt idx="4">
                  <c:v>Управление</c:v>
                </c:pt>
              </c:strCache>
            </c:strRef>
          </c:cat>
          <c:val>
            <c:numRef>
              <c:f>'Потоки обучения 2'!$L$17:$L$22</c:f>
              <c:numCache>
                <c:formatCode>#,##0" ₽"</c:formatCode>
                <c:ptCount val="5"/>
                <c:pt idx="0">
                  <c:v>1851200</c:v>
                </c:pt>
                <c:pt idx="1">
                  <c:v>1756650</c:v>
                </c:pt>
                <c:pt idx="2">
                  <c:v>3453810</c:v>
                </c:pt>
                <c:pt idx="3">
                  <c:v>4748670</c:v>
                </c:pt>
                <c:pt idx="4">
                  <c:v>1789410</c:v>
                </c:pt>
              </c:numCache>
            </c:numRef>
          </c:val>
          <c:extLst>
            <c:ext xmlns:c16="http://schemas.microsoft.com/office/drawing/2014/chart" uri="{C3380CC4-5D6E-409C-BE32-E72D297353CC}">
              <c16:uniqueId val="{00000001-DFEA-4AD6-B211-999B8B368C79}"/>
            </c:ext>
          </c:extLst>
        </c:ser>
        <c:ser>
          <c:idx val="2"/>
          <c:order val="2"/>
          <c:tx>
            <c:strRef>
              <c:f>'Потоки обучения 2'!$M$15:$M$16</c:f>
              <c:strCache>
                <c:ptCount val="1"/>
                <c:pt idx="0">
                  <c:v>Mar</c:v>
                </c:pt>
              </c:strCache>
            </c:strRef>
          </c:tx>
          <c:spPr>
            <a:solidFill>
              <a:schemeClr val="accent3"/>
            </a:solidFill>
            <a:ln>
              <a:noFill/>
            </a:ln>
            <a:effectLst/>
          </c:spPr>
          <c:invertIfNegative val="0"/>
          <c:cat>
            <c:strRef>
              <c:f>'Потоки обучения 2'!$J$17:$J$22</c:f>
              <c:strCache>
                <c:ptCount val="5"/>
                <c:pt idx="0">
                  <c:v>Аналитика</c:v>
                </c:pt>
                <c:pt idx="1">
                  <c:v>Дизайн</c:v>
                </c:pt>
                <c:pt idx="2">
                  <c:v>Маркетинг</c:v>
                </c:pt>
                <c:pt idx="3">
                  <c:v>Программирование</c:v>
                </c:pt>
                <c:pt idx="4">
                  <c:v>Управление</c:v>
                </c:pt>
              </c:strCache>
            </c:strRef>
          </c:cat>
          <c:val>
            <c:numRef>
              <c:f>'Потоки обучения 2'!$M$17:$M$22</c:f>
              <c:numCache>
                <c:formatCode>#,##0" ₽"</c:formatCode>
                <c:ptCount val="5"/>
                <c:pt idx="0">
                  <c:v>4489020</c:v>
                </c:pt>
                <c:pt idx="1">
                  <c:v>2078660</c:v>
                </c:pt>
                <c:pt idx="2">
                  <c:v>3211360</c:v>
                </c:pt>
                <c:pt idx="3">
                  <c:v>2517160</c:v>
                </c:pt>
                <c:pt idx="4">
                  <c:v>1102080</c:v>
                </c:pt>
              </c:numCache>
            </c:numRef>
          </c:val>
          <c:extLst>
            <c:ext xmlns:c16="http://schemas.microsoft.com/office/drawing/2014/chart" uri="{C3380CC4-5D6E-409C-BE32-E72D297353CC}">
              <c16:uniqueId val="{00000002-DFEA-4AD6-B211-999B8B368C79}"/>
            </c:ext>
          </c:extLst>
        </c:ser>
        <c:ser>
          <c:idx val="3"/>
          <c:order val="3"/>
          <c:tx>
            <c:strRef>
              <c:f>'Потоки обучения 2'!$N$15:$N$16</c:f>
              <c:strCache>
                <c:ptCount val="1"/>
                <c:pt idx="0">
                  <c:v>Apr</c:v>
                </c:pt>
              </c:strCache>
            </c:strRef>
          </c:tx>
          <c:spPr>
            <a:solidFill>
              <a:schemeClr val="accent4"/>
            </a:solidFill>
            <a:ln>
              <a:noFill/>
            </a:ln>
            <a:effectLst/>
          </c:spPr>
          <c:invertIfNegative val="0"/>
          <c:cat>
            <c:strRef>
              <c:f>'Потоки обучения 2'!$J$17:$J$22</c:f>
              <c:strCache>
                <c:ptCount val="5"/>
                <c:pt idx="0">
                  <c:v>Аналитика</c:v>
                </c:pt>
                <c:pt idx="1">
                  <c:v>Дизайн</c:v>
                </c:pt>
                <c:pt idx="2">
                  <c:v>Маркетинг</c:v>
                </c:pt>
                <c:pt idx="3">
                  <c:v>Программирование</c:v>
                </c:pt>
                <c:pt idx="4">
                  <c:v>Управление</c:v>
                </c:pt>
              </c:strCache>
            </c:strRef>
          </c:cat>
          <c:val>
            <c:numRef>
              <c:f>'Потоки обучения 2'!$N$17:$N$22</c:f>
              <c:numCache>
                <c:formatCode>#,##0" ₽"</c:formatCode>
                <c:ptCount val="5"/>
                <c:pt idx="0">
                  <c:v>2524630</c:v>
                </c:pt>
                <c:pt idx="1">
                  <c:v>2948280</c:v>
                </c:pt>
                <c:pt idx="2">
                  <c:v>2018730</c:v>
                </c:pt>
                <c:pt idx="3">
                  <c:v>2963560</c:v>
                </c:pt>
                <c:pt idx="4">
                  <c:v>2078140</c:v>
                </c:pt>
              </c:numCache>
            </c:numRef>
          </c:val>
          <c:extLst>
            <c:ext xmlns:c16="http://schemas.microsoft.com/office/drawing/2014/chart" uri="{C3380CC4-5D6E-409C-BE32-E72D297353CC}">
              <c16:uniqueId val="{00000003-DFEA-4AD6-B211-999B8B368C79}"/>
            </c:ext>
          </c:extLst>
        </c:ser>
        <c:ser>
          <c:idx val="4"/>
          <c:order val="4"/>
          <c:tx>
            <c:strRef>
              <c:f>'Потоки обучения 2'!$O$15:$O$16</c:f>
              <c:strCache>
                <c:ptCount val="1"/>
                <c:pt idx="0">
                  <c:v>May</c:v>
                </c:pt>
              </c:strCache>
            </c:strRef>
          </c:tx>
          <c:spPr>
            <a:solidFill>
              <a:schemeClr val="accent5"/>
            </a:solidFill>
            <a:ln>
              <a:noFill/>
            </a:ln>
            <a:effectLst/>
          </c:spPr>
          <c:invertIfNegative val="0"/>
          <c:cat>
            <c:strRef>
              <c:f>'Потоки обучения 2'!$J$17:$J$22</c:f>
              <c:strCache>
                <c:ptCount val="5"/>
                <c:pt idx="0">
                  <c:v>Аналитика</c:v>
                </c:pt>
                <c:pt idx="1">
                  <c:v>Дизайн</c:v>
                </c:pt>
                <c:pt idx="2">
                  <c:v>Маркетинг</c:v>
                </c:pt>
                <c:pt idx="3">
                  <c:v>Программирование</c:v>
                </c:pt>
                <c:pt idx="4">
                  <c:v>Управление</c:v>
                </c:pt>
              </c:strCache>
            </c:strRef>
          </c:cat>
          <c:val>
            <c:numRef>
              <c:f>'Потоки обучения 2'!$O$17:$O$22</c:f>
              <c:numCache>
                <c:formatCode>#,##0" ₽"</c:formatCode>
                <c:ptCount val="5"/>
                <c:pt idx="0">
                  <c:v>1682910</c:v>
                </c:pt>
                <c:pt idx="1">
                  <c:v>2391450</c:v>
                </c:pt>
                <c:pt idx="2">
                  <c:v>3352310</c:v>
                </c:pt>
                <c:pt idx="3">
                  <c:v>2913960</c:v>
                </c:pt>
                <c:pt idx="4">
                  <c:v>1858290</c:v>
                </c:pt>
              </c:numCache>
            </c:numRef>
          </c:val>
          <c:extLst>
            <c:ext xmlns:c16="http://schemas.microsoft.com/office/drawing/2014/chart" uri="{C3380CC4-5D6E-409C-BE32-E72D297353CC}">
              <c16:uniqueId val="{00000004-DFEA-4AD6-B211-999B8B368C79}"/>
            </c:ext>
          </c:extLst>
        </c:ser>
        <c:ser>
          <c:idx val="5"/>
          <c:order val="5"/>
          <c:tx>
            <c:strRef>
              <c:f>'Потоки обучения 2'!$P$15:$P$16</c:f>
              <c:strCache>
                <c:ptCount val="1"/>
                <c:pt idx="0">
                  <c:v>Jun</c:v>
                </c:pt>
              </c:strCache>
            </c:strRef>
          </c:tx>
          <c:spPr>
            <a:solidFill>
              <a:schemeClr val="accent6"/>
            </a:solidFill>
            <a:ln>
              <a:noFill/>
            </a:ln>
            <a:effectLst/>
          </c:spPr>
          <c:invertIfNegative val="0"/>
          <c:cat>
            <c:strRef>
              <c:f>'Потоки обучения 2'!$J$17:$J$22</c:f>
              <c:strCache>
                <c:ptCount val="5"/>
                <c:pt idx="0">
                  <c:v>Аналитика</c:v>
                </c:pt>
                <c:pt idx="1">
                  <c:v>Дизайн</c:v>
                </c:pt>
                <c:pt idx="2">
                  <c:v>Маркетинг</c:v>
                </c:pt>
                <c:pt idx="3">
                  <c:v>Программирование</c:v>
                </c:pt>
                <c:pt idx="4">
                  <c:v>Управление</c:v>
                </c:pt>
              </c:strCache>
            </c:strRef>
          </c:cat>
          <c:val>
            <c:numRef>
              <c:f>'Потоки обучения 2'!$P$17:$P$22</c:f>
              <c:numCache>
                <c:formatCode>#,##0" ₽"</c:formatCode>
                <c:ptCount val="5"/>
                <c:pt idx="0">
                  <c:v>3317010</c:v>
                </c:pt>
                <c:pt idx="1">
                  <c:v>2397160</c:v>
                </c:pt>
                <c:pt idx="2">
                  <c:v>2766680</c:v>
                </c:pt>
                <c:pt idx="3">
                  <c:v>3908660</c:v>
                </c:pt>
                <c:pt idx="4">
                  <c:v>1228610</c:v>
                </c:pt>
              </c:numCache>
            </c:numRef>
          </c:val>
          <c:extLst>
            <c:ext xmlns:c16="http://schemas.microsoft.com/office/drawing/2014/chart" uri="{C3380CC4-5D6E-409C-BE32-E72D297353CC}">
              <c16:uniqueId val="{00000005-DFEA-4AD6-B211-999B8B368C79}"/>
            </c:ext>
          </c:extLst>
        </c:ser>
        <c:ser>
          <c:idx val="6"/>
          <c:order val="6"/>
          <c:tx>
            <c:strRef>
              <c:f>'Потоки обучения 2'!$Q$15:$Q$16</c:f>
              <c:strCache>
                <c:ptCount val="1"/>
                <c:pt idx="0">
                  <c:v>Jul</c:v>
                </c:pt>
              </c:strCache>
            </c:strRef>
          </c:tx>
          <c:spPr>
            <a:solidFill>
              <a:schemeClr val="accent1">
                <a:lumMod val="60000"/>
              </a:schemeClr>
            </a:solidFill>
            <a:ln>
              <a:noFill/>
            </a:ln>
            <a:effectLst/>
          </c:spPr>
          <c:invertIfNegative val="0"/>
          <c:cat>
            <c:strRef>
              <c:f>'Потоки обучения 2'!$J$17:$J$22</c:f>
              <c:strCache>
                <c:ptCount val="5"/>
                <c:pt idx="0">
                  <c:v>Аналитика</c:v>
                </c:pt>
                <c:pt idx="1">
                  <c:v>Дизайн</c:v>
                </c:pt>
                <c:pt idx="2">
                  <c:v>Маркетинг</c:v>
                </c:pt>
                <c:pt idx="3">
                  <c:v>Программирование</c:v>
                </c:pt>
                <c:pt idx="4">
                  <c:v>Управление</c:v>
                </c:pt>
              </c:strCache>
            </c:strRef>
          </c:cat>
          <c:val>
            <c:numRef>
              <c:f>'Потоки обучения 2'!$Q$17:$Q$22</c:f>
              <c:numCache>
                <c:formatCode>#,##0" ₽"</c:formatCode>
                <c:ptCount val="5"/>
                <c:pt idx="0">
                  <c:v>2436820</c:v>
                </c:pt>
                <c:pt idx="1">
                  <c:v>1519680</c:v>
                </c:pt>
                <c:pt idx="2">
                  <c:v>2482970</c:v>
                </c:pt>
                <c:pt idx="3">
                  <c:v>3868500</c:v>
                </c:pt>
                <c:pt idx="4">
                  <c:v>2719340</c:v>
                </c:pt>
              </c:numCache>
            </c:numRef>
          </c:val>
          <c:extLst>
            <c:ext xmlns:c16="http://schemas.microsoft.com/office/drawing/2014/chart" uri="{C3380CC4-5D6E-409C-BE32-E72D297353CC}">
              <c16:uniqueId val="{00000006-DFEA-4AD6-B211-999B8B368C79}"/>
            </c:ext>
          </c:extLst>
        </c:ser>
        <c:ser>
          <c:idx val="7"/>
          <c:order val="7"/>
          <c:tx>
            <c:strRef>
              <c:f>'Потоки обучения 2'!$R$15:$R$16</c:f>
              <c:strCache>
                <c:ptCount val="1"/>
                <c:pt idx="0">
                  <c:v>Aug</c:v>
                </c:pt>
              </c:strCache>
            </c:strRef>
          </c:tx>
          <c:spPr>
            <a:solidFill>
              <a:schemeClr val="accent2">
                <a:lumMod val="60000"/>
              </a:schemeClr>
            </a:solidFill>
            <a:ln>
              <a:noFill/>
            </a:ln>
            <a:effectLst/>
          </c:spPr>
          <c:invertIfNegative val="0"/>
          <c:cat>
            <c:strRef>
              <c:f>'Потоки обучения 2'!$J$17:$J$22</c:f>
              <c:strCache>
                <c:ptCount val="5"/>
                <c:pt idx="0">
                  <c:v>Аналитика</c:v>
                </c:pt>
                <c:pt idx="1">
                  <c:v>Дизайн</c:v>
                </c:pt>
                <c:pt idx="2">
                  <c:v>Маркетинг</c:v>
                </c:pt>
                <c:pt idx="3">
                  <c:v>Программирование</c:v>
                </c:pt>
                <c:pt idx="4">
                  <c:v>Управление</c:v>
                </c:pt>
              </c:strCache>
            </c:strRef>
          </c:cat>
          <c:val>
            <c:numRef>
              <c:f>'Потоки обучения 2'!$R$17:$R$22</c:f>
              <c:numCache>
                <c:formatCode>#,##0" ₽"</c:formatCode>
                <c:ptCount val="5"/>
                <c:pt idx="0">
                  <c:v>3926080</c:v>
                </c:pt>
                <c:pt idx="1">
                  <c:v>3683650</c:v>
                </c:pt>
                <c:pt idx="2">
                  <c:v>1099510</c:v>
                </c:pt>
                <c:pt idx="3">
                  <c:v>3715780</c:v>
                </c:pt>
                <c:pt idx="4">
                  <c:v>1796970</c:v>
                </c:pt>
              </c:numCache>
            </c:numRef>
          </c:val>
          <c:extLst>
            <c:ext xmlns:c16="http://schemas.microsoft.com/office/drawing/2014/chart" uri="{C3380CC4-5D6E-409C-BE32-E72D297353CC}">
              <c16:uniqueId val="{00000007-DFEA-4AD6-B211-999B8B368C79}"/>
            </c:ext>
          </c:extLst>
        </c:ser>
        <c:ser>
          <c:idx val="8"/>
          <c:order val="8"/>
          <c:tx>
            <c:strRef>
              <c:f>'Потоки обучения 2'!$S$15:$S$16</c:f>
              <c:strCache>
                <c:ptCount val="1"/>
                <c:pt idx="0">
                  <c:v>Sep</c:v>
                </c:pt>
              </c:strCache>
            </c:strRef>
          </c:tx>
          <c:spPr>
            <a:solidFill>
              <a:schemeClr val="accent3">
                <a:lumMod val="60000"/>
              </a:schemeClr>
            </a:solidFill>
            <a:ln>
              <a:noFill/>
            </a:ln>
            <a:effectLst/>
          </c:spPr>
          <c:invertIfNegative val="0"/>
          <c:cat>
            <c:strRef>
              <c:f>'Потоки обучения 2'!$J$17:$J$22</c:f>
              <c:strCache>
                <c:ptCount val="5"/>
                <c:pt idx="0">
                  <c:v>Аналитика</c:v>
                </c:pt>
                <c:pt idx="1">
                  <c:v>Дизайн</c:v>
                </c:pt>
                <c:pt idx="2">
                  <c:v>Маркетинг</c:v>
                </c:pt>
                <c:pt idx="3">
                  <c:v>Программирование</c:v>
                </c:pt>
                <c:pt idx="4">
                  <c:v>Управление</c:v>
                </c:pt>
              </c:strCache>
            </c:strRef>
          </c:cat>
          <c:val>
            <c:numRef>
              <c:f>'Потоки обучения 2'!$S$17:$S$22</c:f>
              <c:numCache>
                <c:formatCode>#,##0" ₽"</c:formatCode>
                <c:ptCount val="5"/>
                <c:pt idx="0">
                  <c:v>1824220</c:v>
                </c:pt>
                <c:pt idx="1">
                  <c:v>1570130</c:v>
                </c:pt>
                <c:pt idx="2">
                  <c:v>3861650</c:v>
                </c:pt>
                <c:pt idx="3">
                  <c:v>4111250</c:v>
                </c:pt>
                <c:pt idx="4">
                  <c:v>2225920</c:v>
                </c:pt>
              </c:numCache>
            </c:numRef>
          </c:val>
          <c:extLst>
            <c:ext xmlns:c16="http://schemas.microsoft.com/office/drawing/2014/chart" uri="{C3380CC4-5D6E-409C-BE32-E72D297353CC}">
              <c16:uniqueId val="{00000008-DFEA-4AD6-B211-999B8B368C79}"/>
            </c:ext>
          </c:extLst>
        </c:ser>
        <c:ser>
          <c:idx val="9"/>
          <c:order val="9"/>
          <c:tx>
            <c:strRef>
              <c:f>'Потоки обучения 2'!$T$15:$T$16</c:f>
              <c:strCache>
                <c:ptCount val="1"/>
                <c:pt idx="0">
                  <c:v>Oct</c:v>
                </c:pt>
              </c:strCache>
            </c:strRef>
          </c:tx>
          <c:spPr>
            <a:solidFill>
              <a:schemeClr val="accent4">
                <a:lumMod val="60000"/>
              </a:schemeClr>
            </a:solidFill>
            <a:ln>
              <a:noFill/>
            </a:ln>
            <a:effectLst/>
          </c:spPr>
          <c:invertIfNegative val="0"/>
          <c:cat>
            <c:strRef>
              <c:f>'Потоки обучения 2'!$J$17:$J$22</c:f>
              <c:strCache>
                <c:ptCount val="5"/>
                <c:pt idx="0">
                  <c:v>Аналитика</c:v>
                </c:pt>
                <c:pt idx="1">
                  <c:v>Дизайн</c:v>
                </c:pt>
                <c:pt idx="2">
                  <c:v>Маркетинг</c:v>
                </c:pt>
                <c:pt idx="3">
                  <c:v>Программирование</c:v>
                </c:pt>
                <c:pt idx="4">
                  <c:v>Управление</c:v>
                </c:pt>
              </c:strCache>
            </c:strRef>
          </c:cat>
          <c:val>
            <c:numRef>
              <c:f>'Потоки обучения 2'!$T$17:$T$22</c:f>
              <c:numCache>
                <c:formatCode>#,##0" ₽"</c:formatCode>
                <c:ptCount val="5"/>
                <c:pt idx="0">
                  <c:v>3171220</c:v>
                </c:pt>
                <c:pt idx="1">
                  <c:v>2511440</c:v>
                </c:pt>
                <c:pt idx="2">
                  <c:v>4228070</c:v>
                </c:pt>
                <c:pt idx="3">
                  <c:v>2357860</c:v>
                </c:pt>
                <c:pt idx="4">
                  <c:v>1375060</c:v>
                </c:pt>
              </c:numCache>
            </c:numRef>
          </c:val>
          <c:extLst>
            <c:ext xmlns:c16="http://schemas.microsoft.com/office/drawing/2014/chart" uri="{C3380CC4-5D6E-409C-BE32-E72D297353CC}">
              <c16:uniqueId val="{00000009-DFEA-4AD6-B211-999B8B368C79}"/>
            </c:ext>
          </c:extLst>
        </c:ser>
        <c:ser>
          <c:idx val="10"/>
          <c:order val="10"/>
          <c:tx>
            <c:strRef>
              <c:f>'Потоки обучения 2'!$U$15:$U$16</c:f>
              <c:strCache>
                <c:ptCount val="1"/>
                <c:pt idx="0">
                  <c:v>Nov</c:v>
                </c:pt>
              </c:strCache>
            </c:strRef>
          </c:tx>
          <c:spPr>
            <a:solidFill>
              <a:schemeClr val="accent5">
                <a:lumMod val="60000"/>
              </a:schemeClr>
            </a:solidFill>
            <a:ln>
              <a:noFill/>
            </a:ln>
            <a:effectLst/>
          </c:spPr>
          <c:invertIfNegative val="0"/>
          <c:cat>
            <c:strRef>
              <c:f>'Потоки обучения 2'!$J$17:$J$22</c:f>
              <c:strCache>
                <c:ptCount val="5"/>
                <c:pt idx="0">
                  <c:v>Аналитика</c:v>
                </c:pt>
                <c:pt idx="1">
                  <c:v>Дизайн</c:v>
                </c:pt>
                <c:pt idx="2">
                  <c:v>Маркетинг</c:v>
                </c:pt>
                <c:pt idx="3">
                  <c:v>Программирование</c:v>
                </c:pt>
                <c:pt idx="4">
                  <c:v>Управление</c:v>
                </c:pt>
              </c:strCache>
            </c:strRef>
          </c:cat>
          <c:val>
            <c:numRef>
              <c:f>'Потоки обучения 2'!$U$17:$U$22</c:f>
              <c:numCache>
                <c:formatCode>#,##0" ₽"</c:formatCode>
                <c:ptCount val="5"/>
                <c:pt idx="0">
                  <c:v>3285990</c:v>
                </c:pt>
                <c:pt idx="1">
                  <c:v>736550</c:v>
                </c:pt>
                <c:pt idx="2">
                  <c:v>2947260</c:v>
                </c:pt>
                <c:pt idx="3">
                  <c:v>4838610</c:v>
                </c:pt>
                <c:pt idx="4">
                  <c:v>3292910</c:v>
                </c:pt>
              </c:numCache>
            </c:numRef>
          </c:val>
          <c:extLst>
            <c:ext xmlns:c16="http://schemas.microsoft.com/office/drawing/2014/chart" uri="{C3380CC4-5D6E-409C-BE32-E72D297353CC}">
              <c16:uniqueId val="{0000000A-DFEA-4AD6-B211-999B8B368C79}"/>
            </c:ext>
          </c:extLst>
        </c:ser>
        <c:ser>
          <c:idx val="11"/>
          <c:order val="11"/>
          <c:tx>
            <c:strRef>
              <c:f>'Потоки обучения 2'!$V$15:$V$16</c:f>
              <c:strCache>
                <c:ptCount val="1"/>
                <c:pt idx="0">
                  <c:v>Dec</c:v>
                </c:pt>
              </c:strCache>
            </c:strRef>
          </c:tx>
          <c:spPr>
            <a:solidFill>
              <a:schemeClr val="accent6">
                <a:lumMod val="60000"/>
              </a:schemeClr>
            </a:solidFill>
            <a:ln>
              <a:noFill/>
            </a:ln>
            <a:effectLst/>
          </c:spPr>
          <c:invertIfNegative val="0"/>
          <c:cat>
            <c:strRef>
              <c:f>'Потоки обучения 2'!$J$17:$J$22</c:f>
              <c:strCache>
                <c:ptCount val="5"/>
                <c:pt idx="0">
                  <c:v>Аналитика</c:v>
                </c:pt>
                <c:pt idx="1">
                  <c:v>Дизайн</c:v>
                </c:pt>
                <c:pt idx="2">
                  <c:v>Маркетинг</c:v>
                </c:pt>
                <c:pt idx="3">
                  <c:v>Программирование</c:v>
                </c:pt>
                <c:pt idx="4">
                  <c:v>Управление</c:v>
                </c:pt>
              </c:strCache>
            </c:strRef>
          </c:cat>
          <c:val>
            <c:numRef>
              <c:f>'Потоки обучения 2'!$V$17:$V$22</c:f>
              <c:numCache>
                <c:formatCode>#,##0" ₽"</c:formatCode>
                <c:ptCount val="5"/>
                <c:pt idx="0">
                  <c:v>3084570</c:v>
                </c:pt>
                <c:pt idx="1">
                  <c:v>2844660</c:v>
                </c:pt>
                <c:pt idx="2">
                  <c:v>2276820</c:v>
                </c:pt>
                <c:pt idx="3">
                  <c:v>4244080</c:v>
                </c:pt>
                <c:pt idx="4">
                  <c:v>760310</c:v>
                </c:pt>
              </c:numCache>
            </c:numRef>
          </c:val>
          <c:extLst>
            <c:ext xmlns:c16="http://schemas.microsoft.com/office/drawing/2014/chart" uri="{C3380CC4-5D6E-409C-BE32-E72D297353CC}">
              <c16:uniqueId val="{0000000B-DFEA-4AD6-B211-999B8B368C79}"/>
            </c:ext>
          </c:extLst>
        </c:ser>
        <c:dLbls>
          <c:dLblPos val="outEnd"/>
          <c:showLegendKey val="0"/>
          <c:showVal val="0"/>
          <c:showCatName val="0"/>
          <c:showSerName val="0"/>
          <c:showPercent val="0"/>
          <c:showBubbleSize val="0"/>
        </c:dLbls>
        <c:gapWidth val="219"/>
        <c:overlap val="-27"/>
        <c:axId val="1378574943"/>
        <c:axId val="1378591743"/>
      </c:barChart>
      <c:catAx>
        <c:axId val="1378574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8591743"/>
        <c:crosses val="autoZero"/>
        <c:auto val="1"/>
        <c:lblAlgn val="ctr"/>
        <c:lblOffset val="100"/>
        <c:noMultiLvlLbl val="0"/>
      </c:catAx>
      <c:valAx>
        <c:axId val="1378591743"/>
        <c:scaling>
          <c:orientation val="minMax"/>
        </c:scaling>
        <c:delete val="0"/>
        <c:axPos val="l"/>
        <c:majorGridlines>
          <c:spPr>
            <a:ln w="9525" cap="flat" cmpd="sng" algn="ctr">
              <a:solidFill>
                <a:schemeClr val="tx1">
                  <a:lumMod val="15000"/>
                  <a:lumOff val="85000"/>
                </a:schemeClr>
              </a:solidFill>
              <a:round/>
            </a:ln>
            <a:effectLst/>
          </c:spPr>
        </c:majorGridlines>
        <c:numFmt formatCode="#,##0&quot; ₽&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8574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228600</xdr:colOff>
      <xdr:row>2</xdr:row>
      <xdr:rowOff>127000</xdr:rowOff>
    </xdr:from>
    <xdr:to>
      <xdr:col>17</xdr:col>
      <xdr:colOff>749300</xdr:colOff>
      <xdr:row>12</xdr:row>
      <xdr:rowOff>63500</xdr:rowOff>
    </xdr:to>
    <xdr:sp macro="" textlink="">
      <xdr:nvSpPr>
        <xdr:cNvPr id="2" name="Прямоугольник 1">
          <a:extLst>
            <a:ext uri="{FF2B5EF4-FFF2-40B4-BE49-F238E27FC236}">
              <a16:creationId xmlns:a16="http://schemas.microsoft.com/office/drawing/2014/main" id="{E3A91749-2CFB-CE41-AC11-C27A249DF46B}"/>
            </a:ext>
          </a:extLst>
        </xdr:cNvPr>
        <xdr:cNvSpPr/>
      </xdr:nvSpPr>
      <xdr:spPr>
        <a:xfrm>
          <a:off x="8699500" y="596900"/>
          <a:ext cx="7124700" cy="1981200"/>
        </a:xfrm>
        <a:prstGeom prst="rect">
          <a:avLst/>
        </a:prstGeom>
        <a:solidFill>
          <a:schemeClr val="accent6">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ru-RU" sz="1600" b="1" baseline="0">
              <a:solidFill>
                <a:srgbClr val="002060"/>
              </a:solidFill>
              <a:latin typeface="Calibri" panose="020F0502020204030204" pitchFamily="34" charset="0"/>
              <a:cs typeface="Calibri" panose="020F0502020204030204" pitchFamily="34" charset="0"/>
            </a:rPr>
            <a:t>Составим сводную таблицу </a:t>
          </a:r>
        </a:p>
        <a:p>
          <a:pPr algn="l"/>
          <a:r>
            <a:rPr lang="ru-RU" sz="1200" b="1" baseline="0">
              <a:solidFill>
                <a:srgbClr val="002060"/>
              </a:solidFill>
              <a:latin typeface="Calibri" panose="020F0502020204030204" pitchFamily="34" charset="0"/>
              <a:cs typeface="Calibri" panose="020F0502020204030204" pitchFamily="34" charset="0"/>
            </a:rPr>
            <a:t>1) Строки - Направления</a:t>
          </a:r>
        </a:p>
        <a:p>
          <a:pPr algn="l"/>
          <a:r>
            <a:rPr lang="ru-RU" sz="1200" b="1" baseline="0">
              <a:solidFill>
                <a:srgbClr val="002060"/>
              </a:solidFill>
              <a:latin typeface="Calibri" panose="020F0502020204030204" pitchFamily="34" charset="0"/>
              <a:cs typeface="Calibri" panose="020F0502020204030204" pitchFamily="34" charset="0"/>
            </a:rPr>
            <a:t>2) Столбцы - Месяц</a:t>
          </a:r>
        </a:p>
        <a:p>
          <a:pPr algn="l"/>
          <a:r>
            <a:rPr lang="ru-RU" sz="1200" b="1" baseline="0">
              <a:solidFill>
                <a:srgbClr val="002060"/>
              </a:solidFill>
              <a:latin typeface="Calibri" panose="020F0502020204030204" pitchFamily="34" charset="0"/>
              <a:cs typeface="Calibri" panose="020F0502020204030204" pitchFamily="34" charset="0"/>
            </a:rPr>
            <a:t>3) Значения - Выручка</a:t>
          </a:r>
          <a:endParaRPr lang="en-US" sz="1200" b="1" baseline="0">
            <a:solidFill>
              <a:srgbClr val="002060"/>
            </a:solidFill>
            <a:latin typeface="Calibri" panose="020F0502020204030204" pitchFamily="34" charset="0"/>
            <a:cs typeface="Calibri" panose="020F0502020204030204" pitchFamily="34" charset="0"/>
          </a:endParaRPr>
        </a:p>
        <a:p>
          <a:pPr algn="l"/>
          <a:r>
            <a:rPr lang="ru-RU" sz="1200" b="1" baseline="0">
              <a:solidFill>
                <a:srgbClr val="002060"/>
              </a:solidFill>
              <a:latin typeface="Calibri" panose="020F0502020204030204" pitchFamily="34" charset="0"/>
              <a:cs typeface="Calibri" panose="020F0502020204030204" pitchFamily="34" charset="0"/>
            </a:rPr>
            <a:t>4) Добавьте в поле Значение Выручка еще раз и поменяем тип вычисления на Среднее. </a:t>
          </a:r>
        </a:p>
        <a:p>
          <a:pPr algn="l"/>
          <a:r>
            <a:rPr lang="ru-RU" sz="1200" b="1" baseline="0">
              <a:solidFill>
                <a:srgbClr val="002060"/>
              </a:solidFill>
              <a:latin typeface="Calibri" panose="020F0502020204030204" pitchFamily="34" charset="0"/>
              <a:cs typeface="Calibri" panose="020F0502020204030204" pitchFamily="34" charset="0"/>
            </a:rPr>
            <a:t>6) Добавьте в поле Значение Выручка еще раз и вычислим доли продаж. </a:t>
          </a:r>
        </a:p>
        <a:p>
          <a:pPr algn="l"/>
          <a:r>
            <a:rPr lang="ru-RU" sz="1200" b="1" baseline="0">
              <a:solidFill>
                <a:srgbClr val="002060"/>
              </a:solidFill>
              <a:latin typeface="Calibri" panose="020F0502020204030204" pitchFamily="34" charset="0"/>
              <a:cs typeface="Calibri" panose="020F0502020204030204" pitchFamily="34" charset="0"/>
            </a:rPr>
            <a:t>7) Измените тип вычисления, чтобы понять ежемесячные изменения в процентах (</a:t>
          </a:r>
          <a:r>
            <a:rPr lang="en-US" sz="1200" b="1" baseline="0">
              <a:solidFill>
                <a:srgbClr val="002060"/>
              </a:solidFill>
              <a:latin typeface="Calibri" panose="020F0502020204030204" pitchFamily="34" charset="0"/>
              <a:cs typeface="Calibri" panose="020F0502020204030204" pitchFamily="34" charset="0"/>
            </a:rPr>
            <a:t>*</a:t>
          </a:r>
          <a:r>
            <a:rPr lang="ru-RU" sz="1200" b="1" baseline="0">
              <a:solidFill>
                <a:srgbClr val="002060"/>
              </a:solidFill>
              <a:latin typeface="Calibri" panose="020F0502020204030204" pitchFamily="34" charset="0"/>
              <a:cs typeface="Calibri" panose="020F0502020204030204" pitchFamily="34" charset="0"/>
            </a:rPr>
            <a:t>Использовать приведенное значение). </a:t>
          </a:r>
          <a:endParaRPr lang="en-US" sz="1200" b="1" baseline="0">
            <a:solidFill>
              <a:srgbClr val="002060"/>
            </a:solidFill>
            <a:latin typeface="Calibri" panose="020F0502020204030204" pitchFamily="34" charset="0"/>
            <a:cs typeface="Calibri" panose="020F0502020204030204" pitchFamily="34" charset="0"/>
          </a:endParaRPr>
        </a:p>
        <a:p>
          <a:pPr algn="l"/>
          <a:r>
            <a:rPr lang="en-US" sz="1200" b="1" baseline="0">
              <a:solidFill>
                <a:srgbClr val="002060"/>
              </a:solidFill>
              <a:latin typeface="Calibri" panose="020F0502020204030204" pitchFamily="34" charset="0"/>
              <a:cs typeface="Calibri" panose="020F0502020204030204" pitchFamily="34" charset="0"/>
            </a:rPr>
            <a:t>8) </a:t>
          </a:r>
          <a:r>
            <a:rPr lang="ru-RU" sz="1200" b="1" baseline="0">
              <a:solidFill>
                <a:srgbClr val="002060"/>
              </a:solidFill>
              <a:latin typeface="Calibri" panose="020F0502020204030204" pitchFamily="34" charset="0"/>
              <a:cs typeface="Calibri" panose="020F0502020204030204" pitchFamily="34" charset="0"/>
            </a:rPr>
            <a:t>Отформатируйте таблицу (денежные значения) </a:t>
          </a:r>
        </a:p>
        <a:p>
          <a:pPr algn="l"/>
          <a:endParaRPr lang="ru-RU" sz="1200" b="1" baseline="0">
            <a:solidFill>
              <a:srgbClr val="002060"/>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76200</xdr:colOff>
      <xdr:row>2</xdr:row>
      <xdr:rowOff>101600</xdr:rowOff>
    </xdr:from>
    <xdr:to>
      <xdr:col>17</xdr:col>
      <xdr:colOff>571500</xdr:colOff>
      <xdr:row>13</xdr:row>
      <xdr:rowOff>25400</xdr:rowOff>
    </xdr:to>
    <xdr:sp macro="" textlink="">
      <xdr:nvSpPr>
        <xdr:cNvPr id="3" name="Прямоугольник 2">
          <a:extLst>
            <a:ext uri="{FF2B5EF4-FFF2-40B4-BE49-F238E27FC236}">
              <a16:creationId xmlns:a16="http://schemas.microsoft.com/office/drawing/2014/main" id="{6A0C0F97-74A4-434B-8968-C5D1AADE19C6}"/>
            </a:ext>
          </a:extLst>
        </xdr:cNvPr>
        <xdr:cNvSpPr/>
      </xdr:nvSpPr>
      <xdr:spPr>
        <a:xfrm>
          <a:off x="8547100" y="571500"/>
          <a:ext cx="7099300" cy="2171700"/>
        </a:xfrm>
        <a:prstGeom prst="rect">
          <a:avLst/>
        </a:prstGeom>
        <a:solidFill>
          <a:schemeClr val="accent6">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ru-RU" sz="1600" b="1" baseline="0">
              <a:solidFill>
                <a:srgbClr val="002060"/>
              </a:solidFill>
              <a:latin typeface="Calibri" panose="020F0502020204030204" pitchFamily="34" charset="0"/>
              <a:cs typeface="Calibri" panose="020F0502020204030204" pitchFamily="34" charset="0"/>
            </a:rPr>
            <a:t>Составим сводную таблицу </a:t>
          </a:r>
        </a:p>
        <a:p>
          <a:pPr algn="l"/>
          <a:r>
            <a:rPr lang="ru-RU" sz="1200" b="1" baseline="0">
              <a:solidFill>
                <a:srgbClr val="002060"/>
              </a:solidFill>
              <a:latin typeface="Calibri" panose="020F0502020204030204" pitchFamily="34" charset="0"/>
              <a:cs typeface="Calibri" panose="020F0502020204030204" pitchFamily="34" charset="0"/>
            </a:rPr>
            <a:t>1) Строки - Направление</a:t>
          </a:r>
        </a:p>
        <a:p>
          <a:pPr algn="l"/>
          <a:r>
            <a:rPr lang="ru-RU" sz="1200" b="1" baseline="0">
              <a:solidFill>
                <a:srgbClr val="002060"/>
              </a:solidFill>
              <a:latin typeface="Calibri" panose="020F0502020204030204" pitchFamily="34" charset="0"/>
              <a:cs typeface="Calibri" panose="020F0502020204030204" pitchFamily="34" charset="0"/>
            </a:rPr>
            <a:t>2) Столбцы - Месяц</a:t>
          </a:r>
        </a:p>
        <a:p>
          <a:pPr algn="l"/>
          <a:r>
            <a:rPr lang="ru-RU" sz="1200" b="1" baseline="0">
              <a:solidFill>
                <a:srgbClr val="002060"/>
              </a:solidFill>
              <a:latin typeface="Calibri" panose="020F0502020204030204" pitchFamily="34" charset="0"/>
              <a:cs typeface="Calibri" panose="020F0502020204030204" pitchFamily="34" charset="0"/>
            </a:rPr>
            <a:t>3) Значения - Выручка</a:t>
          </a:r>
        </a:p>
        <a:p>
          <a:pPr algn="l"/>
          <a:r>
            <a:rPr lang="ru-RU" sz="1200" b="1" baseline="0">
              <a:solidFill>
                <a:srgbClr val="002060"/>
              </a:solidFill>
              <a:latin typeface="Calibri" panose="020F0502020204030204" pitchFamily="34" charset="0"/>
              <a:cs typeface="Calibri" panose="020F0502020204030204" pitchFamily="34" charset="0"/>
            </a:rPr>
            <a:t>4) Постройте диаграмму (Анализ сводной таблицы - Сводная диаграмма)</a:t>
          </a:r>
        </a:p>
        <a:p>
          <a:pPr algn="l"/>
          <a:r>
            <a:rPr lang="ru-RU" sz="1200" b="1" baseline="0">
              <a:solidFill>
                <a:srgbClr val="002060"/>
              </a:solidFill>
              <a:latin typeface="Calibri" panose="020F0502020204030204" pitchFamily="34" charset="0"/>
              <a:cs typeface="Calibri" panose="020F0502020204030204" pitchFamily="34" charset="0"/>
            </a:rPr>
            <a:t>5) Примените фильтр. Проанализируйте полученные результаты. </a:t>
          </a:r>
        </a:p>
        <a:p>
          <a:pPr algn="l"/>
          <a:r>
            <a:rPr lang="ru-RU" sz="1200" b="1" baseline="0">
              <a:solidFill>
                <a:srgbClr val="002060"/>
              </a:solidFill>
              <a:latin typeface="Calibri" panose="020F0502020204030204" pitchFamily="34" charset="0"/>
              <a:cs typeface="Calibri" panose="020F0502020204030204" pitchFamily="34" charset="0"/>
            </a:rPr>
            <a:t>7) Поменяйте данные. Строки - Куратор</a:t>
          </a:r>
          <a:r>
            <a:rPr lang="en-US" sz="1200" b="1" baseline="0">
              <a:solidFill>
                <a:srgbClr val="002060"/>
              </a:solidFill>
              <a:latin typeface="Calibri" panose="020F0502020204030204" pitchFamily="34" charset="0"/>
              <a:cs typeface="Calibri" panose="020F0502020204030204" pitchFamily="34" charset="0"/>
            </a:rPr>
            <a:t>, </a:t>
          </a:r>
          <a:r>
            <a:rPr lang="ru-RU" sz="1200" b="1" baseline="0">
              <a:solidFill>
                <a:srgbClr val="002060"/>
              </a:solidFill>
              <a:latin typeface="Calibri" panose="020F0502020204030204" pitchFamily="34" charset="0"/>
              <a:cs typeface="Calibri" panose="020F0502020204030204" pitchFamily="34" charset="0"/>
            </a:rPr>
            <a:t>Столбцы - Направление</a:t>
          </a:r>
        </a:p>
        <a:p>
          <a:pPr algn="l"/>
          <a:r>
            <a:rPr lang="ru-RU" sz="1200" b="1" baseline="0">
              <a:solidFill>
                <a:srgbClr val="002060"/>
              </a:solidFill>
              <a:latin typeface="Calibri" panose="020F0502020204030204" pitchFamily="34" charset="0"/>
              <a:cs typeface="Calibri" panose="020F0502020204030204" pitchFamily="34" charset="0"/>
            </a:rPr>
            <a:t>8) Вставьте Срез (Анализ сводной таблицы - Фильтр - Срез) по Формату</a:t>
          </a:r>
          <a:r>
            <a:rPr lang="en-US" sz="1200" b="1" baseline="0">
              <a:solidFill>
                <a:srgbClr val="002060"/>
              </a:solidFill>
              <a:latin typeface="Calibri" panose="020F0502020204030204" pitchFamily="34" charset="0"/>
              <a:cs typeface="Calibri" panose="020F0502020204030204" pitchFamily="34" charset="0"/>
            </a:rPr>
            <a:t> </a:t>
          </a:r>
          <a:r>
            <a:rPr lang="ru-RU" sz="1200" b="1" baseline="0">
              <a:solidFill>
                <a:srgbClr val="002060"/>
              </a:solidFill>
              <a:latin typeface="Calibri" panose="020F0502020204030204" pitchFamily="34" charset="0"/>
              <a:cs typeface="Calibri" panose="020F0502020204030204" pitchFamily="34" charset="0"/>
            </a:rPr>
            <a:t>обучения. </a:t>
          </a:r>
        </a:p>
        <a:p>
          <a:pPr algn="l"/>
          <a:r>
            <a:rPr lang="ru-RU" sz="1200" b="1" baseline="0">
              <a:solidFill>
                <a:srgbClr val="002060"/>
              </a:solidFill>
              <a:latin typeface="Calibri" panose="020F0502020204030204" pitchFamily="34" charset="0"/>
              <a:cs typeface="Calibri" panose="020F0502020204030204" pitchFamily="34" charset="0"/>
            </a:rPr>
            <a:t>9) Добавьте еще один Срез по Году</a:t>
          </a:r>
        </a:p>
        <a:p>
          <a:pPr algn="l"/>
          <a:r>
            <a:rPr lang="en-US" sz="1200" b="1" baseline="0">
              <a:solidFill>
                <a:srgbClr val="002060"/>
              </a:solidFill>
              <a:latin typeface="Calibri" panose="020F0502020204030204" pitchFamily="34" charset="0"/>
              <a:cs typeface="Calibri" panose="020F0502020204030204" pitchFamily="34" charset="0"/>
            </a:rPr>
            <a:t>10) </a:t>
          </a:r>
          <a:r>
            <a:rPr lang="ru-RU" sz="1200" b="1" baseline="0">
              <a:solidFill>
                <a:srgbClr val="002060"/>
              </a:solidFill>
              <a:latin typeface="Calibri" panose="020F0502020204030204" pitchFamily="34" charset="0"/>
              <a:cs typeface="Calibri" panose="020F0502020204030204" pitchFamily="34" charset="0"/>
            </a:rPr>
            <a:t>Проанализируйте полученные результаты</a:t>
          </a:r>
        </a:p>
        <a:p>
          <a:pPr algn="l"/>
          <a:endParaRPr lang="ru-RU" sz="1200" b="1" baseline="0">
            <a:solidFill>
              <a:srgbClr val="002060"/>
            </a:solidFill>
          </a:endParaRPr>
        </a:p>
      </xdr:txBody>
    </xdr:sp>
    <xdr:clientData/>
  </xdr:twoCellAnchor>
  <xdr:twoCellAnchor>
    <xdr:from>
      <xdr:col>8</xdr:col>
      <xdr:colOff>1111250</xdr:colOff>
      <xdr:row>22</xdr:row>
      <xdr:rowOff>139700</xdr:rowOff>
    </xdr:from>
    <xdr:to>
      <xdr:col>18</xdr:col>
      <xdr:colOff>622300</xdr:colOff>
      <xdr:row>42</xdr:row>
      <xdr:rowOff>171450</xdr:rowOff>
    </xdr:to>
    <xdr:graphicFrame macro="">
      <xdr:nvGraphicFramePr>
        <xdr:cNvPr id="6" name="Chart 5">
          <a:extLst>
            <a:ext uri="{FF2B5EF4-FFF2-40B4-BE49-F238E27FC236}">
              <a16:creationId xmlns:a16="http://schemas.microsoft.com/office/drawing/2014/main" id="{BAEDFAFF-D46B-F1CE-13E0-0D9D4C0FDB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18</xdr:col>
      <xdr:colOff>341152</xdr:colOff>
      <xdr:row>57</xdr:row>
      <xdr:rowOff>193938</xdr:rowOff>
    </xdr:from>
    <xdr:to>
      <xdr:col>20</xdr:col>
      <xdr:colOff>480501</xdr:colOff>
      <xdr:row>65</xdr:row>
      <xdr:rowOff>193705</xdr:rowOff>
    </xdr:to>
    <mc:AlternateContent xmlns:mc="http://schemas.openxmlformats.org/markup-compatibility/2006">
      <mc:Choice xmlns:a14="http://schemas.microsoft.com/office/drawing/2010/main" Requires="a14">
        <xdr:graphicFrame macro="">
          <xdr:nvGraphicFramePr>
            <xdr:cNvPr id="7" name="Год">
              <a:extLst>
                <a:ext uri="{FF2B5EF4-FFF2-40B4-BE49-F238E27FC236}">
                  <a16:creationId xmlns:a16="http://schemas.microsoft.com/office/drawing/2014/main" id="{F58A4C48-8EAA-6D05-06FA-05122E17DA22}"/>
                </a:ext>
              </a:extLst>
            </xdr:cNvPr>
            <xdr:cNvGraphicFramePr/>
          </xdr:nvGraphicFramePr>
          <xdr:xfrm>
            <a:off x="0" y="0"/>
            <a:ext cx="0" cy="0"/>
          </xdr:xfrm>
          <a:graphic>
            <a:graphicData uri="http://schemas.microsoft.com/office/drawing/2010/slicer">
              <sle:slicer xmlns:sle="http://schemas.microsoft.com/office/drawing/2010/slicer" name="Год"/>
            </a:graphicData>
          </a:graphic>
        </xdr:graphicFrame>
      </mc:Choice>
      <mc:Fallback>
        <xdr:sp macro="" textlink="">
          <xdr:nvSpPr>
            <xdr:cNvPr id="0" name=""/>
            <xdr:cNvSpPr>
              <a:spLocks noTextEdit="1"/>
            </xdr:cNvSpPr>
          </xdr:nvSpPr>
          <xdr:spPr>
            <a:xfrm>
              <a:off x="18733473" y="11608819"/>
              <a:ext cx="1832683" cy="162506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112494</xdr:colOff>
      <xdr:row>57</xdr:row>
      <xdr:rowOff>192482</xdr:rowOff>
    </xdr:from>
    <xdr:to>
      <xdr:col>18</xdr:col>
      <xdr:colOff>251846</xdr:colOff>
      <xdr:row>65</xdr:row>
      <xdr:rowOff>192249</xdr:rowOff>
    </xdr:to>
    <mc:AlternateContent xmlns:mc="http://schemas.openxmlformats.org/markup-compatibility/2006">
      <mc:Choice xmlns:a14="http://schemas.microsoft.com/office/drawing/2010/main" Requires="a14">
        <xdr:graphicFrame macro="">
          <xdr:nvGraphicFramePr>
            <xdr:cNvPr id="8" name="Формат">
              <a:extLst>
                <a:ext uri="{FF2B5EF4-FFF2-40B4-BE49-F238E27FC236}">
                  <a16:creationId xmlns:a16="http://schemas.microsoft.com/office/drawing/2014/main" id="{B424C637-DED7-15C8-18B1-4AC816923A67}"/>
                </a:ext>
              </a:extLst>
            </xdr:cNvPr>
            <xdr:cNvGraphicFramePr/>
          </xdr:nvGraphicFramePr>
          <xdr:xfrm>
            <a:off x="0" y="0"/>
            <a:ext cx="0" cy="0"/>
          </xdr:xfrm>
          <a:graphic>
            <a:graphicData uri="http://schemas.microsoft.com/office/drawing/2010/slicer">
              <sle:slicer xmlns:sle="http://schemas.microsoft.com/office/drawing/2010/slicer" name="Формат"/>
            </a:graphicData>
          </a:graphic>
        </xdr:graphicFrame>
      </mc:Choice>
      <mc:Fallback>
        <xdr:sp macro="" textlink="">
          <xdr:nvSpPr>
            <xdr:cNvPr id="0" name=""/>
            <xdr:cNvSpPr>
              <a:spLocks noTextEdit="1"/>
            </xdr:cNvSpPr>
          </xdr:nvSpPr>
          <xdr:spPr>
            <a:xfrm>
              <a:off x="16811482" y="11607363"/>
              <a:ext cx="1832685" cy="162506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rland" refreshedDate="46131.046034027779" createdVersion="8" refreshedVersion="8" minRefreshableVersion="3" recordCount="360" xr:uid="{5C93174A-0674-4528-A398-62D81050FB12}">
  <cacheSource type="worksheet">
    <worksheetSource ref="A3:I363" sheet="Потоки обучения"/>
  </cacheSource>
  <cacheFields count="9">
    <cacheField name="Год" numFmtId="0">
      <sharedItems containsSemiMixedTypes="0" containsString="0" containsNumber="1" containsInteger="1" minValue="2022" maxValue="2024" count="3">
        <n v="2022"/>
        <n v="2023"/>
        <n v="2024"/>
      </sharedItems>
    </cacheField>
    <cacheField name="Месяц" numFmtId="0">
      <sharedItems count="12">
        <s v="Январь"/>
        <s v="Февраль"/>
        <s v="Март"/>
        <s v="Апрель"/>
        <s v="Май"/>
        <s v="Июнь"/>
        <s v="Июль"/>
        <s v="Август"/>
        <s v="Сентябрь"/>
        <s v="Октябрь"/>
        <s v="Ноябрь"/>
        <s v="Декабрь"/>
      </sharedItems>
    </cacheField>
    <cacheField name="Направление" numFmtId="0">
      <sharedItems count="5">
        <s v="Аналитика"/>
        <s v="Маркетинг"/>
        <s v="Программирование"/>
        <s v="Дизайн"/>
        <s v="Управление"/>
      </sharedItems>
    </cacheField>
    <cacheField name="Куратор" numFmtId="0">
      <sharedItems/>
    </cacheField>
    <cacheField name="Формат" numFmtId="0">
      <sharedItems/>
    </cacheField>
    <cacheField name="Выручка" numFmtId="164">
      <sharedItems containsSemiMixedTypes="0" containsString="0" containsNumber="1" containsInteger="1" minValue="138060" maxValue="1036140"/>
    </cacheField>
    <cacheField name="Слушатели" numFmtId="3">
      <sharedItems containsSemiMixedTypes="0" containsString="0" containsNumber="1" containsInteger="1" minValue="12" maxValue="42"/>
    </cacheField>
    <cacheField name="Код потока" numFmtId="0">
      <sharedItems/>
    </cacheField>
    <cacheField name="month" numFmtId="0">
      <sharedItems count="12">
        <s v="Jan"/>
        <s v="Feb"/>
        <s v="Mar"/>
        <s v="Apr"/>
        <s v="May"/>
        <s v="Jun"/>
        <s v="Jul"/>
        <s v="Aug"/>
        <s v="Sep"/>
        <s v="Oct"/>
        <s v="Nov"/>
        <s v="Dec"/>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rland" refreshedDate="46131.047022453706" createdVersion="8" refreshedVersion="8" minRefreshableVersion="3" recordCount="360" xr:uid="{9BD5B732-7441-4053-A563-B8C8CBE4BEA1}">
  <cacheSource type="worksheet">
    <worksheetSource ref="A3:I363" sheet="Потоки обучения 1"/>
  </cacheSource>
  <cacheFields count="9">
    <cacheField name="Год" numFmtId="0">
      <sharedItems containsSemiMixedTypes="0" containsString="0" containsNumber="1" containsInteger="1" minValue="2022" maxValue="2024" count="3">
        <n v="2022"/>
        <n v="2023"/>
        <n v="2024"/>
      </sharedItems>
    </cacheField>
    <cacheField name="Месяц" numFmtId="0">
      <sharedItems count="12">
        <s v="Январь"/>
        <s v="Февраль"/>
        <s v="Март"/>
        <s v="Апрель"/>
        <s v="Май"/>
        <s v="Июнь"/>
        <s v="Июль"/>
        <s v="Август"/>
        <s v="Сентябрь"/>
        <s v="Октябрь"/>
        <s v="Ноябрь"/>
        <s v="Декабрь"/>
      </sharedItems>
    </cacheField>
    <cacheField name="Направление" numFmtId="0">
      <sharedItems count="5">
        <s v="Аналитика"/>
        <s v="Маркетинг"/>
        <s v="Программирование"/>
        <s v="Дизайн"/>
        <s v="Управление"/>
      </sharedItems>
    </cacheField>
    <cacheField name="Куратор" numFmtId="0">
      <sharedItems count="5">
        <s v="Смирнов"/>
        <s v="Артамонов"/>
        <s v="Лаврова"/>
        <s v="Горин"/>
        <s v="Белова"/>
      </sharedItems>
    </cacheField>
    <cacheField name="Формат" numFmtId="0">
      <sharedItems/>
    </cacheField>
    <cacheField name="Выручка" numFmtId="164">
      <sharedItems containsSemiMixedTypes="0" containsString="0" containsNumber="1" containsInteger="1" minValue="138060" maxValue="1036140"/>
    </cacheField>
    <cacheField name="Слушатели" numFmtId="3">
      <sharedItems containsSemiMixedTypes="0" containsString="0" containsNumber="1" containsInteger="1" minValue="12" maxValue="42"/>
    </cacheField>
    <cacheField name="Код потока" numFmtId="0">
      <sharedItems/>
    </cacheField>
    <cacheField name="month" numFmtId="0">
      <sharedItems count="12">
        <s v="Jan"/>
        <s v="Feb"/>
        <s v="Mar"/>
        <s v="Apr"/>
        <s v="May"/>
        <s v="Jun"/>
        <s v="Jul"/>
        <s v="Aug"/>
        <s v="Sep"/>
        <s v="Oct"/>
        <s v="Nov"/>
        <s v="Dec"/>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rland" refreshedDate="46131.074805671298" createdVersion="8" refreshedVersion="8" minRefreshableVersion="3" recordCount="360" xr:uid="{455D0B83-7532-47C6-8751-793040F2989C}">
  <cacheSource type="worksheet">
    <worksheetSource ref="A3:I363" sheet="Потоки обучения 2"/>
  </cacheSource>
  <cacheFields count="9">
    <cacheField name="Год" numFmtId="0">
      <sharedItems containsSemiMixedTypes="0" containsString="0" containsNumber="1" containsInteger="1" minValue="2022" maxValue="2024" count="3">
        <n v="2022"/>
        <n v="2023"/>
        <n v="2024"/>
      </sharedItems>
    </cacheField>
    <cacheField name="Месяц" numFmtId="0">
      <sharedItems/>
    </cacheField>
    <cacheField name="Направление" numFmtId="0">
      <sharedItems count="5">
        <s v="Аналитика"/>
        <s v="Маркетинг"/>
        <s v="Программирование"/>
        <s v="Дизайн"/>
        <s v="Управление"/>
      </sharedItems>
    </cacheField>
    <cacheField name="Куратор" numFmtId="0">
      <sharedItems count="5">
        <s v="Смирнов"/>
        <s v="Артамонов"/>
        <s v="Лаврова"/>
        <s v="Горин"/>
        <s v="Белова"/>
      </sharedItems>
    </cacheField>
    <cacheField name="Формат" numFmtId="0">
      <sharedItems count="4">
        <s v="Очно"/>
        <s v="Интенсив"/>
        <s v="Онлайн"/>
        <s v="Смешанный"/>
      </sharedItems>
    </cacheField>
    <cacheField name="Выручка" numFmtId="164">
      <sharedItems containsSemiMixedTypes="0" containsString="0" containsNumber="1" containsInteger="1" minValue="138060" maxValue="1036140"/>
    </cacheField>
    <cacheField name="Слушатели" numFmtId="3">
      <sharedItems containsSemiMixedTypes="0" containsString="0" containsNumber="1" containsInteger="1" minValue="12" maxValue="42"/>
    </cacheField>
    <cacheField name="Код потока" numFmtId="0">
      <sharedItems/>
    </cacheField>
    <cacheField name="month" numFmtId="0">
      <sharedItems count="12">
        <s v="Jan"/>
        <s v="Feb"/>
        <s v="Mar"/>
        <s v="Apr"/>
        <s v="May"/>
        <s v="Jun"/>
        <s v="Jul"/>
        <s v="Aug"/>
        <s v="Sep"/>
        <s v="Oct"/>
        <s v="Nov"/>
        <s v="Dec"/>
      </sharedItems>
    </cacheField>
  </cacheFields>
  <extLst>
    <ext xmlns:x14="http://schemas.microsoft.com/office/spreadsheetml/2009/9/main" uri="{725AE2AE-9491-48be-B2B4-4EB974FC3084}">
      <x14:pivotCacheDefinition pivotCacheId="13421177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s v="Смирнов"/>
    <s v="Очно"/>
    <n v="390600"/>
    <n v="20"/>
    <s v="PT-2201-001"/>
    <x v="0"/>
  </r>
  <r>
    <x v="0"/>
    <x v="0"/>
    <x v="1"/>
    <s v="Артамонов"/>
    <s v="Интенсив"/>
    <n v="395820"/>
    <n v="21"/>
    <s v="PT-2201-002"/>
    <x v="0"/>
  </r>
  <r>
    <x v="0"/>
    <x v="0"/>
    <x v="2"/>
    <s v="Лаврова"/>
    <s v="Онлайн"/>
    <n v="331590"/>
    <n v="20"/>
    <s v="PT-2201-003"/>
    <x v="0"/>
  </r>
  <r>
    <x v="0"/>
    <x v="0"/>
    <x v="1"/>
    <s v="Горин"/>
    <s v="Смешанный"/>
    <n v="336460"/>
    <n v="23"/>
    <s v="PT-2201-004"/>
    <x v="0"/>
  </r>
  <r>
    <x v="0"/>
    <x v="0"/>
    <x v="3"/>
    <s v="Белова"/>
    <s v="Смешанный"/>
    <n v="240440"/>
    <n v="17"/>
    <s v="PT-2201-005"/>
    <x v="0"/>
  </r>
  <r>
    <x v="0"/>
    <x v="0"/>
    <x v="0"/>
    <s v="Артамонов"/>
    <s v="Смешанный"/>
    <n v="176550"/>
    <n v="12"/>
    <s v="PT-2201-006"/>
    <x v="0"/>
  </r>
  <r>
    <x v="0"/>
    <x v="0"/>
    <x v="1"/>
    <s v="Белова"/>
    <s v="Интенсив"/>
    <n v="455210"/>
    <n v="24"/>
    <s v="PT-2201-007"/>
    <x v="0"/>
  </r>
  <r>
    <x v="0"/>
    <x v="0"/>
    <x v="4"/>
    <s v="Артамонов"/>
    <s v="Онлайн"/>
    <n v="337780"/>
    <n v="30"/>
    <s v="PT-2201-008"/>
    <x v="0"/>
  </r>
  <r>
    <x v="0"/>
    <x v="0"/>
    <x v="3"/>
    <s v="Артамонов"/>
    <s v="Интенсив"/>
    <n v="558560"/>
    <n v="28"/>
    <s v="PT-2201-009"/>
    <x v="0"/>
  </r>
  <r>
    <x v="0"/>
    <x v="0"/>
    <x v="1"/>
    <s v="Лаврова"/>
    <s v="Очно"/>
    <n v="448630"/>
    <n v="27"/>
    <s v="PT-2201-010"/>
    <x v="0"/>
  </r>
  <r>
    <x v="0"/>
    <x v="1"/>
    <x v="4"/>
    <s v="Горин"/>
    <s v="Онлайн"/>
    <n v="158720"/>
    <n v="15"/>
    <s v="PT-2202-011"/>
    <x v="1"/>
  </r>
  <r>
    <x v="0"/>
    <x v="1"/>
    <x v="1"/>
    <s v="Горин"/>
    <s v="Онлайн"/>
    <n v="138060"/>
    <n v="12"/>
    <s v="PT-2202-012"/>
    <x v="1"/>
  </r>
  <r>
    <x v="0"/>
    <x v="1"/>
    <x v="2"/>
    <s v="Артамонов"/>
    <s v="Онлайн"/>
    <n v="414410"/>
    <n v="25"/>
    <s v="PT-2202-013"/>
    <x v="1"/>
  </r>
  <r>
    <x v="0"/>
    <x v="1"/>
    <x v="3"/>
    <s v="Смирнов"/>
    <s v="Интенсив"/>
    <n v="556810"/>
    <n v="26"/>
    <s v="PT-2202-014"/>
    <x v="1"/>
  </r>
  <r>
    <x v="0"/>
    <x v="1"/>
    <x v="2"/>
    <s v="Лаврова"/>
    <s v="Интенсив"/>
    <n v="637200"/>
    <n v="25"/>
    <s v="PT-2202-015"/>
    <x v="1"/>
  </r>
  <r>
    <x v="0"/>
    <x v="1"/>
    <x v="1"/>
    <s v="Лаврова"/>
    <s v="Интенсив"/>
    <n v="373560"/>
    <n v="19"/>
    <s v="PT-2202-016"/>
    <x v="1"/>
  </r>
  <r>
    <x v="0"/>
    <x v="1"/>
    <x v="4"/>
    <s v="Лаврова"/>
    <s v="Онлайн"/>
    <n v="338010"/>
    <n v="30"/>
    <s v="PT-2202-017"/>
    <x v="1"/>
  </r>
  <r>
    <x v="0"/>
    <x v="1"/>
    <x v="2"/>
    <s v="Горин"/>
    <s v="Интенсив"/>
    <n v="315690"/>
    <n v="12"/>
    <s v="PT-2202-018"/>
    <x v="1"/>
  </r>
  <r>
    <x v="0"/>
    <x v="1"/>
    <x v="2"/>
    <s v="Артамонов"/>
    <s v="Смешанный"/>
    <n v="633160"/>
    <n v="34"/>
    <s v="PT-2202-019"/>
    <x v="1"/>
  </r>
  <r>
    <x v="0"/>
    <x v="1"/>
    <x v="2"/>
    <s v="Горин"/>
    <s v="Смешанный"/>
    <n v="415480"/>
    <n v="21"/>
    <s v="PT-2202-020"/>
    <x v="1"/>
  </r>
  <r>
    <x v="0"/>
    <x v="2"/>
    <x v="3"/>
    <s v="Артамонов"/>
    <s v="Интенсив"/>
    <n v="743870"/>
    <n v="37"/>
    <s v="PT-2203-021"/>
    <x v="2"/>
  </r>
  <r>
    <x v="0"/>
    <x v="2"/>
    <x v="0"/>
    <s v="Лаврова"/>
    <s v="Онлайн"/>
    <n v="180640"/>
    <n v="13"/>
    <s v="PT-2203-022"/>
    <x v="2"/>
  </r>
  <r>
    <x v="0"/>
    <x v="2"/>
    <x v="1"/>
    <s v="Артамонов"/>
    <s v="Онлайн"/>
    <n v="368420"/>
    <n v="30"/>
    <s v="PT-2203-023"/>
    <x v="2"/>
  </r>
  <r>
    <x v="0"/>
    <x v="2"/>
    <x v="1"/>
    <s v="Смирнов"/>
    <s v="Смешанный"/>
    <n v="276270"/>
    <n v="20"/>
    <s v="PT-2203-024"/>
    <x v="2"/>
  </r>
  <r>
    <x v="0"/>
    <x v="2"/>
    <x v="0"/>
    <s v="Белова"/>
    <s v="Очно"/>
    <n v="222340"/>
    <n v="12"/>
    <s v="PT-2203-025"/>
    <x v="2"/>
  </r>
  <r>
    <x v="0"/>
    <x v="2"/>
    <x v="1"/>
    <s v="Смирнов"/>
    <s v="Смешанный"/>
    <n v="242080"/>
    <n v="17"/>
    <s v="PT-2203-026"/>
    <x v="2"/>
  </r>
  <r>
    <x v="0"/>
    <x v="2"/>
    <x v="3"/>
    <s v="Смирнов"/>
    <s v="Смешанный"/>
    <n v="338470"/>
    <n v="21"/>
    <s v="PT-2203-027"/>
    <x v="2"/>
  </r>
  <r>
    <x v="0"/>
    <x v="2"/>
    <x v="0"/>
    <s v="Смирнов"/>
    <s v="Очно"/>
    <n v="543500"/>
    <n v="28"/>
    <s v="PT-2203-028"/>
    <x v="2"/>
  </r>
  <r>
    <x v="0"/>
    <x v="2"/>
    <x v="1"/>
    <s v="Лаврова"/>
    <s v="Интенсив"/>
    <n v="369550"/>
    <n v="19"/>
    <s v="PT-2203-029"/>
    <x v="2"/>
  </r>
  <r>
    <x v="0"/>
    <x v="2"/>
    <x v="4"/>
    <s v="Смирнов"/>
    <s v="Смешанный"/>
    <n v="347900"/>
    <n v="27"/>
    <s v="PT-2203-030"/>
    <x v="2"/>
  </r>
  <r>
    <x v="0"/>
    <x v="3"/>
    <x v="3"/>
    <s v="Лаврова"/>
    <s v="Интенсив"/>
    <n v="761340"/>
    <n v="36"/>
    <s v="PT-2204-031"/>
    <x v="3"/>
  </r>
  <r>
    <x v="0"/>
    <x v="3"/>
    <x v="0"/>
    <s v="Горин"/>
    <s v="Онлайн"/>
    <n v="220870"/>
    <n v="16"/>
    <s v="PT-2204-032"/>
    <x v="3"/>
  </r>
  <r>
    <x v="0"/>
    <x v="3"/>
    <x v="0"/>
    <s v="Белова"/>
    <s v="Очно"/>
    <n v="389350"/>
    <n v="20"/>
    <s v="PT-2204-033"/>
    <x v="3"/>
  </r>
  <r>
    <x v="0"/>
    <x v="3"/>
    <x v="2"/>
    <s v="Белова"/>
    <s v="Интенсив"/>
    <n v="316890"/>
    <n v="13"/>
    <s v="PT-2204-034"/>
    <x v="3"/>
  </r>
  <r>
    <x v="0"/>
    <x v="3"/>
    <x v="1"/>
    <s v="Горин"/>
    <s v="Интенсив"/>
    <n v="460170"/>
    <n v="25"/>
    <s v="PT-2204-035"/>
    <x v="3"/>
  </r>
  <r>
    <x v="0"/>
    <x v="3"/>
    <x v="2"/>
    <s v="Белова"/>
    <s v="Онлайн"/>
    <n v="253650"/>
    <n v="16"/>
    <s v="PT-2204-036"/>
    <x v="3"/>
  </r>
  <r>
    <x v="0"/>
    <x v="3"/>
    <x v="3"/>
    <s v="Артамонов"/>
    <s v="Очно"/>
    <n v="566420"/>
    <n v="32"/>
    <s v="PT-2204-037"/>
    <x v="3"/>
  </r>
  <r>
    <x v="0"/>
    <x v="3"/>
    <x v="4"/>
    <s v="Смирнов"/>
    <s v="Онлайн"/>
    <n v="360170"/>
    <n v="30"/>
    <s v="PT-2204-038"/>
    <x v="3"/>
  </r>
  <r>
    <x v="0"/>
    <x v="3"/>
    <x v="2"/>
    <s v="Горин"/>
    <s v="Интенсив"/>
    <n v="550050"/>
    <n v="22"/>
    <s v="PT-2204-039"/>
    <x v="3"/>
  </r>
  <r>
    <x v="0"/>
    <x v="3"/>
    <x v="1"/>
    <s v="Артамонов"/>
    <s v="Онлайн"/>
    <n v="469230"/>
    <n v="41"/>
    <s v="PT-2204-040"/>
    <x v="3"/>
  </r>
  <r>
    <x v="0"/>
    <x v="4"/>
    <x v="2"/>
    <s v="Артамонов"/>
    <s v="Онлайн"/>
    <n v="602600"/>
    <n v="38"/>
    <s v="PT-2205-041"/>
    <x v="4"/>
  </r>
  <r>
    <x v="0"/>
    <x v="4"/>
    <x v="0"/>
    <s v="Артамонов"/>
    <s v="Смешанный"/>
    <n v="195710"/>
    <n v="13"/>
    <s v="PT-2205-042"/>
    <x v="4"/>
  </r>
  <r>
    <x v="0"/>
    <x v="4"/>
    <x v="2"/>
    <s v="Смирнов"/>
    <s v="Очно"/>
    <n v="286620"/>
    <n v="12"/>
    <s v="PT-2205-043"/>
    <x v="4"/>
  </r>
  <r>
    <x v="0"/>
    <x v="4"/>
    <x v="2"/>
    <s v="Лаврова"/>
    <s v="Онлайн"/>
    <n v="339030"/>
    <n v="21"/>
    <s v="PT-2205-044"/>
    <x v="4"/>
  </r>
  <r>
    <x v="0"/>
    <x v="4"/>
    <x v="1"/>
    <s v="Белова"/>
    <s v="Смешанный"/>
    <n v="468720"/>
    <n v="33"/>
    <s v="PT-2205-045"/>
    <x v="4"/>
  </r>
  <r>
    <x v="0"/>
    <x v="4"/>
    <x v="0"/>
    <s v="Смирнов"/>
    <s v="Очно"/>
    <n v="668220"/>
    <n v="35"/>
    <s v="PT-2205-046"/>
    <x v="4"/>
  </r>
  <r>
    <x v="0"/>
    <x v="4"/>
    <x v="1"/>
    <s v="Артамонов"/>
    <s v="Онлайн"/>
    <n v="289640"/>
    <n v="24"/>
    <s v="PT-2205-047"/>
    <x v="4"/>
  </r>
  <r>
    <x v="0"/>
    <x v="4"/>
    <x v="2"/>
    <s v="Горин"/>
    <s v="Смешанный"/>
    <n v="668420"/>
    <n v="35"/>
    <s v="PT-2205-048"/>
    <x v="4"/>
  </r>
  <r>
    <x v="0"/>
    <x v="4"/>
    <x v="0"/>
    <s v="Горин"/>
    <s v="Очно"/>
    <n v="402320"/>
    <n v="21"/>
    <s v="PT-2205-049"/>
    <x v="4"/>
  </r>
  <r>
    <x v="0"/>
    <x v="4"/>
    <x v="3"/>
    <s v="Смирнов"/>
    <s v="Интенсив"/>
    <n v="242500"/>
    <n v="12"/>
    <s v="PT-2205-050"/>
    <x v="4"/>
  </r>
  <r>
    <x v="0"/>
    <x v="5"/>
    <x v="2"/>
    <s v="Горин"/>
    <s v="Интенсив"/>
    <n v="956590"/>
    <n v="37"/>
    <s v="PT-2206-051"/>
    <x v="5"/>
  </r>
  <r>
    <x v="0"/>
    <x v="5"/>
    <x v="1"/>
    <s v="Лаврова"/>
    <s v="Очно"/>
    <n v="598170"/>
    <n v="37"/>
    <s v="PT-2206-052"/>
    <x v="5"/>
  </r>
  <r>
    <x v="0"/>
    <x v="5"/>
    <x v="2"/>
    <s v="Лаврова"/>
    <s v="Очно"/>
    <n v="558690"/>
    <n v="24"/>
    <s v="PT-2206-053"/>
    <x v="5"/>
  </r>
  <r>
    <x v="0"/>
    <x v="5"/>
    <x v="0"/>
    <s v="Белова"/>
    <s v="Очно"/>
    <n v="336610"/>
    <n v="18"/>
    <s v="PT-2206-054"/>
    <x v="5"/>
  </r>
  <r>
    <x v="0"/>
    <x v="5"/>
    <x v="0"/>
    <s v="Белова"/>
    <s v="Онлайн"/>
    <n v="346820"/>
    <n v="26"/>
    <s v="PT-2206-055"/>
    <x v="5"/>
  </r>
  <r>
    <x v="0"/>
    <x v="5"/>
    <x v="0"/>
    <s v="Белова"/>
    <s v="Смешанный"/>
    <n v="585450"/>
    <n v="36"/>
    <s v="PT-2206-056"/>
    <x v="5"/>
  </r>
  <r>
    <x v="0"/>
    <x v="5"/>
    <x v="2"/>
    <s v="Белова"/>
    <s v="Онлайн"/>
    <n v="507640"/>
    <n v="32"/>
    <s v="PT-2206-057"/>
    <x v="5"/>
  </r>
  <r>
    <x v="0"/>
    <x v="5"/>
    <x v="3"/>
    <s v="Горин"/>
    <s v="Интенсив"/>
    <n v="700190"/>
    <n v="34"/>
    <s v="PT-2206-058"/>
    <x v="5"/>
  </r>
  <r>
    <x v="0"/>
    <x v="5"/>
    <x v="2"/>
    <s v="Артамонов"/>
    <s v="Смешанный"/>
    <n v="494240"/>
    <n v="27"/>
    <s v="PT-2206-059"/>
    <x v="5"/>
  </r>
  <r>
    <x v="0"/>
    <x v="5"/>
    <x v="1"/>
    <s v="Горин"/>
    <s v="Интенсив"/>
    <n v="547240"/>
    <n v="29"/>
    <s v="PT-2206-060"/>
    <x v="5"/>
  </r>
  <r>
    <x v="0"/>
    <x v="6"/>
    <x v="0"/>
    <s v="Белова"/>
    <s v="Интенсив"/>
    <n v="344860"/>
    <n v="16"/>
    <s v="PT-2207-061"/>
    <x v="6"/>
  </r>
  <r>
    <x v="0"/>
    <x v="6"/>
    <x v="2"/>
    <s v="Горин"/>
    <s v="Онлайн"/>
    <n v="249820"/>
    <n v="16"/>
    <s v="PT-2207-062"/>
    <x v="6"/>
  </r>
  <r>
    <x v="0"/>
    <x v="6"/>
    <x v="4"/>
    <s v="Артамонов"/>
    <s v="Смешанный"/>
    <n v="349440"/>
    <n v="27"/>
    <s v="PT-2207-063"/>
    <x v="6"/>
  </r>
  <r>
    <x v="0"/>
    <x v="6"/>
    <x v="1"/>
    <s v="Горин"/>
    <s v="Очно"/>
    <n v="245390"/>
    <n v="16"/>
    <s v="PT-2207-064"/>
    <x v="6"/>
  </r>
  <r>
    <x v="0"/>
    <x v="6"/>
    <x v="3"/>
    <s v="Смирнов"/>
    <s v="Онлайн"/>
    <n v="217110"/>
    <n v="16"/>
    <s v="PT-2207-065"/>
    <x v="6"/>
  </r>
  <r>
    <x v="0"/>
    <x v="6"/>
    <x v="1"/>
    <s v="Лаврова"/>
    <s v="Интенсив"/>
    <n v="729190"/>
    <n v="38"/>
    <s v="PT-2207-066"/>
    <x v="6"/>
  </r>
  <r>
    <x v="0"/>
    <x v="6"/>
    <x v="3"/>
    <s v="Горин"/>
    <s v="Очно"/>
    <n v="709350"/>
    <n v="39"/>
    <s v="PT-2207-067"/>
    <x v="6"/>
  </r>
  <r>
    <x v="0"/>
    <x v="6"/>
    <x v="1"/>
    <s v="Смирнов"/>
    <s v="Интенсив"/>
    <n v="272920"/>
    <n v="15"/>
    <s v="PT-2207-068"/>
    <x v="6"/>
  </r>
  <r>
    <x v="0"/>
    <x v="6"/>
    <x v="0"/>
    <s v="Горин"/>
    <s v="Смешанный"/>
    <n v="277500"/>
    <n v="17"/>
    <s v="PT-2207-069"/>
    <x v="6"/>
  </r>
  <r>
    <x v="0"/>
    <x v="6"/>
    <x v="3"/>
    <s v="Белова"/>
    <s v="Онлайн"/>
    <n v="365980"/>
    <n v="28"/>
    <s v="PT-2207-070"/>
    <x v="6"/>
  </r>
  <r>
    <x v="0"/>
    <x v="7"/>
    <x v="2"/>
    <s v="Горин"/>
    <s v="Интенсив"/>
    <n v="391170"/>
    <n v="15"/>
    <s v="PT-2208-071"/>
    <x v="7"/>
  </r>
  <r>
    <x v="0"/>
    <x v="7"/>
    <x v="0"/>
    <s v="Лаврова"/>
    <s v="Онлайн"/>
    <n v="504280"/>
    <n v="34"/>
    <s v="PT-2208-072"/>
    <x v="7"/>
  </r>
  <r>
    <x v="0"/>
    <x v="7"/>
    <x v="3"/>
    <s v="Артамонов"/>
    <s v="Очно"/>
    <n v="525930"/>
    <n v="29"/>
    <s v="PT-2208-073"/>
    <x v="7"/>
  </r>
  <r>
    <x v="0"/>
    <x v="7"/>
    <x v="4"/>
    <s v="Лаврова"/>
    <s v="Очно"/>
    <n v="439620"/>
    <n v="29"/>
    <s v="PT-2208-074"/>
    <x v="7"/>
  </r>
  <r>
    <x v="0"/>
    <x v="7"/>
    <x v="3"/>
    <s v="Горин"/>
    <s v="Интенсив"/>
    <n v="777640"/>
    <n v="38"/>
    <s v="PT-2208-075"/>
    <x v="7"/>
  </r>
  <r>
    <x v="0"/>
    <x v="7"/>
    <x v="0"/>
    <s v="Артамонов"/>
    <s v="Очно"/>
    <n v="340430"/>
    <n v="19"/>
    <s v="PT-2208-076"/>
    <x v="7"/>
  </r>
  <r>
    <x v="0"/>
    <x v="7"/>
    <x v="3"/>
    <s v="Лаврова"/>
    <s v="Интенсив"/>
    <n v="469960"/>
    <n v="22"/>
    <s v="PT-2208-077"/>
    <x v="7"/>
  </r>
  <r>
    <x v="0"/>
    <x v="7"/>
    <x v="4"/>
    <s v="Артамонов"/>
    <s v="Смешанный"/>
    <n v="205960"/>
    <n v="15"/>
    <s v="PT-2208-078"/>
    <x v="7"/>
  </r>
  <r>
    <x v="0"/>
    <x v="7"/>
    <x v="1"/>
    <s v="Горин"/>
    <s v="Очно"/>
    <n v="439200"/>
    <n v="26"/>
    <s v="PT-2208-079"/>
    <x v="7"/>
  </r>
  <r>
    <x v="0"/>
    <x v="7"/>
    <x v="0"/>
    <s v="Горин"/>
    <s v="Онлайн"/>
    <n v="420700"/>
    <n v="29"/>
    <s v="PT-2208-080"/>
    <x v="7"/>
  </r>
  <r>
    <x v="0"/>
    <x v="8"/>
    <x v="1"/>
    <s v="Артамонов"/>
    <s v="Онлайн"/>
    <n v="348110"/>
    <n v="29"/>
    <s v="PT-2209-081"/>
    <x v="8"/>
  </r>
  <r>
    <x v="0"/>
    <x v="8"/>
    <x v="3"/>
    <s v="Белова"/>
    <s v="Онлайн"/>
    <n v="318760"/>
    <n v="23"/>
    <s v="PT-2209-082"/>
    <x v="8"/>
  </r>
  <r>
    <x v="0"/>
    <x v="8"/>
    <x v="3"/>
    <s v="Горин"/>
    <s v="Интенсив"/>
    <n v="263220"/>
    <n v="13"/>
    <s v="PT-2209-083"/>
    <x v="8"/>
  </r>
  <r>
    <x v="0"/>
    <x v="8"/>
    <x v="0"/>
    <s v="Лаврова"/>
    <s v="Смешанный"/>
    <n v="438740"/>
    <n v="27"/>
    <s v="PT-2209-084"/>
    <x v="8"/>
  </r>
  <r>
    <x v="0"/>
    <x v="8"/>
    <x v="4"/>
    <s v="Лаврова"/>
    <s v="Очно"/>
    <n v="579020"/>
    <n v="36"/>
    <s v="PT-2209-085"/>
    <x v="8"/>
  </r>
  <r>
    <x v="0"/>
    <x v="8"/>
    <x v="2"/>
    <s v="Горин"/>
    <s v="Очно"/>
    <n v="826170"/>
    <n v="37"/>
    <s v="PT-2209-086"/>
    <x v="8"/>
  </r>
  <r>
    <x v="0"/>
    <x v="8"/>
    <x v="3"/>
    <s v="Белова"/>
    <s v="Онлайн"/>
    <n v="261580"/>
    <n v="20"/>
    <s v="PT-2209-087"/>
    <x v="8"/>
  </r>
  <r>
    <x v="0"/>
    <x v="8"/>
    <x v="4"/>
    <s v="Артамонов"/>
    <s v="Очно"/>
    <n v="234970"/>
    <n v="16"/>
    <s v="PT-2209-088"/>
    <x v="8"/>
  </r>
  <r>
    <x v="0"/>
    <x v="8"/>
    <x v="2"/>
    <s v="Горин"/>
    <s v="Онлайн"/>
    <n v="310700"/>
    <n v="19"/>
    <s v="PT-2209-089"/>
    <x v="8"/>
  </r>
  <r>
    <x v="0"/>
    <x v="8"/>
    <x v="0"/>
    <s v="Белова"/>
    <s v="Смешанный"/>
    <n v="207950"/>
    <n v="13"/>
    <s v="PT-2209-090"/>
    <x v="8"/>
  </r>
  <r>
    <x v="0"/>
    <x v="9"/>
    <x v="4"/>
    <s v="Белова"/>
    <s v="Очно"/>
    <n v="324280"/>
    <n v="22"/>
    <s v="PT-2210-091"/>
    <x v="9"/>
  </r>
  <r>
    <x v="0"/>
    <x v="9"/>
    <x v="3"/>
    <s v="Артамонов"/>
    <s v="Смешанный"/>
    <n v="561590"/>
    <n v="38"/>
    <s v="PT-2210-092"/>
    <x v="9"/>
  </r>
  <r>
    <x v="0"/>
    <x v="9"/>
    <x v="0"/>
    <s v="Смирнов"/>
    <s v="Интенсив"/>
    <n v="734730"/>
    <n v="32"/>
    <s v="PT-2210-093"/>
    <x v="9"/>
  </r>
  <r>
    <x v="0"/>
    <x v="9"/>
    <x v="1"/>
    <s v="Лаврова"/>
    <s v="Интенсив"/>
    <n v="683950"/>
    <n v="36"/>
    <s v="PT-2210-094"/>
    <x v="9"/>
  </r>
  <r>
    <x v="0"/>
    <x v="9"/>
    <x v="0"/>
    <s v="Лаврова"/>
    <s v="Очно"/>
    <n v="498040"/>
    <n v="26"/>
    <s v="PT-2210-095"/>
    <x v="9"/>
  </r>
  <r>
    <x v="0"/>
    <x v="9"/>
    <x v="1"/>
    <s v="Белова"/>
    <s v="Смешанный"/>
    <n v="553490"/>
    <n v="41"/>
    <s v="PT-2210-096"/>
    <x v="9"/>
  </r>
  <r>
    <x v="0"/>
    <x v="9"/>
    <x v="2"/>
    <s v="Лаврова"/>
    <s v="Онлайн"/>
    <n v="469050"/>
    <n v="27"/>
    <s v="PT-2210-097"/>
    <x v="9"/>
  </r>
  <r>
    <x v="0"/>
    <x v="9"/>
    <x v="1"/>
    <s v="Лаврова"/>
    <s v="Смешанный"/>
    <n v="314410"/>
    <n v="21"/>
    <s v="PT-2210-098"/>
    <x v="9"/>
  </r>
  <r>
    <x v="0"/>
    <x v="9"/>
    <x v="1"/>
    <s v="Смирнов"/>
    <s v="Онлайн"/>
    <n v="444330"/>
    <n v="37"/>
    <s v="PT-2210-099"/>
    <x v="9"/>
  </r>
  <r>
    <x v="0"/>
    <x v="9"/>
    <x v="1"/>
    <s v="Артамонов"/>
    <s v="Очно"/>
    <n v="264590"/>
    <n v="17"/>
    <s v="PT-2210-100"/>
    <x v="9"/>
  </r>
  <r>
    <x v="0"/>
    <x v="10"/>
    <x v="2"/>
    <s v="Горин"/>
    <s v="Интенсив"/>
    <n v="698350"/>
    <n v="27"/>
    <s v="PT-2211-101"/>
    <x v="10"/>
  </r>
  <r>
    <x v="0"/>
    <x v="10"/>
    <x v="2"/>
    <s v="Артамонов"/>
    <s v="Интенсив"/>
    <n v="743230"/>
    <n v="30"/>
    <s v="PT-2211-102"/>
    <x v="10"/>
  </r>
  <r>
    <x v="0"/>
    <x v="10"/>
    <x v="0"/>
    <s v="Горин"/>
    <s v="Онлайн"/>
    <n v="390590"/>
    <n v="28"/>
    <s v="PT-2211-103"/>
    <x v="10"/>
  </r>
  <r>
    <x v="0"/>
    <x v="10"/>
    <x v="4"/>
    <s v="Лаврова"/>
    <s v="Интенсив"/>
    <n v="620670"/>
    <n v="34"/>
    <s v="PT-2211-104"/>
    <x v="10"/>
  </r>
  <r>
    <x v="0"/>
    <x v="10"/>
    <x v="1"/>
    <s v="Горин"/>
    <s v="Интенсив"/>
    <n v="745810"/>
    <n v="39"/>
    <s v="PT-2211-105"/>
    <x v="10"/>
  </r>
  <r>
    <x v="0"/>
    <x v="10"/>
    <x v="1"/>
    <s v="Лаврова"/>
    <s v="Смешанный"/>
    <n v="319370"/>
    <n v="23"/>
    <s v="PT-2211-106"/>
    <x v="10"/>
  </r>
  <r>
    <x v="0"/>
    <x v="10"/>
    <x v="0"/>
    <s v="Белова"/>
    <s v="Смешанный"/>
    <n v="254240"/>
    <n v="15"/>
    <s v="PT-2211-107"/>
    <x v="10"/>
  </r>
  <r>
    <x v="0"/>
    <x v="10"/>
    <x v="2"/>
    <s v="Артамонов"/>
    <s v="Очно"/>
    <n v="568030"/>
    <n v="27"/>
    <s v="PT-2211-108"/>
    <x v="10"/>
  </r>
  <r>
    <x v="0"/>
    <x v="10"/>
    <x v="0"/>
    <s v="Белова"/>
    <s v="Интенсив"/>
    <n v="683130"/>
    <n v="32"/>
    <s v="PT-2211-109"/>
    <x v="10"/>
  </r>
  <r>
    <x v="0"/>
    <x v="10"/>
    <x v="4"/>
    <s v="Белова"/>
    <s v="Очно"/>
    <n v="348330"/>
    <n v="24"/>
    <s v="PT-2211-110"/>
    <x v="10"/>
  </r>
  <r>
    <x v="0"/>
    <x v="11"/>
    <x v="3"/>
    <s v="Горин"/>
    <s v="Очно"/>
    <n v="724970"/>
    <n v="41"/>
    <s v="PT-2212-111"/>
    <x v="11"/>
  </r>
  <r>
    <x v="0"/>
    <x v="11"/>
    <x v="1"/>
    <s v="Горин"/>
    <s v="Онлайн"/>
    <n v="334910"/>
    <n v="28"/>
    <s v="PT-2212-112"/>
    <x v="11"/>
  </r>
  <r>
    <x v="0"/>
    <x v="11"/>
    <x v="0"/>
    <s v="Артамонов"/>
    <s v="Онлайн"/>
    <n v="380170"/>
    <n v="29"/>
    <s v="PT-2212-113"/>
    <x v="11"/>
  </r>
  <r>
    <x v="0"/>
    <x v="11"/>
    <x v="3"/>
    <s v="Смирнов"/>
    <s v="Интенсив"/>
    <n v="326620"/>
    <n v="16"/>
    <s v="PT-2212-114"/>
    <x v="11"/>
  </r>
  <r>
    <x v="0"/>
    <x v="11"/>
    <x v="1"/>
    <s v="Горин"/>
    <s v="Интенсив"/>
    <n v="591640"/>
    <n v="31"/>
    <s v="PT-2212-115"/>
    <x v="11"/>
  </r>
  <r>
    <x v="0"/>
    <x v="11"/>
    <x v="4"/>
    <s v="Артамонов"/>
    <s v="Интенсив"/>
    <n v="191220"/>
    <n v="12"/>
    <s v="PT-2212-116"/>
    <x v="11"/>
  </r>
  <r>
    <x v="0"/>
    <x v="11"/>
    <x v="0"/>
    <s v="Артамонов"/>
    <s v="Интенсив"/>
    <n v="365210"/>
    <n v="18"/>
    <s v="PT-2212-117"/>
    <x v="11"/>
  </r>
  <r>
    <x v="0"/>
    <x v="11"/>
    <x v="3"/>
    <s v="Артамонов"/>
    <s v="Смешанный"/>
    <n v="312000"/>
    <n v="22"/>
    <s v="PT-2212-118"/>
    <x v="11"/>
  </r>
  <r>
    <x v="0"/>
    <x v="11"/>
    <x v="0"/>
    <s v="Смирнов"/>
    <s v="Очно"/>
    <n v="757120"/>
    <n v="38"/>
    <s v="PT-2212-119"/>
    <x v="11"/>
  </r>
  <r>
    <x v="0"/>
    <x v="11"/>
    <x v="1"/>
    <s v="Белова"/>
    <s v="Очно"/>
    <n v="338630"/>
    <n v="21"/>
    <s v="PT-2212-120"/>
    <x v="11"/>
  </r>
  <r>
    <x v="1"/>
    <x v="0"/>
    <x v="2"/>
    <s v="Лаврова"/>
    <s v="Очно"/>
    <n v="918250"/>
    <n v="40"/>
    <s v="PT-2301-121"/>
    <x v="0"/>
  </r>
  <r>
    <x v="1"/>
    <x v="0"/>
    <x v="3"/>
    <s v="Смирнов"/>
    <s v="Очно"/>
    <n v="701990"/>
    <n v="37"/>
    <s v="PT-2301-122"/>
    <x v="0"/>
  </r>
  <r>
    <x v="1"/>
    <x v="0"/>
    <x v="3"/>
    <s v="Горин"/>
    <s v="Интенсив"/>
    <n v="337150"/>
    <n v="17"/>
    <s v="PT-2301-123"/>
    <x v="0"/>
  </r>
  <r>
    <x v="1"/>
    <x v="0"/>
    <x v="0"/>
    <s v="Лаврова"/>
    <s v="Смешанный"/>
    <n v="438160"/>
    <n v="27"/>
    <s v="PT-2301-124"/>
    <x v="0"/>
  </r>
  <r>
    <x v="1"/>
    <x v="0"/>
    <x v="3"/>
    <s v="Смирнов"/>
    <s v="Интенсив"/>
    <n v="469810"/>
    <n v="22"/>
    <s v="PT-2301-125"/>
    <x v="0"/>
  </r>
  <r>
    <x v="1"/>
    <x v="0"/>
    <x v="2"/>
    <s v="Смирнов"/>
    <s v="Смешанный"/>
    <n v="219680"/>
    <n v="12"/>
    <s v="PT-2301-126"/>
    <x v="0"/>
  </r>
  <r>
    <x v="1"/>
    <x v="0"/>
    <x v="1"/>
    <s v="Артамонов"/>
    <s v="Очно"/>
    <n v="208620"/>
    <n v="12"/>
    <s v="PT-2301-127"/>
    <x v="0"/>
  </r>
  <r>
    <x v="1"/>
    <x v="0"/>
    <x v="0"/>
    <s v="Артамонов"/>
    <s v="Смешанный"/>
    <n v="237350"/>
    <n v="14"/>
    <s v="PT-2301-128"/>
    <x v="0"/>
  </r>
  <r>
    <x v="1"/>
    <x v="0"/>
    <x v="3"/>
    <s v="Горин"/>
    <s v="Интенсив"/>
    <n v="504610"/>
    <n v="24"/>
    <s v="PT-2301-129"/>
    <x v="0"/>
  </r>
  <r>
    <x v="1"/>
    <x v="0"/>
    <x v="4"/>
    <s v="Белова"/>
    <s v="Смешанный"/>
    <n v="304410"/>
    <n v="24"/>
    <s v="PT-2301-130"/>
    <x v="0"/>
  </r>
  <r>
    <x v="1"/>
    <x v="1"/>
    <x v="0"/>
    <s v="Белова"/>
    <s v="Интенсив"/>
    <n v="512150"/>
    <n v="24"/>
    <s v="PT-2302-131"/>
    <x v="1"/>
  </r>
  <r>
    <x v="1"/>
    <x v="1"/>
    <x v="1"/>
    <s v="Артамонов"/>
    <s v="Смешанный"/>
    <n v="419660"/>
    <n v="32"/>
    <s v="PT-2302-132"/>
    <x v="1"/>
  </r>
  <r>
    <x v="1"/>
    <x v="1"/>
    <x v="4"/>
    <s v="Горин"/>
    <s v="Смешанный"/>
    <n v="433030"/>
    <n v="33"/>
    <s v="PT-2302-133"/>
    <x v="1"/>
  </r>
  <r>
    <x v="1"/>
    <x v="1"/>
    <x v="2"/>
    <s v="Белова"/>
    <s v="Онлайн"/>
    <n v="678440"/>
    <n v="41"/>
    <s v="PT-2302-134"/>
    <x v="1"/>
  </r>
  <r>
    <x v="1"/>
    <x v="1"/>
    <x v="0"/>
    <s v="Лаврова"/>
    <s v="Онлайн"/>
    <n v="350970"/>
    <n v="24"/>
    <s v="PT-2302-135"/>
    <x v="1"/>
  </r>
  <r>
    <x v="1"/>
    <x v="1"/>
    <x v="1"/>
    <s v="Артамонов"/>
    <s v="Смешанный"/>
    <n v="190830"/>
    <n v="14"/>
    <s v="PT-2302-136"/>
    <x v="1"/>
  </r>
  <r>
    <x v="1"/>
    <x v="1"/>
    <x v="3"/>
    <s v="Горин"/>
    <s v="Очно"/>
    <n v="675160"/>
    <n v="38"/>
    <s v="PT-2302-137"/>
    <x v="1"/>
  </r>
  <r>
    <x v="1"/>
    <x v="1"/>
    <x v="1"/>
    <s v="Лаврова"/>
    <s v="Интенсив"/>
    <n v="767100"/>
    <n v="41"/>
    <s v="PT-2302-138"/>
    <x v="1"/>
  </r>
  <r>
    <x v="1"/>
    <x v="1"/>
    <x v="1"/>
    <s v="Смирнов"/>
    <s v="Смешанный"/>
    <n v="417130"/>
    <n v="29"/>
    <s v="PT-2302-139"/>
    <x v="1"/>
  </r>
  <r>
    <x v="1"/>
    <x v="1"/>
    <x v="4"/>
    <s v="Белова"/>
    <s v="Смешанный"/>
    <n v="376540"/>
    <n v="29"/>
    <s v="PT-2302-140"/>
    <x v="1"/>
  </r>
  <r>
    <x v="1"/>
    <x v="2"/>
    <x v="1"/>
    <s v="Лаврова"/>
    <s v="Онлайн"/>
    <n v="195860"/>
    <n v="15"/>
    <s v="PT-2303-141"/>
    <x v="2"/>
  </r>
  <r>
    <x v="1"/>
    <x v="2"/>
    <x v="2"/>
    <s v="Горин"/>
    <s v="Онлайн"/>
    <n v="353700"/>
    <n v="21"/>
    <s v="PT-2303-142"/>
    <x v="2"/>
  </r>
  <r>
    <x v="1"/>
    <x v="2"/>
    <x v="1"/>
    <s v="Горин"/>
    <s v="Очно"/>
    <n v="249440"/>
    <n v="16"/>
    <s v="PT-2303-143"/>
    <x v="2"/>
  </r>
  <r>
    <x v="1"/>
    <x v="2"/>
    <x v="1"/>
    <s v="Смирнов"/>
    <s v="Очно"/>
    <n v="685210"/>
    <n v="41"/>
    <s v="PT-2303-144"/>
    <x v="2"/>
  </r>
  <r>
    <x v="1"/>
    <x v="2"/>
    <x v="2"/>
    <s v="Смирнов"/>
    <s v="Очно"/>
    <n v="796430"/>
    <n v="34"/>
    <s v="PT-2303-145"/>
    <x v="2"/>
  </r>
  <r>
    <x v="1"/>
    <x v="2"/>
    <x v="2"/>
    <s v="Горин"/>
    <s v="Интенсив"/>
    <n v="642290"/>
    <n v="25"/>
    <s v="PT-2303-146"/>
    <x v="2"/>
  </r>
  <r>
    <x v="1"/>
    <x v="2"/>
    <x v="0"/>
    <s v="Артамонов"/>
    <s v="Интенсив"/>
    <n v="456480"/>
    <n v="22"/>
    <s v="PT-2303-147"/>
    <x v="2"/>
  </r>
  <r>
    <x v="1"/>
    <x v="2"/>
    <x v="3"/>
    <s v="Лаврова"/>
    <s v="Очно"/>
    <n v="741130"/>
    <n v="40"/>
    <s v="PT-2303-148"/>
    <x v="2"/>
  </r>
  <r>
    <x v="1"/>
    <x v="2"/>
    <x v="2"/>
    <s v="Артамонов"/>
    <s v="Смешанный"/>
    <n v="724740"/>
    <n v="39"/>
    <s v="PT-2303-149"/>
    <x v="2"/>
  </r>
  <r>
    <x v="1"/>
    <x v="2"/>
    <x v="4"/>
    <s v="Горин"/>
    <s v="Интенсив"/>
    <n v="449600"/>
    <n v="25"/>
    <s v="PT-2303-150"/>
    <x v="2"/>
  </r>
  <r>
    <x v="1"/>
    <x v="3"/>
    <x v="1"/>
    <s v="Горин"/>
    <s v="Интенсив"/>
    <n v="721860"/>
    <n v="38"/>
    <s v="PT-2304-151"/>
    <x v="3"/>
  </r>
  <r>
    <x v="1"/>
    <x v="3"/>
    <x v="3"/>
    <s v="Горин"/>
    <s v="Очно"/>
    <n v="478270"/>
    <n v="26"/>
    <s v="PT-2304-152"/>
    <x v="3"/>
  </r>
  <r>
    <x v="1"/>
    <x v="3"/>
    <x v="2"/>
    <s v="Смирнов"/>
    <s v="Интенсив"/>
    <n v="520780"/>
    <n v="20"/>
    <s v="PT-2304-153"/>
    <x v="3"/>
  </r>
  <r>
    <x v="1"/>
    <x v="3"/>
    <x v="0"/>
    <s v="Лаврова"/>
    <s v="Смешанный"/>
    <n v="252410"/>
    <n v="16"/>
    <s v="PT-2304-154"/>
    <x v="3"/>
  </r>
  <r>
    <x v="1"/>
    <x v="3"/>
    <x v="4"/>
    <s v="Белова"/>
    <s v="Онлайн"/>
    <n v="454970"/>
    <n v="42"/>
    <s v="PT-2304-155"/>
    <x v="3"/>
  </r>
  <r>
    <x v="1"/>
    <x v="3"/>
    <x v="3"/>
    <s v="Смирнов"/>
    <s v="Онлайн"/>
    <n v="404100"/>
    <n v="30"/>
    <s v="PT-2304-156"/>
    <x v="3"/>
  </r>
  <r>
    <x v="1"/>
    <x v="3"/>
    <x v="0"/>
    <s v="Смирнов"/>
    <s v="Очно"/>
    <n v="524630"/>
    <n v="27"/>
    <s v="PT-2304-157"/>
    <x v="3"/>
  </r>
  <r>
    <x v="1"/>
    <x v="3"/>
    <x v="4"/>
    <s v="Белова"/>
    <s v="Очно"/>
    <n v="210160"/>
    <n v="13"/>
    <s v="PT-2304-158"/>
    <x v="3"/>
  </r>
  <r>
    <x v="1"/>
    <x v="3"/>
    <x v="1"/>
    <s v="Белова"/>
    <s v="Онлайн"/>
    <n v="367470"/>
    <n v="30"/>
    <s v="PT-2304-159"/>
    <x v="3"/>
  </r>
  <r>
    <x v="1"/>
    <x v="3"/>
    <x v="2"/>
    <s v="Смирнов"/>
    <s v="Онлайн"/>
    <n v="277070"/>
    <n v="17"/>
    <s v="PT-2304-160"/>
    <x v="3"/>
  </r>
  <r>
    <x v="1"/>
    <x v="4"/>
    <x v="2"/>
    <s v="Белова"/>
    <s v="Очно"/>
    <n v="764240"/>
    <n v="35"/>
    <s v="PT-2305-161"/>
    <x v="4"/>
  </r>
  <r>
    <x v="1"/>
    <x v="4"/>
    <x v="1"/>
    <s v="Лаврова"/>
    <s v="Смешанный"/>
    <n v="231050"/>
    <n v="17"/>
    <s v="PT-2305-162"/>
    <x v="4"/>
  </r>
  <r>
    <x v="1"/>
    <x v="4"/>
    <x v="1"/>
    <s v="Горин"/>
    <s v="Интенсив"/>
    <n v="391250"/>
    <n v="20"/>
    <s v="PT-2305-163"/>
    <x v="4"/>
  </r>
  <r>
    <x v="1"/>
    <x v="4"/>
    <x v="3"/>
    <s v="Лаврова"/>
    <s v="Смешанный"/>
    <n v="559360"/>
    <n v="36"/>
    <s v="PT-2305-164"/>
    <x v="4"/>
  </r>
  <r>
    <x v="1"/>
    <x v="4"/>
    <x v="1"/>
    <s v="Горин"/>
    <s v="Онлайн"/>
    <n v="152080"/>
    <n v="13"/>
    <s v="PT-2305-165"/>
    <x v="4"/>
  </r>
  <r>
    <x v="1"/>
    <x v="4"/>
    <x v="2"/>
    <s v="Лаврова"/>
    <s v="Смешанный"/>
    <n v="253050"/>
    <n v="14"/>
    <s v="PT-2305-166"/>
    <x v="4"/>
  </r>
  <r>
    <x v="1"/>
    <x v="4"/>
    <x v="4"/>
    <s v="Артамонов"/>
    <s v="Интенсив"/>
    <n v="476680"/>
    <n v="27"/>
    <s v="PT-2305-167"/>
    <x v="4"/>
  </r>
  <r>
    <x v="1"/>
    <x v="4"/>
    <x v="3"/>
    <s v="Белова"/>
    <s v="Онлайн"/>
    <n v="312570"/>
    <n v="23"/>
    <s v="PT-2305-168"/>
    <x v="4"/>
  </r>
  <r>
    <x v="1"/>
    <x v="4"/>
    <x v="4"/>
    <s v="Артамонов"/>
    <s v="Очно"/>
    <n v="336920"/>
    <n v="22"/>
    <s v="PT-2305-169"/>
    <x v="4"/>
  </r>
  <r>
    <x v="1"/>
    <x v="4"/>
    <x v="1"/>
    <s v="Смирнов"/>
    <s v="Смешанный"/>
    <n v="540920"/>
    <n v="37"/>
    <s v="PT-2305-170"/>
    <x v="4"/>
  </r>
  <r>
    <x v="1"/>
    <x v="5"/>
    <x v="0"/>
    <s v="Артамонов"/>
    <s v="Онлайн"/>
    <n v="312990"/>
    <n v="24"/>
    <s v="PT-2306-171"/>
    <x v="5"/>
  </r>
  <r>
    <x v="1"/>
    <x v="5"/>
    <x v="0"/>
    <s v="Лаврова"/>
    <s v="Очно"/>
    <n v="269050"/>
    <n v="13"/>
    <s v="PT-2306-172"/>
    <x v="5"/>
  </r>
  <r>
    <x v="1"/>
    <x v="5"/>
    <x v="3"/>
    <s v="Артамонов"/>
    <s v="Смешанный"/>
    <n v="380090"/>
    <n v="26"/>
    <s v="PT-2306-173"/>
    <x v="5"/>
  </r>
  <r>
    <x v="1"/>
    <x v="5"/>
    <x v="1"/>
    <s v="Артамонов"/>
    <s v="Очно"/>
    <n v="524860"/>
    <n v="33"/>
    <s v="PT-2306-174"/>
    <x v="5"/>
  </r>
  <r>
    <x v="1"/>
    <x v="5"/>
    <x v="4"/>
    <s v="Артамонов"/>
    <s v="Смешанный"/>
    <n v="468110"/>
    <n v="37"/>
    <s v="PT-2306-175"/>
    <x v="5"/>
  </r>
  <r>
    <x v="1"/>
    <x v="5"/>
    <x v="1"/>
    <s v="Артамонов"/>
    <s v="Очно"/>
    <n v="501960"/>
    <n v="31"/>
    <s v="PT-2306-176"/>
    <x v="5"/>
  </r>
  <r>
    <x v="1"/>
    <x v="5"/>
    <x v="2"/>
    <s v="Смирнов"/>
    <s v="Интенсив"/>
    <n v="317120"/>
    <n v="12"/>
    <s v="PT-2306-177"/>
    <x v="5"/>
  </r>
  <r>
    <x v="1"/>
    <x v="5"/>
    <x v="4"/>
    <s v="Смирнов"/>
    <s v="Интенсив"/>
    <n v="587920"/>
    <n v="33"/>
    <s v="PT-2306-178"/>
    <x v="5"/>
  </r>
  <r>
    <x v="1"/>
    <x v="5"/>
    <x v="4"/>
    <s v="Смирнов"/>
    <s v="Смешанный"/>
    <n v="172580"/>
    <n v="14"/>
    <s v="PT-2306-179"/>
    <x v="5"/>
  </r>
  <r>
    <x v="1"/>
    <x v="5"/>
    <x v="3"/>
    <s v="Смирнов"/>
    <s v="Смешанный"/>
    <n v="523340"/>
    <n v="34"/>
    <s v="PT-2306-180"/>
    <x v="5"/>
  </r>
  <r>
    <x v="1"/>
    <x v="6"/>
    <x v="2"/>
    <s v="Артамонов"/>
    <s v="Интенсив"/>
    <n v="931210"/>
    <n v="38"/>
    <s v="PT-2307-181"/>
    <x v="6"/>
  </r>
  <r>
    <x v="1"/>
    <x v="6"/>
    <x v="4"/>
    <s v="Белова"/>
    <s v="Очно"/>
    <n v="615390"/>
    <n v="40"/>
    <s v="PT-2307-182"/>
    <x v="6"/>
  </r>
  <r>
    <x v="1"/>
    <x v="6"/>
    <x v="0"/>
    <s v="Смирнов"/>
    <s v="Онлайн"/>
    <n v="185980"/>
    <n v="13"/>
    <s v="PT-2307-183"/>
    <x v="6"/>
  </r>
  <r>
    <x v="1"/>
    <x v="6"/>
    <x v="1"/>
    <s v="Смирнов"/>
    <s v="Очно"/>
    <n v="310710"/>
    <n v="19"/>
    <s v="PT-2307-184"/>
    <x v="6"/>
  </r>
  <r>
    <x v="1"/>
    <x v="6"/>
    <x v="0"/>
    <s v="Белова"/>
    <s v="Очно"/>
    <n v="633570"/>
    <n v="34"/>
    <s v="PT-2307-185"/>
    <x v="6"/>
  </r>
  <r>
    <x v="1"/>
    <x v="6"/>
    <x v="4"/>
    <s v="Белова"/>
    <s v="Смешанный"/>
    <n v="284770"/>
    <n v="21"/>
    <s v="PT-2307-186"/>
    <x v="6"/>
  </r>
  <r>
    <x v="1"/>
    <x v="6"/>
    <x v="3"/>
    <s v="Смирнов"/>
    <s v="Очно"/>
    <n v="227240"/>
    <n v="13"/>
    <s v="PT-2307-187"/>
    <x v="6"/>
  </r>
  <r>
    <x v="1"/>
    <x v="6"/>
    <x v="2"/>
    <s v="Артамонов"/>
    <s v="Интенсив"/>
    <n v="944710"/>
    <n v="38"/>
    <s v="PT-2307-188"/>
    <x v="6"/>
  </r>
  <r>
    <x v="1"/>
    <x v="6"/>
    <x v="2"/>
    <s v="Артамонов"/>
    <s v="Интенсив"/>
    <n v="682750"/>
    <n v="27"/>
    <s v="PT-2307-189"/>
    <x v="6"/>
  </r>
  <r>
    <x v="1"/>
    <x v="6"/>
    <x v="1"/>
    <s v="Артамонов"/>
    <s v="Смешанный"/>
    <n v="485010"/>
    <n v="36"/>
    <s v="PT-2307-190"/>
    <x v="6"/>
  </r>
  <r>
    <x v="1"/>
    <x v="7"/>
    <x v="4"/>
    <s v="Артамонов"/>
    <s v="Очно"/>
    <n v="346460"/>
    <n v="23"/>
    <s v="PT-2308-191"/>
    <x v="7"/>
  </r>
  <r>
    <x v="1"/>
    <x v="7"/>
    <x v="0"/>
    <s v="Лаврова"/>
    <s v="Очно"/>
    <n v="549430"/>
    <n v="28"/>
    <s v="PT-2308-192"/>
    <x v="7"/>
  </r>
  <r>
    <x v="1"/>
    <x v="7"/>
    <x v="0"/>
    <s v="Смирнов"/>
    <s v="Смешанный"/>
    <n v="251100"/>
    <n v="16"/>
    <s v="PT-2308-193"/>
    <x v="7"/>
  </r>
  <r>
    <x v="1"/>
    <x v="7"/>
    <x v="0"/>
    <s v="Белова"/>
    <s v="Очно"/>
    <n v="270050"/>
    <n v="15"/>
    <s v="PT-2308-194"/>
    <x v="7"/>
  </r>
  <r>
    <x v="1"/>
    <x v="7"/>
    <x v="4"/>
    <s v="Белова"/>
    <s v="Очно"/>
    <n v="548750"/>
    <n v="36"/>
    <s v="PT-2308-195"/>
    <x v="7"/>
  </r>
  <r>
    <x v="1"/>
    <x v="7"/>
    <x v="0"/>
    <s v="Горин"/>
    <s v="Интенсив"/>
    <n v="418570"/>
    <n v="19"/>
    <s v="PT-2308-196"/>
    <x v="7"/>
  </r>
  <r>
    <x v="1"/>
    <x v="7"/>
    <x v="4"/>
    <s v="Белова"/>
    <s v="Интенсив"/>
    <n v="256180"/>
    <n v="14"/>
    <s v="PT-2308-197"/>
    <x v="7"/>
  </r>
  <r>
    <x v="1"/>
    <x v="7"/>
    <x v="2"/>
    <s v="Артамонов"/>
    <s v="Онлайн"/>
    <n v="565640"/>
    <n v="35"/>
    <s v="PT-2308-198"/>
    <x v="7"/>
  </r>
  <r>
    <x v="1"/>
    <x v="7"/>
    <x v="0"/>
    <s v="Артамонов"/>
    <s v="Онлайн"/>
    <n v="379910"/>
    <n v="29"/>
    <s v="PT-2308-199"/>
    <x v="7"/>
  </r>
  <r>
    <x v="1"/>
    <x v="7"/>
    <x v="0"/>
    <s v="Артамонов"/>
    <s v="Онлайн"/>
    <n v="376720"/>
    <n v="27"/>
    <s v="PT-2308-200"/>
    <x v="7"/>
  </r>
  <r>
    <x v="1"/>
    <x v="8"/>
    <x v="4"/>
    <s v="Белова"/>
    <s v="Интенсив"/>
    <n v="573950"/>
    <n v="34"/>
    <s v="PT-2309-201"/>
    <x v="8"/>
  </r>
  <r>
    <x v="1"/>
    <x v="8"/>
    <x v="2"/>
    <s v="Белова"/>
    <s v="Интенсив"/>
    <n v="1005920"/>
    <n v="40"/>
    <s v="PT-2309-202"/>
    <x v="8"/>
  </r>
  <r>
    <x v="1"/>
    <x v="8"/>
    <x v="1"/>
    <s v="Белова"/>
    <s v="Интенсив"/>
    <n v="714390"/>
    <n v="38"/>
    <s v="PT-2309-203"/>
    <x v="8"/>
  </r>
  <r>
    <x v="1"/>
    <x v="8"/>
    <x v="1"/>
    <s v="Смирнов"/>
    <s v="Смешанный"/>
    <n v="520410"/>
    <n v="37"/>
    <s v="PT-2309-204"/>
    <x v="8"/>
  </r>
  <r>
    <x v="1"/>
    <x v="8"/>
    <x v="2"/>
    <s v="Артамонов"/>
    <s v="Смешанный"/>
    <n v="520880"/>
    <n v="29"/>
    <s v="PT-2309-205"/>
    <x v="8"/>
  </r>
  <r>
    <x v="1"/>
    <x v="8"/>
    <x v="4"/>
    <s v="Белова"/>
    <s v="Интенсив"/>
    <n v="504960"/>
    <n v="28"/>
    <s v="PT-2309-206"/>
    <x v="8"/>
  </r>
  <r>
    <x v="1"/>
    <x v="8"/>
    <x v="1"/>
    <s v="Смирнов"/>
    <s v="Смешанный"/>
    <n v="340400"/>
    <n v="24"/>
    <s v="PT-2309-207"/>
    <x v="8"/>
  </r>
  <r>
    <x v="1"/>
    <x v="8"/>
    <x v="4"/>
    <s v="Смирнов"/>
    <s v="Смешанный"/>
    <n v="333020"/>
    <n v="26"/>
    <s v="PT-2309-208"/>
    <x v="8"/>
  </r>
  <r>
    <x v="1"/>
    <x v="8"/>
    <x v="1"/>
    <s v="Смирнов"/>
    <s v="Онлайн"/>
    <n v="539650"/>
    <n v="42"/>
    <s v="PT-2309-209"/>
    <x v="8"/>
  </r>
  <r>
    <x v="1"/>
    <x v="8"/>
    <x v="0"/>
    <s v="Смирнов"/>
    <s v="Смешанный"/>
    <n v="389060"/>
    <n v="24"/>
    <s v="PT-2309-210"/>
    <x v="8"/>
  </r>
  <r>
    <x v="1"/>
    <x v="9"/>
    <x v="0"/>
    <s v="Белова"/>
    <s v="Смешанный"/>
    <n v="238880"/>
    <n v="14"/>
    <s v="PT-2310-211"/>
    <x v="9"/>
  </r>
  <r>
    <x v="1"/>
    <x v="9"/>
    <x v="2"/>
    <s v="Артамонов"/>
    <s v="Онлайн"/>
    <n v="307580"/>
    <n v="19"/>
    <s v="PT-2310-212"/>
    <x v="9"/>
  </r>
  <r>
    <x v="1"/>
    <x v="9"/>
    <x v="3"/>
    <s v="Лаврова"/>
    <s v="Смешанный"/>
    <n v="622600"/>
    <n v="39"/>
    <s v="PT-2310-213"/>
    <x v="9"/>
  </r>
  <r>
    <x v="1"/>
    <x v="9"/>
    <x v="3"/>
    <s v="Лаврова"/>
    <s v="Онлайн"/>
    <n v="536350"/>
    <n v="39"/>
    <s v="PT-2310-214"/>
    <x v="9"/>
  </r>
  <r>
    <x v="1"/>
    <x v="9"/>
    <x v="4"/>
    <s v="Белова"/>
    <s v="Очно"/>
    <n v="584200"/>
    <n v="39"/>
    <s v="PT-2310-215"/>
    <x v="9"/>
  </r>
  <r>
    <x v="1"/>
    <x v="9"/>
    <x v="1"/>
    <s v="Смирнов"/>
    <s v="Интенсив"/>
    <n v="686360"/>
    <n v="36"/>
    <s v="PT-2310-216"/>
    <x v="9"/>
  </r>
  <r>
    <x v="1"/>
    <x v="9"/>
    <x v="2"/>
    <s v="Белова"/>
    <s v="Онлайн"/>
    <n v="290410"/>
    <n v="17"/>
    <s v="PT-2310-217"/>
    <x v="9"/>
  </r>
  <r>
    <x v="1"/>
    <x v="9"/>
    <x v="2"/>
    <s v="Лаврова"/>
    <s v="Смешанный"/>
    <n v="360970"/>
    <n v="18"/>
    <s v="PT-2310-218"/>
    <x v="9"/>
  </r>
  <r>
    <x v="1"/>
    <x v="9"/>
    <x v="4"/>
    <s v="Белова"/>
    <s v="Интенсив"/>
    <n v="466580"/>
    <n v="27"/>
    <s v="PT-2310-219"/>
    <x v="9"/>
  </r>
  <r>
    <x v="1"/>
    <x v="9"/>
    <x v="1"/>
    <s v="Смирнов"/>
    <s v="Интенсив"/>
    <n v="615640"/>
    <n v="32"/>
    <s v="PT-2310-220"/>
    <x v="9"/>
  </r>
  <r>
    <x v="1"/>
    <x v="10"/>
    <x v="4"/>
    <s v="Белова"/>
    <s v="Онлайн"/>
    <n v="400020"/>
    <n v="36"/>
    <s v="PT-2311-221"/>
    <x v="10"/>
  </r>
  <r>
    <x v="1"/>
    <x v="10"/>
    <x v="4"/>
    <s v="Лаврова"/>
    <s v="Интенсив"/>
    <n v="293720"/>
    <n v="17"/>
    <s v="PT-2311-222"/>
    <x v="10"/>
  </r>
  <r>
    <x v="1"/>
    <x v="10"/>
    <x v="3"/>
    <s v="Белова"/>
    <s v="Онлайн"/>
    <n v="274140"/>
    <n v="21"/>
    <s v="PT-2311-223"/>
    <x v="10"/>
  </r>
  <r>
    <x v="1"/>
    <x v="10"/>
    <x v="1"/>
    <s v="Лаврова"/>
    <s v="Смешанный"/>
    <n v="564710"/>
    <n v="41"/>
    <s v="PT-2311-224"/>
    <x v="10"/>
  </r>
  <r>
    <x v="1"/>
    <x v="10"/>
    <x v="4"/>
    <s v="Белова"/>
    <s v="Очно"/>
    <n v="384480"/>
    <n v="26"/>
    <s v="PT-2311-225"/>
    <x v="10"/>
  </r>
  <r>
    <x v="1"/>
    <x v="10"/>
    <x v="2"/>
    <s v="Белова"/>
    <s v="Очно"/>
    <n v="731940"/>
    <n v="33"/>
    <s v="PT-2311-226"/>
    <x v="10"/>
  </r>
  <r>
    <x v="1"/>
    <x v="10"/>
    <x v="1"/>
    <s v="Лаврова"/>
    <s v="Очно"/>
    <n v="597340"/>
    <n v="36"/>
    <s v="PT-2311-227"/>
    <x v="10"/>
  </r>
  <r>
    <x v="1"/>
    <x v="10"/>
    <x v="0"/>
    <s v="Белова"/>
    <s v="Интенсив"/>
    <n v="333300"/>
    <n v="16"/>
    <s v="PT-2311-228"/>
    <x v="10"/>
  </r>
  <r>
    <x v="1"/>
    <x v="10"/>
    <x v="1"/>
    <s v="Горин"/>
    <s v="Интенсив"/>
    <n v="255460"/>
    <n v="14"/>
    <s v="PT-2311-229"/>
    <x v="10"/>
  </r>
  <r>
    <x v="1"/>
    <x v="10"/>
    <x v="4"/>
    <s v="Лаврова"/>
    <s v="Интенсив"/>
    <n v="592680"/>
    <n v="33"/>
    <s v="PT-2311-230"/>
    <x v="10"/>
  </r>
  <r>
    <x v="1"/>
    <x v="11"/>
    <x v="0"/>
    <s v="Артамонов"/>
    <s v="Онлайн"/>
    <n v="519650"/>
    <n v="38"/>
    <s v="PT-2312-231"/>
    <x v="11"/>
  </r>
  <r>
    <x v="1"/>
    <x v="11"/>
    <x v="3"/>
    <s v="Смирнов"/>
    <s v="Смешанный"/>
    <n v="267170"/>
    <n v="18"/>
    <s v="PT-2312-232"/>
    <x v="11"/>
  </r>
  <r>
    <x v="1"/>
    <x v="11"/>
    <x v="1"/>
    <s v="Артамонов"/>
    <s v="Интенсив"/>
    <n v="485270"/>
    <n v="26"/>
    <s v="PT-2312-233"/>
    <x v="11"/>
  </r>
  <r>
    <x v="1"/>
    <x v="11"/>
    <x v="2"/>
    <s v="Смирнов"/>
    <s v="Очно"/>
    <n v="270940"/>
    <n v="12"/>
    <s v="PT-2312-234"/>
    <x v="11"/>
  </r>
  <r>
    <x v="1"/>
    <x v="11"/>
    <x v="4"/>
    <s v="Артамонов"/>
    <s v="Смешанный"/>
    <n v="207810"/>
    <n v="16"/>
    <s v="PT-2312-235"/>
    <x v="11"/>
  </r>
  <r>
    <x v="1"/>
    <x v="11"/>
    <x v="0"/>
    <s v="Артамонов"/>
    <s v="Онлайн"/>
    <n v="400360"/>
    <n v="29"/>
    <s v="PT-2312-236"/>
    <x v="11"/>
  </r>
  <r>
    <x v="1"/>
    <x v="11"/>
    <x v="2"/>
    <s v="Белова"/>
    <s v="Смешанный"/>
    <n v="465720"/>
    <n v="24"/>
    <s v="PT-2312-237"/>
    <x v="11"/>
  </r>
  <r>
    <x v="1"/>
    <x v="11"/>
    <x v="3"/>
    <s v="Смирнов"/>
    <s v="Очно"/>
    <n v="285920"/>
    <n v="16"/>
    <s v="PT-2312-238"/>
    <x v="11"/>
  </r>
  <r>
    <x v="1"/>
    <x v="11"/>
    <x v="4"/>
    <s v="Горин"/>
    <s v="Смешанный"/>
    <n v="361280"/>
    <n v="28"/>
    <s v="PT-2312-239"/>
    <x v="11"/>
  </r>
  <r>
    <x v="1"/>
    <x v="11"/>
    <x v="3"/>
    <s v="Горин"/>
    <s v="Очно"/>
    <n v="357440"/>
    <n v="20"/>
    <s v="PT-2312-240"/>
    <x v="11"/>
  </r>
  <r>
    <x v="2"/>
    <x v="0"/>
    <x v="2"/>
    <s v="Горин"/>
    <s v="Смешанный"/>
    <n v="452900"/>
    <n v="24"/>
    <s v="PT-2401-241"/>
    <x v="0"/>
  </r>
  <r>
    <x v="2"/>
    <x v="0"/>
    <x v="4"/>
    <s v="Горин"/>
    <s v="Онлайн"/>
    <n v="263670"/>
    <n v="23"/>
    <s v="PT-2401-242"/>
    <x v="0"/>
  </r>
  <r>
    <x v="2"/>
    <x v="0"/>
    <x v="1"/>
    <s v="Горин"/>
    <s v="Онлайн"/>
    <n v="499900"/>
    <n v="40"/>
    <s v="PT-2401-243"/>
    <x v="0"/>
  </r>
  <r>
    <x v="2"/>
    <x v="0"/>
    <x v="4"/>
    <s v="Горин"/>
    <s v="Очно"/>
    <n v="460880"/>
    <n v="30"/>
    <s v="PT-2401-244"/>
    <x v="0"/>
  </r>
  <r>
    <x v="2"/>
    <x v="0"/>
    <x v="3"/>
    <s v="Лаврова"/>
    <s v="Очно"/>
    <n v="578820"/>
    <n v="31"/>
    <s v="PT-2401-245"/>
    <x v="0"/>
  </r>
  <r>
    <x v="2"/>
    <x v="0"/>
    <x v="3"/>
    <s v="Белова"/>
    <s v="Онлайн"/>
    <n v="346890"/>
    <n v="26"/>
    <s v="PT-2401-246"/>
    <x v="0"/>
  </r>
  <r>
    <x v="2"/>
    <x v="0"/>
    <x v="1"/>
    <s v="Лаврова"/>
    <s v="Смешанный"/>
    <n v="212630"/>
    <n v="15"/>
    <s v="PT-2401-247"/>
    <x v="0"/>
  </r>
  <r>
    <x v="2"/>
    <x v="0"/>
    <x v="4"/>
    <s v="Смирнов"/>
    <s v="Онлайн"/>
    <n v="332710"/>
    <n v="29"/>
    <s v="PT-2401-248"/>
    <x v="0"/>
  </r>
  <r>
    <x v="2"/>
    <x v="0"/>
    <x v="4"/>
    <s v="Артамонов"/>
    <s v="Смешанный"/>
    <n v="329960"/>
    <n v="26"/>
    <s v="PT-2401-249"/>
    <x v="0"/>
  </r>
  <r>
    <x v="2"/>
    <x v="0"/>
    <x v="4"/>
    <s v="Смирнов"/>
    <s v="Онлайн"/>
    <n v="382280"/>
    <n v="34"/>
    <s v="PT-2401-250"/>
    <x v="0"/>
  </r>
  <r>
    <x v="2"/>
    <x v="1"/>
    <x v="1"/>
    <s v="Белова"/>
    <s v="Онлайн"/>
    <n v="195220"/>
    <n v="16"/>
    <s v="PT-2402-251"/>
    <x v="1"/>
  </r>
  <r>
    <x v="2"/>
    <x v="1"/>
    <x v="1"/>
    <s v="Артамонов"/>
    <s v="Интенсив"/>
    <n v="648030"/>
    <n v="35"/>
    <s v="PT-2402-252"/>
    <x v="1"/>
  </r>
  <r>
    <x v="2"/>
    <x v="1"/>
    <x v="4"/>
    <s v="Лаврова"/>
    <s v="Смешанный"/>
    <n v="483110"/>
    <n v="36"/>
    <s v="PT-2402-253"/>
    <x v="1"/>
  </r>
  <r>
    <x v="2"/>
    <x v="1"/>
    <x v="2"/>
    <s v="Горин"/>
    <s v="Смешанный"/>
    <n v="489860"/>
    <n v="26"/>
    <s v="PT-2402-254"/>
    <x v="1"/>
  </r>
  <r>
    <x v="2"/>
    <x v="1"/>
    <x v="2"/>
    <s v="Горин"/>
    <s v="Очно"/>
    <n v="858300"/>
    <n v="38"/>
    <s v="PT-2402-255"/>
    <x v="1"/>
  </r>
  <r>
    <x v="2"/>
    <x v="1"/>
    <x v="0"/>
    <s v="Артамонов"/>
    <s v="Смешанный"/>
    <n v="531490"/>
    <n v="33"/>
    <s v="PT-2402-256"/>
    <x v="1"/>
  </r>
  <r>
    <x v="2"/>
    <x v="1"/>
    <x v="2"/>
    <s v="Лаврова"/>
    <s v="Интенсив"/>
    <n v="306130"/>
    <n v="12"/>
    <s v="PT-2402-257"/>
    <x v="1"/>
  </r>
  <r>
    <x v="2"/>
    <x v="1"/>
    <x v="1"/>
    <s v="Горин"/>
    <s v="Онлайн"/>
    <n v="304220"/>
    <n v="25"/>
    <s v="PT-2402-258"/>
    <x v="1"/>
  </r>
  <r>
    <x v="2"/>
    <x v="1"/>
    <x v="0"/>
    <s v="Лаврова"/>
    <s v="Интенсив"/>
    <n v="456590"/>
    <n v="20"/>
    <s v="PT-2402-259"/>
    <x v="1"/>
  </r>
  <r>
    <x v="2"/>
    <x v="1"/>
    <x v="3"/>
    <s v="Смирнов"/>
    <s v="Смешанный"/>
    <n v="524680"/>
    <n v="34"/>
    <s v="PT-2402-260"/>
    <x v="1"/>
  </r>
  <r>
    <x v="2"/>
    <x v="2"/>
    <x v="0"/>
    <s v="Смирнов"/>
    <s v="Интенсив"/>
    <n v="927470"/>
    <n v="42"/>
    <s v="PT-2403-261"/>
    <x v="2"/>
  </r>
  <r>
    <x v="2"/>
    <x v="2"/>
    <x v="1"/>
    <s v="Лаврова"/>
    <s v="Смешанный"/>
    <n v="348190"/>
    <n v="25"/>
    <s v="PT-2403-262"/>
    <x v="2"/>
  </r>
  <r>
    <x v="2"/>
    <x v="2"/>
    <x v="0"/>
    <s v="Лаврова"/>
    <s v="Очно"/>
    <n v="444830"/>
    <n v="23"/>
    <s v="PT-2403-263"/>
    <x v="2"/>
  </r>
  <r>
    <x v="2"/>
    <x v="2"/>
    <x v="1"/>
    <s v="Лаврова"/>
    <s v="Очно"/>
    <n v="476340"/>
    <n v="29"/>
    <s v="PT-2403-264"/>
    <x v="2"/>
  </r>
  <r>
    <x v="2"/>
    <x v="2"/>
    <x v="0"/>
    <s v="Горин"/>
    <s v="Смешанный"/>
    <n v="676930"/>
    <n v="42"/>
    <s v="PT-2403-265"/>
    <x v="2"/>
  </r>
  <r>
    <x v="2"/>
    <x v="2"/>
    <x v="0"/>
    <s v="Артамонов"/>
    <s v="Смешанный"/>
    <n v="343830"/>
    <n v="22"/>
    <s v="PT-2403-266"/>
    <x v="2"/>
  </r>
  <r>
    <x v="2"/>
    <x v="2"/>
    <x v="4"/>
    <s v="Смирнов"/>
    <s v="Интенсив"/>
    <n v="304580"/>
    <n v="17"/>
    <s v="PT-2403-267"/>
    <x v="2"/>
  </r>
  <r>
    <x v="2"/>
    <x v="2"/>
    <x v="0"/>
    <s v="Смирнов"/>
    <s v="Онлайн"/>
    <n v="202050"/>
    <n v="13"/>
    <s v="PT-2403-268"/>
    <x v="2"/>
  </r>
  <r>
    <x v="2"/>
    <x v="2"/>
    <x v="3"/>
    <s v="Смирнов"/>
    <s v="Онлайн"/>
    <n v="255190"/>
    <n v="19"/>
    <s v="PT-2403-269"/>
    <x v="2"/>
  </r>
  <r>
    <x v="2"/>
    <x v="2"/>
    <x v="0"/>
    <s v="Артамонов"/>
    <s v="Очно"/>
    <n v="490950"/>
    <n v="27"/>
    <s v="PT-2403-270"/>
    <x v="2"/>
  </r>
  <r>
    <x v="2"/>
    <x v="3"/>
    <x v="0"/>
    <s v="Смирнов"/>
    <s v="Онлайн"/>
    <n v="595470"/>
    <n v="40"/>
    <s v="PT-2404-271"/>
    <x v="3"/>
  </r>
  <r>
    <x v="2"/>
    <x v="3"/>
    <x v="3"/>
    <s v="Белова"/>
    <s v="Онлайн"/>
    <n v="153880"/>
    <n v="12"/>
    <s v="PT-2404-272"/>
    <x v="3"/>
  </r>
  <r>
    <x v="2"/>
    <x v="3"/>
    <x v="3"/>
    <s v="Смирнов"/>
    <s v="Интенсив"/>
    <n v="368300"/>
    <n v="18"/>
    <s v="PT-2404-273"/>
    <x v="3"/>
  </r>
  <r>
    <x v="2"/>
    <x v="3"/>
    <x v="4"/>
    <s v="Артамонов"/>
    <s v="Онлайн"/>
    <n v="152820"/>
    <n v="14"/>
    <s v="PT-2404-274"/>
    <x v="3"/>
  </r>
  <r>
    <x v="2"/>
    <x v="3"/>
    <x v="3"/>
    <s v="Горин"/>
    <s v="Онлайн"/>
    <n v="215970"/>
    <n v="16"/>
    <s v="PT-2404-275"/>
    <x v="3"/>
  </r>
  <r>
    <x v="2"/>
    <x v="3"/>
    <x v="0"/>
    <s v="Горин"/>
    <s v="Онлайн"/>
    <n v="541900"/>
    <n v="38"/>
    <s v="PT-2404-276"/>
    <x v="3"/>
  </r>
  <r>
    <x v="2"/>
    <x v="3"/>
    <x v="2"/>
    <s v="Лаврова"/>
    <s v="Очно"/>
    <n v="271470"/>
    <n v="12"/>
    <s v="PT-2404-277"/>
    <x v="3"/>
  </r>
  <r>
    <x v="2"/>
    <x v="3"/>
    <x v="2"/>
    <s v="Лаврова"/>
    <s v="Смешанный"/>
    <n v="773650"/>
    <n v="40"/>
    <s v="PT-2404-278"/>
    <x v="3"/>
  </r>
  <r>
    <x v="2"/>
    <x v="3"/>
    <x v="4"/>
    <s v="Лаврова"/>
    <s v="Онлайн"/>
    <n v="423730"/>
    <n v="36"/>
    <s v="PT-2404-279"/>
    <x v="3"/>
  </r>
  <r>
    <x v="2"/>
    <x v="3"/>
    <x v="4"/>
    <s v="Артамонов"/>
    <s v="Интенсив"/>
    <n v="476290"/>
    <n v="28"/>
    <s v="PT-2404-280"/>
    <x v="3"/>
  </r>
  <r>
    <x v="2"/>
    <x v="4"/>
    <x v="1"/>
    <s v="Смирнов"/>
    <s v="Смешанный"/>
    <n v="314270"/>
    <n v="23"/>
    <s v="PT-2405-281"/>
    <x v="4"/>
  </r>
  <r>
    <x v="2"/>
    <x v="4"/>
    <x v="1"/>
    <s v="Лаврова"/>
    <s v="Смешанный"/>
    <n v="481650"/>
    <n v="33"/>
    <s v="PT-2405-282"/>
    <x v="4"/>
  </r>
  <r>
    <x v="2"/>
    <x v="4"/>
    <x v="4"/>
    <s v="Артамонов"/>
    <s v="Онлайн"/>
    <n v="391680"/>
    <n v="37"/>
    <s v="PT-2405-283"/>
    <x v="4"/>
  </r>
  <r>
    <x v="2"/>
    <x v="4"/>
    <x v="0"/>
    <s v="Артамонов"/>
    <s v="Смешанный"/>
    <n v="416660"/>
    <n v="27"/>
    <s v="PT-2405-284"/>
    <x v="4"/>
  </r>
  <r>
    <x v="2"/>
    <x v="4"/>
    <x v="4"/>
    <s v="Горин"/>
    <s v="Интенсив"/>
    <n v="274360"/>
    <n v="16"/>
    <s v="PT-2405-285"/>
    <x v="4"/>
  </r>
  <r>
    <x v="2"/>
    <x v="4"/>
    <x v="3"/>
    <s v="Лаврова"/>
    <s v="Онлайн"/>
    <n v="224990"/>
    <n v="16"/>
    <s v="PT-2405-286"/>
    <x v="4"/>
  </r>
  <r>
    <x v="2"/>
    <x v="4"/>
    <x v="3"/>
    <s v="Горин"/>
    <s v="Смешанный"/>
    <n v="445410"/>
    <n v="29"/>
    <s v="PT-2405-287"/>
    <x v="4"/>
  </r>
  <r>
    <x v="2"/>
    <x v="4"/>
    <x v="3"/>
    <s v="Горин"/>
    <s v="Смешанный"/>
    <n v="606620"/>
    <n v="39"/>
    <s v="PT-2405-288"/>
    <x v="4"/>
  </r>
  <r>
    <x v="2"/>
    <x v="4"/>
    <x v="4"/>
    <s v="Белова"/>
    <s v="Онлайн"/>
    <n v="378650"/>
    <n v="35"/>
    <s v="PT-2405-289"/>
    <x v="4"/>
  </r>
  <r>
    <x v="2"/>
    <x v="4"/>
    <x v="1"/>
    <s v="Горин"/>
    <s v="Смешанный"/>
    <n v="482730"/>
    <n v="35"/>
    <s v="PT-2405-290"/>
    <x v="4"/>
  </r>
  <r>
    <x v="2"/>
    <x v="5"/>
    <x v="3"/>
    <s v="Лаврова"/>
    <s v="Интенсив"/>
    <n v="559820"/>
    <n v="26"/>
    <s v="PT-2406-291"/>
    <x v="5"/>
  </r>
  <r>
    <x v="2"/>
    <x v="5"/>
    <x v="0"/>
    <s v="Горин"/>
    <s v="Смешанный"/>
    <n v="390470"/>
    <n v="23"/>
    <s v="PT-2406-292"/>
    <x v="5"/>
  </r>
  <r>
    <x v="2"/>
    <x v="5"/>
    <x v="3"/>
    <s v="Горин"/>
    <s v="Онлайн"/>
    <n v="233720"/>
    <n v="17"/>
    <s v="PT-2406-293"/>
    <x v="5"/>
  </r>
  <r>
    <x v="2"/>
    <x v="5"/>
    <x v="0"/>
    <s v="Горин"/>
    <s v="Интенсив"/>
    <n v="407080"/>
    <n v="18"/>
    <s v="PT-2406-294"/>
    <x v="5"/>
  </r>
  <r>
    <x v="2"/>
    <x v="5"/>
    <x v="1"/>
    <s v="Артамонов"/>
    <s v="Смешанный"/>
    <n v="365370"/>
    <n v="28"/>
    <s v="PT-2406-295"/>
    <x v="5"/>
  </r>
  <r>
    <x v="2"/>
    <x v="5"/>
    <x v="2"/>
    <s v="Артамонов"/>
    <s v="Онлайн"/>
    <n v="590590"/>
    <n v="36"/>
    <s v="PT-2406-296"/>
    <x v="5"/>
  </r>
  <r>
    <x v="2"/>
    <x v="5"/>
    <x v="0"/>
    <s v="Артамонов"/>
    <s v="Очно"/>
    <n v="320310"/>
    <n v="17"/>
    <s v="PT-2406-297"/>
    <x v="5"/>
  </r>
  <r>
    <x v="2"/>
    <x v="5"/>
    <x v="1"/>
    <s v="Белова"/>
    <s v="Интенсив"/>
    <n v="229080"/>
    <n v="12"/>
    <s v="PT-2406-298"/>
    <x v="5"/>
  </r>
  <r>
    <x v="2"/>
    <x v="5"/>
    <x v="2"/>
    <s v="Артамонов"/>
    <s v="Онлайн"/>
    <n v="483790"/>
    <n v="31"/>
    <s v="PT-2406-299"/>
    <x v="5"/>
  </r>
  <r>
    <x v="2"/>
    <x v="5"/>
    <x v="0"/>
    <s v="Артамонов"/>
    <s v="Онлайн"/>
    <n v="348230"/>
    <n v="26"/>
    <s v="PT-2406-300"/>
    <x v="5"/>
  </r>
  <r>
    <x v="2"/>
    <x v="6"/>
    <x v="4"/>
    <s v="Горин"/>
    <s v="Интенсив"/>
    <n v="375110"/>
    <n v="21"/>
    <s v="PT-2407-301"/>
    <x v="6"/>
  </r>
  <r>
    <x v="2"/>
    <x v="6"/>
    <x v="2"/>
    <s v="Смирнов"/>
    <s v="Смешанный"/>
    <n v="344560"/>
    <n v="18"/>
    <s v="PT-2407-302"/>
    <x v="6"/>
  </r>
  <r>
    <x v="2"/>
    <x v="6"/>
    <x v="2"/>
    <s v="Горин"/>
    <s v="Очно"/>
    <n v="415610"/>
    <n v="19"/>
    <s v="PT-2407-303"/>
    <x v="6"/>
  </r>
  <r>
    <x v="2"/>
    <x v="6"/>
    <x v="2"/>
    <s v="Лаврова"/>
    <s v="Смешанный"/>
    <n v="299840"/>
    <n v="15"/>
    <s v="PT-2407-304"/>
    <x v="6"/>
  </r>
  <r>
    <x v="2"/>
    <x v="6"/>
    <x v="0"/>
    <s v="Артамонов"/>
    <s v="Онлайн"/>
    <n v="495930"/>
    <n v="37"/>
    <s v="PT-2407-305"/>
    <x v="6"/>
  </r>
  <r>
    <x v="2"/>
    <x v="6"/>
    <x v="4"/>
    <s v="Горин"/>
    <s v="Смешанный"/>
    <n v="468470"/>
    <n v="36"/>
    <s v="PT-2407-306"/>
    <x v="6"/>
  </r>
  <r>
    <x v="2"/>
    <x v="6"/>
    <x v="0"/>
    <s v="Артамонов"/>
    <s v="Интенсив"/>
    <n v="498980"/>
    <n v="24"/>
    <s v="PT-2407-307"/>
    <x v="6"/>
  </r>
  <r>
    <x v="2"/>
    <x v="6"/>
    <x v="4"/>
    <s v="Белова"/>
    <s v="Смешанный"/>
    <n v="251400"/>
    <n v="19"/>
    <s v="PT-2407-308"/>
    <x v="6"/>
  </r>
  <r>
    <x v="2"/>
    <x v="6"/>
    <x v="4"/>
    <s v="Белова"/>
    <s v="Интенсив"/>
    <n v="374760"/>
    <n v="22"/>
    <s v="PT-2407-309"/>
    <x v="6"/>
  </r>
  <r>
    <x v="2"/>
    <x v="6"/>
    <x v="1"/>
    <s v="Артамонов"/>
    <s v="Интенсив"/>
    <n v="439750"/>
    <n v="24"/>
    <s v="PT-2407-310"/>
    <x v="6"/>
  </r>
  <r>
    <x v="2"/>
    <x v="7"/>
    <x v="2"/>
    <s v="Белова"/>
    <s v="Очно"/>
    <n v="789670"/>
    <n v="36"/>
    <s v="PT-2408-311"/>
    <x v="7"/>
  </r>
  <r>
    <x v="2"/>
    <x v="7"/>
    <x v="0"/>
    <s v="Артамонов"/>
    <s v="Онлайн"/>
    <n v="414890"/>
    <n v="31"/>
    <s v="PT-2408-312"/>
    <x v="7"/>
  </r>
  <r>
    <x v="2"/>
    <x v="7"/>
    <x v="3"/>
    <s v="Белова"/>
    <s v="Онлайн"/>
    <n v="266230"/>
    <n v="19"/>
    <s v="PT-2408-313"/>
    <x v="7"/>
  </r>
  <r>
    <x v="2"/>
    <x v="7"/>
    <x v="3"/>
    <s v="Артамонов"/>
    <s v="Очно"/>
    <n v="452510"/>
    <n v="26"/>
    <s v="PT-2408-314"/>
    <x v="7"/>
  </r>
  <r>
    <x v="2"/>
    <x v="7"/>
    <x v="2"/>
    <s v="Артамонов"/>
    <s v="Интенсив"/>
    <n v="1036140"/>
    <n v="41"/>
    <s v="PT-2408-315"/>
    <x v="7"/>
  </r>
  <r>
    <x v="2"/>
    <x v="7"/>
    <x v="3"/>
    <s v="Смирнов"/>
    <s v="Интенсив"/>
    <n v="543780"/>
    <n v="26"/>
    <s v="PT-2408-316"/>
    <x v="7"/>
  </r>
  <r>
    <x v="2"/>
    <x v="7"/>
    <x v="2"/>
    <s v="Лаврова"/>
    <s v="Очно"/>
    <n v="933160"/>
    <n v="42"/>
    <s v="PT-2408-317"/>
    <x v="7"/>
  </r>
  <r>
    <x v="2"/>
    <x v="7"/>
    <x v="1"/>
    <s v="Артамонов"/>
    <s v="Очно"/>
    <n v="223630"/>
    <n v="15"/>
    <s v="PT-2408-318"/>
    <x v="7"/>
  </r>
  <r>
    <x v="2"/>
    <x v="7"/>
    <x v="1"/>
    <s v="Смирнов"/>
    <s v="Интенсив"/>
    <n v="436680"/>
    <n v="22"/>
    <s v="PT-2408-319"/>
    <x v="7"/>
  </r>
  <r>
    <x v="2"/>
    <x v="7"/>
    <x v="3"/>
    <s v="Лаврова"/>
    <s v="Интенсив"/>
    <n v="647600"/>
    <n v="31"/>
    <s v="PT-2408-320"/>
    <x v="7"/>
  </r>
  <r>
    <x v="2"/>
    <x v="8"/>
    <x v="0"/>
    <s v="Лаврова"/>
    <s v="Интенсив"/>
    <n v="788470"/>
    <n v="35"/>
    <s v="PT-2409-321"/>
    <x v="8"/>
  </r>
  <r>
    <x v="2"/>
    <x v="8"/>
    <x v="1"/>
    <s v="Горин"/>
    <s v="Интенсив"/>
    <n v="466560"/>
    <n v="25"/>
    <s v="PT-2409-322"/>
    <x v="8"/>
  </r>
  <r>
    <x v="2"/>
    <x v="8"/>
    <x v="2"/>
    <s v="Горин"/>
    <s v="Очно"/>
    <n v="253950"/>
    <n v="12"/>
    <s v="PT-2409-323"/>
    <x v="8"/>
  </r>
  <r>
    <x v="2"/>
    <x v="8"/>
    <x v="1"/>
    <s v="Белова"/>
    <s v="Очно"/>
    <n v="203740"/>
    <n v="12"/>
    <s v="PT-2409-324"/>
    <x v="8"/>
  </r>
  <r>
    <x v="2"/>
    <x v="8"/>
    <x v="1"/>
    <s v="Лаврова"/>
    <s v="Интенсив"/>
    <n v="407320"/>
    <n v="21"/>
    <s v="PT-2409-325"/>
    <x v="8"/>
  </r>
  <r>
    <x v="2"/>
    <x v="8"/>
    <x v="2"/>
    <s v="Белова"/>
    <s v="Смешанный"/>
    <n v="604640"/>
    <n v="32"/>
    <s v="PT-2409-326"/>
    <x v="8"/>
  </r>
  <r>
    <x v="2"/>
    <x v="8"/>
    <x v="2"/>
    <s v="Артамонов"/>
    <s v="Смешанный"/>
    <n v="588990"/>
    <n v="32"/>
    <s v="PT-2409-327"/>
    <x v="8"/>
  </r>
  <r>
    <x v="2"/>
    <x v="8"/>
    <x v="1"/>
    <s v="Горин"/>
    <s v="Очно"/>
    <n v="321070"/>
    <n v="19"/>
    <s v="PT-2409-328"/>
    <x v="8"/>
  </r>
  <r>
    <x v="2"/>
    <x v="8"/>
    <x v="3"/>
    <s v="Белова"/>
    <s v="Интенсив"/>
    <n v="533610"/>
    <n v="26"/>
    <s v="PT-2409-329"/>
    <x v="8"/>
  </r>
  <r>
    <x v="2"/>
    <x v="8"/>
    <x v="3"/>
    <s v="Горин"/>
    <s v="Смешанный"/>
    <n v="192960"/>
    <n v="13"/>
    <s v="PT-2409-330"/>
    <x v="8"/>
  </r>
  <r>
    <x v="2"/>
    <x v="9"/>
    <x v="2"/>
    <s v="Артамонов"/>
    <s v="Очно"/>
    <n v="363290"/>
    <n v="17"/>
    <s v="PT-2410-331"/>
    <x v="9"/>
  </r>
  <r>
    <x v="2"/>
    <x v="9"/>
    <x v="1"/>
    <s v="Горин"/>
    <s v="Онлайн"/>
    <n v="394230"/>
    <n v="33"/>
    <s v="PT-2410-332"/>
    <x v="9"/>
  </r>
  <r>
    <x v="2"/>
    <x v="9"/>
    <x v="3"/>
    <s v="Белова"/>
    <s v="Онлайн"/>
    <n v="293290"/>
    <n v="23"/>
    <s v="PT-2410-333"/>
    <x v="9"/>
  </r>
  <r>
    <x v="2"/>
    <x v="9"/>
    <x v="0"/>
    <s v="Смирнов"/>
    <s v="Интенсив"/>
    <n v="605640"/>
    <n v="27"/>
    <s v="PT-2410-334"/>
    <x v="9"/>
  </r>
  <r>
    <x v="2"/>
    <x v="9"/>
    <x v="3"/>
    <s v="Горин"/>
    <s v="Онлайн"/>
    <n v="189400"/>
    <n v="13"/>
    <s v="PT-2410-335"/>
    <x v="9"/>
  </r>
  <r>
    <x v="2"/>
    <x v="9"/>
    <x v="3"/>
    <s v="Лаврова"/>
    <s v="Онлайн"/>
    <n v="308210"/>
    <n v="23"/>
    <s v="PT-2410-336"/>
    <x v="9"/>
  </r>
  <r>
    <x v="2"/>
    <x v="9"/>
    <x v="0"/>
    <s v="Белова"/>
    <s v="Очно"/>
    <n v="398530"/>
    <n v="22"/>
    <s v="PT-2410-337"/>
    <x v="9"/>
  </r>
  <r>
    <x v="2"/>
    <x v="9"/>
    <x v="1"/>
    <s v="Артамонов"/>
    <s v="Смешанный"/>
    <n v="271070"/>
    <n v="20"/>
    <s v="PT-2410-338"/>
    <x v="9"/>
  </r>
  <r>
    <x v="2"/>
    <x v="9"/>
    <x v="2"/>
    <s v="Смирнов"/>
    <s v="Очно"/>
    <n v="566560"/>
    <n v="25"/>
    <s v="PT-2410-339"/>
    <x v="9"/>
  </r>
  <r>
    <x v="2"/>
    <x v="9"/>
    <x v="0"/>
    <s v="Белова"/>
    <s v="Очно"/>
    <n v="695400"/>
    <n v="37"/>
    <s v="PT-2410-340"/>
    <x v="9"/>
  </r>
  <r>
    <x v="2"/>
    <x v="10"/>
    <x v="0"/>
    <s v="Горин"/>
    <s v="Онлайн"/>
    <n v="251620"/>
    <n v="19"/>
    <s v="PT-2411-341"/>
    <x v="10"/>
  </r>
  <r>
    <x v="2"/>
    <x v="10"/>
    <x v="2"/>
    <s v="Смирнов"/>
    <s v="Очно"/>
    <n v="315910"/>
    <n v="14"/>
    <s v="PT-2411-342"/>
    <x v="10"/>
  </r>
  <r>
    <x v="2"/>
    <x v="10"/>
    <x v="1"/>
    <s v="Артамонов"/>
    <s v="Смешанный"/>
    <n v="464570"/>
    <n v="35"/>
    <s v="PT-2411-343"/>
    <x v="10"/>
  </r>
  <r>
    <x v="2"/>
    <x v="10"/>
    <x v="3"/>
    <s v="Белова"/>
    <s v="Смешанный"/>
    <n v="462410"/>
    <n v="31"/>
    <s v="PT-2411-344"/>
    <x v="10"/>
  </r>
  <r>
    <x v="2"/>
    <x v="10"/>
    <x v="0"/>
    <s v="Горин"/>
    <s v="Смешанный"/>
    <n v="390480"/>
    <n v="24"/>
    <s v="PT-2411-345"/>
    <x v="10"/>
  </r>
  <r>
    <x v="2"/>
    <x v="10"/>
    <x v="0"/>
    <s v="Белова"/>
    <s v="Интенсив"/>
    <n v="621150"/>
    <n v="29"/>
    <s v="PT-2411-346"/>
    <x v="10"/>
  </r>
  <r>
    <x v="2"/>
    <x v="10"/>
    <x v="4"/>
    <s v="Белова"/>
    <s v="Интенсив"/>
    <n v="653010"/>
    <n v="38"/>
    <s v="PT-2411-347"/>
    <x v="10"/>
  </r>
  <r>
    <x v="2"/>
    <x v="10"/>
    <x v="2"/>
    <s v="Белова"/>
    <s v="Очно"/>
    <n v="872690"/>
    <n v="40"/>
    <s v="PT-2411-348"/>
    <x v="10"/>
  </r>
  <r>
    <x v="2"/>
    <x v="10"/>
    <x v="0"/>
    <s v="Горин"/>
    <s v="Интенсив"/>
    <n v="361480"/>
    <n v="17"/>
    <s v="PT-2411-349"/>
    <x v="10"/>
  </r>
  <r>
    <x v="2"/>
    <x v="10"/>
    <x v="2"/>
    <s v="Смирнов"/>
    <s v="Интенсив"/>
    <n v="908460"/>
    <n v="35"/>
    <s v="PT-2411-350"/>
    <x v="10"/>
  </r>
  <r>
    <x v="2"/>
    <x v="11"/>
    <x v="1"/>
    <s v="Горин"/>
    <s v="Онлайн"/>
    <n v="165860"/>
    <n v="13"/>
    <s v="PT-2412-351"/>
    <x v="11"/>
  </r>
  <r>
    <x v="2"/>
    <x v="11"/>
    <x v="2"/>
    <s v="Смирнов"/>
    <s v="Очно"/>
    <n v="525620"/>
    <n v="23"/>
    <s v="PT-2412-352"/>
    <x v="11"/>
  </r>
  <r>
    <x v="2"/>
    <x v="11"/>
    <x v="2"/>
    <s v="Лаврова"/>
    <s v="Интенсив"/>
    <n v="414080"/>
    <n v="16"/>
    <s v="PT-2412-353"/>
    <x v="11"/>
  </r>
  <r>
    <x v="2"/>
    <x v="11"/>
    <x v="0"/>
    <s v="Лаврова"/>
    <s v="Смешанный"/>
    <n v="662060"/>
    <n v="40"/>
    <s v="PT-2412-354"/>
    <x v="11"/>
  </r>
  <r>
    <x v="2"/>
    <x v="11"/>
    <x v="3"/>
    <s v="Лаврова"/>
    <s v="Очно"/>
    <n v="570540"/>
    <n v="32"/>
    <s v="PT-2412-355"/>
    <x v="11"/>
  </r>
  <r>
    <x v="2"/>
    <x v="11"/>
    <x v="2"/>
    <s v="Белова"/>
    <s v="Очно"/>
    <n v="710790"/>
    <n v="33"/>
    <s v="PT-2412-356"/>
    <x v="11"/>
  </r>
  <r>
    <x v="2"/>
    <x v="11"/>
    <x v="2"/>
    <s v="Артамонов"/>
    <s v="Онлайн"/>
    <n v="632410"/>
    <n v="40"/>
    <s v="PT-2412-357"/>
    <x v="11"/>
  </r>
  <r>
    <x v="2"/>
    <x v="11"/>
    <x v="1"/>
    <s v="Артамонов"/>
    <s v="Интенсив"/>
    <n v="360510"/>
    <n v="19"/>
    <s v="PT-2412-358"/>
    <x v="11"/>
  </r>
  <r>
    <x v="2"/>
    <x v="11"/>
    <x v="2"/>
    <s v="Белова"/>
    <s v="Очно"/>
    <n v="738790"/>
    <n v="34"/>
    <s v="PT-2412-359"/>
    <x v="11"/>
  </r>
  <r>
    <x v="2"/>
    <x v="11"/>
    <x v="2"/>
    <s v="Лаврова"/>
    <s v="Смешанный"/>
    <n v="485730"/>
    <n v="26"/>
    <s v="PT-2412-360"/>
    <x v="1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s v="Очно"/>
    <n v="390600"/>
    <n v="20"/>
    <s v="PT-2201-001"/>
    <x v="0"/>
  </r>
  <r>
    <x v="0"/>
    <x v="0"/>
    <x v="1"/>
    <x v="1"/>
    <s v="Интенсив"/>
    <n v="395820"/>
    <n v="21"/>
    <s v="PT-2201-002"/>
    <x v="0"/>
  </r>
  <r>
    <x v="0"/>
    <x v="0"/>
    <x v="2"/>
    <x v="2"/>
    <s v="Онлайн"/>
    <n v="331590"/>
    <n v="20"/>
    <s v="PT-2201-003"/>
    <x v="0"/>
  </r>
  <r>
    <x v="0"/>
    <x v="0"/>
    <x v="1"/>
    <x v="3"/>
    <s v="Смешанный"/>
    <n v="336460"/>
    <n v="23"/>
    <s v="PT-2201-004"/>
    <x v="0"/>
  </r>
  <r>
    <x v="0"/>
    <x v="0"/>
    <x v="3"/>
    <x v="4"/>
    <s v="Смешанный"/>
    <n v="240440"/>
    <n v="17"/>
    <s v="PT-2201-005"/>
    <x v="0"/>
  </r>
  <r>
    <x v="0"/>
    <x v="0"/>
    <x v="0"/>
    <x v="1"/>
    <s v="Смешанный"/>
    <n v="176550"/>
    <n v="12"/>
    <s v="PT-2201-006"/>
    <x v="0"/>
  </r>
  <r>
    <x v="0"/>
    <x v="0"/>
    <x v="1"/>
    <x v="4"/>
    <s v="Интенсив"/>
    <n v="455210"/>
    <n v="24"/>
    <s v="PT-2201-007"/>
    <x v="0"/>
  </r>
  <r>
    <x v="0"/>
    <x v="0"/>
    <x v="4"/>
    <x v="1"/>
    <s v="Онлайн"/>
    <n v="337780"/>
    <n v="30"/>
    <s v="PT-2201-008"/>
    <x v="0"/>
  </r>
  <r>
    <x v="0"/>
    <x v="0"/>
    <x v="3"/>
    <x v="1"/>
    <s v="Интенсив"/>
    <n v="558560"/>
    <n v="28"/>
    <s v="PT-2201-009"/>
    <x v="0"/>
  </r>
  <r>
    <x v="0"/>
    <x v="0"/>
    <x v="1"/>
    <x v="2"/>
    <s v="Очно"/>
    <n v="448630"/>
    <n v="27"/>
    <s v="PT-2201-010"/>
    <x v="0"/>
  </r>
  <r>
    <x v="0"/>
    <x v="1"/>
    <x v="4"/>
    <x v="3"/>
    <s v="Онлайн"/>
    <n v="158720"/>
    <n v="15"/>
    <s v="PT-2202-011"/>
    <x v="1"/>
  </r>
  <r>
    <x v="0"/>
    <x v="1"/>
    <x v="1"/>
    <x v="3"/>
    <s v="Онлайн"/>
    <n v="138060"/>
    <n v="12"/>
    <s v="PT-2202-012"/>
    <x v="1"/>
  </r>
  <r>
    <x v="0"/>
    <x v="1"/>
    <x v="2"/>
    <x v="1"/>
    <s v="Онлайн"/>
    <n v="414410"/>
    <n v="25"/>
    <s v="PT-2202-013"/>
    <x v="1"/>
  </r>
  <r>
    <x v="0"/>
    <x v="1"/>
    <x v="3"/>
    <x v="0"/>
    <s v="Интенсив"/>
    <n v="556810"/>
    <n v="26"/>
    <s v="PT-2202-014"/>
    <x v="1"/>
  </r>
  <r>
    <x v="0"/>
    <x v="1"/>
    <x v="2"/>
    <x v="2"/>
    <s v="Интенсив"/>
    <n v="637200"/>
    <n v="25"/>
    <s v="PT-2202-015"/>
    <x v="1"/>
  </r>
  <r>
    <x v="0"/>
    <x v="1"/>
    <x v="1"/>
    <x v="2"/>
    <s v="Интенсив"/>
    <n v="373560"/>
    <n v="19"/>
    <s v="PT-2202-016"/>
    <x v="1"/>
  </r>
  <r>
    <x v="0"/>
    <x v="1"/>
    <x v="4"/>
    <x v="2"/>
    <s v="Онлайн"/>
    <n v="338010"/>
    <n v="30"/>
    <s v="PT-2202-017"/>
    <x v="1"/>
  </r>
  <r>
    <x v="0"/>
    <x v="1"/>
    <x v="2"/>
    <x v="3"/>
    <s v="Интенсив"/>
    <n v="315690"/>
    <n v="12"/>
    <s v="PT-2202-018"/>
    <x v="1"/>
  </r>
  <r>
    <x v="0"/>
    <x v="1"/>
    <x v="2"/>
    <x v="1"/>
    <s v="Смешанный"/>
    <n v="633160"/>
    <n v="34"/>
    <s v="PT-2202-019"/>
    <x v="1"/>
  </r>
  <r>
    <x v="0"/>
    <x v="1"/>
    <x v="2"/>
    <x v="3"/>
    <s v="Смешанный"/>
    <n v="415480"/>
    <n v="21"/>
    <s v="PT-2202-020"/>
    <x v="1"/>
  </r>
  <r>
    <x v="0"/>
    <x v="2"/>
    <x v="3"/>
    <x v="1"/>
    <s v="Интенсив"/>
    <n v="743870"/>
    <n v="37"/>
    <s v="PT-2203-021"/>
    <x v="2"/>
  </r>
  <r>
    <x v="0"/>
    <x v="2"/>
    <x v="0"/>
    <x v="2"/>
    <s v="Онлайн"/>
    <n v="180640"/>
    <n v="13"/>
    <s v="PT-2203-022"/>
    <x v="2"/>
  </r>
  <r>
    <x v="0"/>
    <x v="2"/>
    <x v="1"/>
    <x v="1"/>
    <s v="Онлайн"/>
    <n v="368420"/>
    <n v="30"/>
    <s v="PT-2203-023"/>
    <x v="2"/>
  </r>
  <r>
    <x v="0"/>
    <x v="2"/>
    <x v="1"/>
    <x v="0"/>
    <s v="Смешанный"/>
    <n v="276270"/>
    <n v="20"/>
    <s v="PT-2203-024"/>
    <x v="2"/>
  </r>
  <r>
    <x v="0"/>
    <x v="2"/>
    <x v="0"/>
    <x v="4"/>
    <s v="Очно"/>
    <n v="222340"/>
    <n v="12"/>
    <s v="PT-2203-025"/>
    <x v="2"/>
  </r>
  <r>
    <x v="0"/>
    <x v="2"/>
    <x v="1"/>
    <x v="0"/>
    <s v="Смешанный"/>
    <n v="242080"/>
    <n v="17"/>
    <s v="PT-2203-026"/>
    <x v="2"/>
  </r>
  <r>
    <x v="0"/>
    <x v="2"/>
    <x v="3"/>
    <x v="0"/>
    <s v="Смешанный"/>
    <n v="338470"/>
    <n v="21"/>
    <s v="PT-2203-027"/>
    <x v="2"/>
  </r>
  <r>
    <x v="0"/>
    <x v="2"/>
    <x v="0"/>
    <x v="0"/>
    <s v="Очно"/>
    <n v="543500"/>
    <n v="28"/>
    <s v="PT-2203-028"/>
    <x v="2"/>
  </r>
  <r>
    <x v="0"/>
    <x v="2"/>
    <x v="1"/>
    <x v="2"/>
    <s v="Интенсив"/>
    <n v="369550"/>
    <n v="19"/>
    <s v="PT-2203-029"/>
    <x v="2"/>
  </r>
  <r>
    <x v="0"/>
    <x v="2"/>
    <x v="4"/>
    <x v="0"/>
    <s v="Смешанный"/>
    <n v="347900"/>
    <n v="27"/>
    <s v="PT-2203-030"/>
    <x v="2"/>
  </r>
  <r>
    <x v="0"/>
    <x v="3"/>
    <x v="3"/>
    <x v="2"/>
    <s v="Интенсив"/>
    <n v="761340"/>
    <n v="36"/>
    <s v="PT-2204-031"/>
    <x v="3"/>
  </r>
  <r>
    <x v="0"/>
    <x v="3"/>
    <x v="0"/>
    <x v="3"/>
    <s v="Онлайн"/>
    <n v="220870"/>
    <n v="16"/>
    <s v="PT-2204-032"/>
    <x v="3"/>
  </r>
  <r>
    <x v="0"/>
    <x v="3"/>
    <x v="0"/>
    <x v="4"/>
    <s v="Очно"/>
    <n v="389350"/>
    <n v="20"/>
    <s v="PT-2204-033"/>
    <x v="3"/>
  </r>
  <r>
    <x v="0"/>
    <x v="3"/>
    <x v="2"/>
    <x v="4"/>
    <s v="Интенсив"/>
    <n v="316890"/>
    <n v="13"/>
    <s v="PT-2204-034"/>
    <x v="3"/>
  </r>
  <r>
    <x v="0"/>
    <x v="3"/>
    <x v="1"/>
    <x v="3"/>
    <s v="Интенсив"/>
    <n v="460170"/>
    <n v="25"/>
    <s v="PT-2204-035"/>
    <x v="3"/>
  </r>
  <r>
    <x v="0"/>
    <x v="3"/>
    <x v="2"/>
    <x v="4"/>
    <s v="Онлайн"/>
    <n v="253650"/>
    <n v="16"/>
    <s v="PT-2204-036"/>
    <x v="3"/>
  </r>
  <r>
    <x v="0"/>
    <x v="3"/>
    <x v="3"/>
    <x v="1"/>
    <s v="Очно"/>
    <n v="566420"/>
    <n v="32"/>
    <s v="PT-2204-037"/>
    <x v="3"/>
  </r>
  <r>
    <x v="0"/>
    <x v="3"/>
    <x v="4"/>
    <x v="0"/>
    <s v="Онлайн"/>
    <n v="360170"/>
    <n v="30"/>
    <s v="PT-2204-038"/>
    <x v="3"/>
  </r>
  <r>
    <x v="0"/>
    <x v="3"/>
    <x v="2"/>
    <x v="3"/>
    <s v="Интенсив"/>
    <n v="550050"/>
    <n v="22"/>
    <s v="PT-2204-039"/>
    <x v="3"/>
  </r>
  <r>
    <x v="0"/>
    <x v="3"/>
    <x v="1"/>
    <x v="1"/>
    <s v="Онлайн"/>
    <n v="469230"/>
    <n v="41"/>
    <s v="PT-2204-040"/>
    <x v="3"/>
  </r>
  <r>
    <x v="0"/>
    <x v="4"/>
    <x v="2"/>
    <x v="1"/>
    <s v="Онлайн"/>
    <n v="602600"/>
    <n v="38"/>
    <s v="PT-2205-041"/>
    <x v="4"/>
  </r>
  <r>
    <x v="0"/>
    <x v="4"/>
    <x v="0"/>
    <x v="1"/>
    <s v="Смешанный"/>
    <n v="195710"/>
    <n v="13"/>
    <s v="PT-2205-042"/>
    <x v="4"/>
  </r>
  <r>
    <x v="0"/>
    <x v="4"/>
    <x v="2"/>
    <x v="0"/>
    <s v="Очно"/>
    <n v="286620"/>
    <n v="12"/>
    <s v="PT-2205-043"/>
    <x v="4"/>
  </r>
  <r>
    <x v="0"/>
    <x v="4"/>
    <x v="2"/>
    <x v="2"/>
    <s v="Онлайн"/>
    <n v="339030"/>
    <n v="21"/>
    <s v="PT-2205-044"/>
    <x v="4"/>
  </r>
  <r>
    <x v="0"/>
    <x v="4"/>
    <x v="1"/>
    <x v="4"/>
    <s v="Смешанный"/>
    <n v="468720"/>
    <n v="33"/>
    <s v="PT-2205-045"/>
    <x v="4"/>
  </r>
  <r>
    <x v="0"/>
    <x v="4"/>
    <x v="0"/>
    <x v="0"/>
    <s v="Очно"/>
    <n v="668220"/>
    <n v="35"/>
    <s v="PT-2205-046"/>
    <x v="4"/>
  </r>
  <r>
    <x v="0"/>
    <x v="4"/>
    <x v="1"/>
    <x v="1"/>
    <s v="Онлайн"/>
    <n v="289640"/>
    <n v="24"/>
    <s v="PT-2205-047"/>
    <x v="4"/>
  </r>
  <r>
    <x v="0"/>
    <x v="4"/>
    <x v="2"/>
    <x v="3"/>
    <s v="Смешанный"/>
    <n v="668420"/>
    <n v="35"/>
    <s v="PT-2205-048"/>
    <x v="4"/>
  </r>
  <r>
    <x v="0"/>
    <x v="4"/>
    <x v="0"/>
    <x v="3"/>
    <s v="Очно"/>
    <n v="402320"/>
    <n v="21"/>
    <s v="PT-2205-049"/>
    <x v="4"/>
  </r>
  <r>
    <x v="0"/>
    <x v="4"/>
    <x v="3"/>
    <x v="0"/>
    <s v="Интенсив"/>
    <n v="242500"/>
    <n v="12"/>
    <s v="PT-2205-050"/>
    <x v="4"/>
  </r>
  <r>
    <x v="0"/>
    <x v="5"/>
    <x v="2"/>
    <x v="3"/>
    <s v="Интенсив"/>
    <n v="956590"/>
    <n v="37"/>
    <s v="PT-2206-051"/>
    <x v="5"/>
  </r>
  <r>
    <x v="0"/>
    <x v="5"/>
    <x v="1"/>
    <x v="2"/>
    <s v="Очно"/>
    <n v="598170"/>
    <n v="37"/>
    <s v="PT-2206-052"/>
    <x v="5"/>
  </r>
  <r>
    <x v="0"/>
    <x v="5"/>
    <x v="2"/>
    <x v="2"/>
    <s v="Очно"/>
    <n v="558690"/>
    <n v="24"/>
    <s v="PT-2206-053"/>
    <x v="5"/>
  </r>
  <r>
    <x v="0"/>
    <x v="5"/>
    <x v="0"/>
    <x v="4"/>
    <s v="Очно"/>
    <n v="336610"/>
    <n v="18"/>
    <s v="PT-2206-054"/>
    <x v="5"/>
  </r>
  <r>
    <x v="0"/>
    <x v="5"/>
    <x v="0"/>
    <x v="4"/>
    <s v="Онлайн"/>
    <n v="346820"/>
    <n v="26"/>
    <s v="PT-2206-055"/>
    <x v="5"/>
  </r>
  <r>
    <x v="0"/>
    <x v="5"/>
    <x v="0"/>
    <x v="4"/>
    <s v="Смешанный"/>
    <n v="585450"/>
    <n v="36"/>
    <s v="PT-2206-056"/>
    <x v="5"/>
  </r>
  <r>
    <x v="0"/>
    <x v="5"/>
    <x v="2"/>
    <x v="4"/>
    <s v="Онлайн"/>
    <n v="507640"/>
    <n v="32"/>
    <s v="PT-2206-057"/>
    <x v="5"/>
  </r>
  <r>
    <x v="0"/>
    <x v="5"/>
    <x v="3"/>
    <x v="3"/>
    <s v="Интенсив"/>
    <n v="700190"/>
    <n v="34"/>
    <s v="PT-2206-058"/>
    <x v="5"/>
  </r>
  <r>
    <x v="0"/>
    <x v="5"/>
    <x v="2"/>
    <x v="1"/>
    <s v="Смешанный"/>
    <n v="494240"/>
    <n v="27"/>
    <s v="PT-2206-059"/>
    <x v="5"/>
  </r>
  <r>
    <x v="0"/>
    <x v="5"/>
    <x v="1"/>
    <x v="3"/>
    <s v="Интенсив"/>
    <n v="547240"/>
    <n v="29"/>
    <s v="PT-2206-060"/>
    <x v="5"/>
  </r>
  <r>
    <x v="0"/>
    <x v="6"/>
    <x v="0"/>
    <x v="4"/>
    <s v="Интенсив"/>
    <n v="344860"/>
    <n v="16"/>
    <s v="PT-2207-061"/>
    <x v="6"/>
  </r>
  <r>
    <x v="0"/>
    <x v="6"/>
    <x v="2"/>
    <x v="3"/>
    <s v="Онлайн"/>
    <n v="249820"/>
    <n v="16"/>
    <s v="PT-2207-062"/>
    <x v="6"/>
  </r>
  <r>
    <x v="0"/>
    <x v="6"/>
    <x v="4"/>
    <x v="1"/>
    <s v="Смешанный"/>
    <n v="349440"/>
    <n v="27"/>
    <s v="PT-2207-063"/>
    <x v="6"/>
  </r>
  <r>
    <x v="0"/>
    <x v="6"/>
    <x v="1"/>
    <x v="3"/>
    <s v="Очно"/>
    <n v="245390"/>
    <n v="16"/>
    <s v="PT-2207-064"/>
    <x v="6"/>
  </r>
  <r>
    <x v="0"/>
    <x v="6"/>
    <x v="3"/>
    <x v="0"/>
    <s v="Онлайн"/>
    <n v="217110"/>
    <n v="16"/>
    <s v="PT-2207-065"/>
    <x v="6"/>
  </r>
  <r>
    <x v="0"/>
    <x v="6"/>
    <x v="1"/>
    <x v="2"/>
    <s v="Интенсив"/>
    <n v="729190"/>
    <n v="38"/>
    <s v="PT-2207-066"/>
    <x v="6"/>
  </r>
  <r>
    <x v="0"/>
    <x v="6"/>
    <x v="3"/>
    <x v="3"/>
    <s v="Очно"/>
    <n v="709350"/>
    <n v="39"/>
    <s v="PT-2207-067"/>
    <x v="6"/>
  </r>
  <r>
    <x v="0"/>
    <x v="6"/>
    <x v="1"/>
    <x v="0"/>
    <s v="Интенсив"/>
    <n v="272920"/>
    <n v="15"/>
    <s v="PT-2207-068"/>
    <x v="6"/>
  </r>
  <r>
    <x v="0"/>
    <x v="6"/>
    <x v="0"/>
    <x v="3"/>
    <s v="Смешанный"/>
    <n v="277500"/>
    <n v="17"/>
    <s v="PT-2207-069"/>
    <x v="6"/>
  </r>
  <r>
    <x v="0"/>
    <x v="6"/>
    <x v="3"/>
    <x v="4"/>
    <s v="Онлайн"/>
    <n v="365980"/>
    <n v="28"/>
    <s v="PT-2207-070"/>
    <x v="6"/>
  </r>
  <r>
    <x v="0"/>
    <x v="7"/>
    <x v="2"/>
    <x v="3"/>
    <s v="Интенсив"/>
    <n v="391170"/>
    <n v="15"/>
    <s v="PT-2208-071"/>
    <x v="7"/>
  </r>
  <r>
    <x v="0"/>
    <x v="7"/>
    <x v="0"/>
    <x v="2"/>
    <s v="Онлайн"/>
    <n v="504280"/>
    <n v="34"/>
    <s v="PT-2208-072"/>
    <x v="7"/>
  </r>
  <r>
    <x v="0"/>
    <x v="7"/>
    <x v="3"/>
    <x v="1"/>
    <s v="Очно"/>
    <n v="525930"/>
    <n v="29"/>
    <s v="PT-2208-073"/>
    <x v="7"/>
  </r>
  <r>
    <x v="0"/>
    <x v="7"/>
    <x v="4"/>
    <x v="2"/>
    <s v="Очно"/>
    <n v="439620"/>
    <n v="29"/>
    <s v="PT-2208-074"/>
    <x v="7"/>
  </r>
  <r>
    <x v="0"/>
    <x v="7"/>
    <x v="3"/>
    <x v="3"/>
    <s v="Интенсив"/>
    <n v="777640"/>
    <n v="38"/>
    <s v="PT-2208-075"/>
    <x v="7"/>
  </r>
  <r>
    <x v="0"/>
    <x v="7"/>
    <x v="0"/>
    <x v="1"/>
    <s v="Очно"/>
    <n v="340430"/>
    <n v="19"/>
    <s v="PT-2208-076"/>
    <x v="7"/>
  </r>
  <r>
    <x v="0"/>
    <x v="7"/>
    <x v="3"/>
    <x v="2"/>
    <s v="Интенсив"/>
    <n v="469960"/>
    <n v="22"/>
    <s v="PT-2208-077"/>
    <x v="7"/>
  </r>
  <r>
    <x v="0"/>
    <x v="7"/>
    <x v="4"/>
    <x v="1"/>
    <s v="Смешанный"/>
    <n v="205960"/>
    <n v="15"/>
    <s v="PT-2208-078"/>
    <x v="7"/>
  </r>
  <r>
    <x v="0"/>
    <x v="7"/>
    <x v="1"/>
    <x v="3"/>
    <s v="Очно"/>
    <n v="439200"/>
    <n v="26"/>
    <s v="PT-2208-079"/>
    <x v="7"/>
  </r>
  <r>
    <x v="0"/>
    <x v="7"/>
    <x v="0"/>
    <x v="3"/>
    <s v="Онлайн"/>
    <n v="420700"/>
    <n v="29"/>
    <s v="PT-2208-080"/>
    <x v="7"/>
  </r>
  <r>
    <x v="0"/>
    <x v="8"/>
    <x v="1"/>
    <x v="1"/>
    <s v="Онлайн"/>
    <n v="348110"/>
    <n v="29"/>
    <s v="PT-2209-081"/>
    <x v="8"/>
  </r>
  <r>
    <x v="0"/>
    <x v="8"/>
    <x v="3"/>
    <x v="4"/>
    <s v="Онлайн"/>
    <n v="318760"/>
    <n v="23"/>
    <s v="PT-2209-082"/>
    <x v="8"/>
  </r>
  <r>
    <x v="0"/>
    <x v="8"/>
    <x v="3"/>
    <x v="3"/>
    <s v="Интенсив"/>
    <n v="263220"/>
    <n v="13"/>
    <s v="PT-2209-083"/>
    <x v="8"/>
  </r>
  <r>
    <x v="0"/>
    <x v="8"/>
    <x v="0"/>
    <x v="2"/>
    <s v="Смешанный"/>
    <n v="438740"/>
    <n v="27"/>
    <s v="PT-2209-084"/>
    <x v="8"/>
  </r>
  <r>
    <x v="0"/>
    <x v="8"/>
    <x v="4"/>
    <x v="2"/>
    <s v="Очно"/>
    <n v="579020"/>
    <n v="36"/>
    <s v="PT-2209-085"/>
    <x v="8"/>
  </r>
  <r>
    <x v="0"/>
    <x v="8"/>
    <x v="2"/>
    <x v="3"/>
    <s v="Очно"/>
    <n v="826170"/>
    <n v="37"/>
    <s v="PT-2209-086"/>
    <x v="8"/>
  </r>
  <r>
    <x v="0"/>
    <x v="8"/>
    <x v="3"/>
    <x v="4"/>
    <s v="Онлайн"/>
    <n v="261580"/>
    <n v="20"/>
    <s v="PT-2209-087"/>
    <x v="8"/>
  </r>
  <r>
    <x v="0"/>
    <x v="8"/>
    <x v="4"/>
    <x v="1"/>
    <s v="Очно"/>
    <n v="234970"/>
    <n v="16"/>
    <s v="PT-2209-088"/>
    <x v="8"/>
  </r>
  <r>
    <x v="0"/>
    <x v="8"/>
    <x v="2"/>
    <x v="3"/>
    <s v="Онлайн"/>
    <n v="310700"/>
    <n v="19"/>
    <s v="PT-2209-089"/>
    <x v="8"/>
  </r>
  <r>
    <x v="0"/>
    <x v="8"/>
    <x v="0"/>
    <x v="4"/>
    <s v="Смешанный"/>
    <n v="207950"/>
    <n v="13"/>
    <s v="PT-2209-090"/>
    <x v="8"/>
  </r>
  <r>
    <x v="0"/>
    <x v="9"/>
    <x v="4"/>
    <x v="4"/>
    <s v="Очно"/>
    <n v="324280"/>
    <n v="22"/>
    <s v="PT-2210-091"/>
    <x v="9"/>
  </r>
  <r>
    <x v="0"/>
    <x v="9"/>
    <x v="3"/>
    <x v="1"/>
    <s v="Смешанный"/>
    <n v="561590"/>
    <n v="38"/>
    <s v="PT-2210-092"/>
    <x v="9"/>
  </r>
  <r>
    <x v="0"/>
    <x v="9"/>
    <x v="0"/>
    <x v="0"/>
    <s v="Интенсив"/>
    <n v="734730"/>
    <n v="32"/>
    <s v="PT-2210-093"/>
    <x v="9"/>
  </r>
  <r>
    <x v="0"/>
    <x v="9"/>
    <x v="1"/>
    <x v="2"/>
    <s v="Интенсив"/>
    <n v="683950"/>
    <n v="36"/>
    <s v="PT-2210-094"/>
    <x v="9"/>
  </r>
  <r>
    <x v="0"/>
    <x v="9"/>
    <x v="0"/>
    <x v="2"/>
    <s v="Очно"/>
    <n v="498040"/>
    <n v="26"/>
    <s v="PT-2210-095"/>
    <x v="9"/>
  </r>
  <r>
    <x v="0"/>
    <x v="9"/>
    <x v="1"/>
    <x v="4"/>
    <s v="Смешанный"/>
    <n v="553490"/>
    <n v="41"/>
    <s v="PT-2210-096"/>
    <x v="9"/>
  </r>
  <r>
    <x v="0"/>
    <x v="9"/>
    <x v="2"/>
    <x v="2"/>
    <s v="Онлайн"/>
    <n v="469050"/>
    <n v="27"/>
    <s v="PT-2210-097"/>
    <x v="9"/>
  </r>
  <r>
    <x v="0"/>
    <x v="9"/>
    <x v="1"/>
    <x v="2"/>
    <s v="Смешанный"/>
    <n v="314410"/>
    <n v="21"/>
    <s v="PT-2210-098"/>
    <x v="9"/>
  </r>
  <r>
    <x v="0"/>
    <x v="9"/>
    <x v="1"/>
    <x v="0"/>
    <s v="Онлайн"/>
    <n v="444330"/>
    <n v="37"/>
    <s v="PT-2210-099"/>
    <x v="9"/>
  </r>
  <r>
    <x v="0"/>
    <x v="9"/>
    <x v="1"/>
    <x v="1"/>
    <s v="Очно"/>
    <n v="264590"/>
    <n v="17"/>
    <s v="PT-2210-100"/>
    <x v="9"/>
  </r>
  <r>
    <x v="0"/>
    <x v="10"/>
    <x v="2"/>
    <x v="3"/>
    <s v="Интенсив"/>
    <n v="698350"/>
    <n v="27"/>
    <s v="PT-2211-101"/>
    <x v="10"/>
  </r>
  <r>
    <x v="0"/>
    <x v="10"/>
    <x v="2"/>
    <x v="1"/>
    <s v="Интенсив"/>
    <n v="743230"/>
    <n v="30"/>
    <s v="PT-2211-102"/>
    <x v="10"/>
  </r>
  <r>
    <x v="0"/>
    <x v="10"/>
    <x v="0"/>
    <x v="3"/>
    <s v="Онлайн"/>
    <n v="390590"/>
    <n v="28"/>
    <s v="PT-2211-103"/>
    <x v="10"/>
  </r>
  <r>
    <x v="0"/>
    <x v="10"/>
    <x v="4"/>
    <x v="2"/>
    <s v="Интенсив"/>
    <n v="620670"/>
    <n v="34"/>
    <s v="PT-2211-104"/>
    <x v="10"/>
  </r>
  <r>
    <x v="0"/>
    <x v="10"/>
    <x v="1"/>
    <x v="3"/>
    <s v="Интенсив"/>
    <n v="745810"/>
    <n v="39"/>
    <s v="PT-2211-105"/>
    <x v="10"/>
  </r>
  <r>
    <x v="0"/>
    <x v="10"/>
    <x v="1"/>
    <x v="2"/>
    <s v="Смешанный"/>
    <n v="319370"/>
    <n v="23"/>
    <s v="PT-2211-106"/>
    <x v="10"/>
  </r>
  <r>
    <x v="0"/>
    <x v="10"/>
    <x v="0"/>
    <x v="4"/>
    <s v="Смешанный"/>
    <n v="254240"/>
    <n v="15"/>
    <s v="PT-2211-107"/>
    <x v="10"/>
  </r>
  <r>
    <x v="0"/>
    <x v="10"/>
    <x v="2"/>
    <x v="1"/>
    <s v="Очно"/>
    <n v="568030"/>
    <n v="27"/>
    <s v="PT-2211-108"/>
    <x v="10"/>
  </r>
  <r>
    <x v="0"/>
    <x v="10"/>
    <x v="0"/>
    <x v="4"/>
    <s v="Интенсив"/>
    <n v="683130"/>
    <n v="32"/>
    <s v="PT-2211-109"/>
    <x v="10"/>
  </r>
  <r>
    <x v="0"/>
    <x v="10"/>
    <x v="4"/>
    <x v="4"/>
    <s v="Очно"/>
    <n v="348330"/>
    <n v="24"/>
    <s v="PT-2211-110"/>
    <x v="10"/>
  </r>
  <r>
    <x v="0"/>
    <x v="11"/>
    <x v="3"/>
    <x v="3"/>
    <s v="Очно"/>
    <n v="724970"/>
    <n v="41"/>
    <s v="PT-2212-111"/>
    <x v="11"/>
  </r>
  <r>
    <x v="0"/>
    <x v="11"/>
    <x v="1"/>
    <x v="3"/>
    <s v="Онлайн"/>
    <n v="334910"/>
    <n v="28"/>
    <s v="PT-2212-112"/>
    <x v="11"/>
  </r>
  <r>
    <x v="0"/>
    <x v="11"/>
    <x v="0"/>
    <x v="1"/>
    <s v="Онлайн"/>
    <n v="380170"/>
    <n v="29"/>
    <s v="PT-2212-113"/>
    <x v="11"/>
  </r>
  <r>
    <x v="0"/>
    <x v="11"/>
    <x v="3"/>
    <x v="0"/>
    <s v="Интенсив"/>
    <n v="326620"/>
    <n v="16"/>
    <s v="PT-2212-114"/>
    <x v="11"/>
  </r>
  <r>
    <x v="0"/>
    <x v="11"/>
    <x v="1"/>
    <x v="3"/>
    <s v="Интенсив"/>
    <n v="591640"/>
    <n v="31"/>
    <s v="PT-2212-115"/>
    <x v="11"/>
  </r>
  <r>
    <x v="0"/>
    <x v="11"/>
    <x v="4"/>
    <x v="1"/>
    <s v="Интенсив"/>
    <n v="191220"/>
    <n v="12"/>
    <s v="PT-2212-116"/>
    <x v="11"/>
  </r>
  <r>
    <x v="0"/>
    <x v="11"/>
    <x v="0"/>
    <x v="1"/>
    <s v="Интенсив"/>
    <n v="365210"/>
    <n v="18"/>
    <s v="PT-2212-117"/>
    <x v="11"/>
  </r>
  <r>
    <x v="0"/>
    <x v="11"/>
    <x v="3"/>
    <x v="1"/>
    <s v="Смешанный"/>
    <n v="312000"/>
    <n v="22"/>
    <s v="PT-2212-118"/>
    <x v="11"/>
  </r>
  <r>
    <x v="0"/>
    <x v="11"/>
    <x v="0"/>
    <x v="0"/>
    <s v="Очно"/>
    <n v="757120"/>
    <n v="38"/>
    <s v="PT-2212-119"/>
    <x v="11"/>
  </r>
  <r>
    <x v="0"/>
    <x v="11"/>
    <x v="1"/>
    <x v="4"/>
    <s v="Очно"/>
    <n v="338630"/>
    <n v="21"/>
    <s v="PT-2212-120"/>
    <x v="11"/>
  </r>
  <r>
    <x v="1"/>
    <x v="0"/>
    <x v="2"/>
    <x v="2"/>
    <s v="Очно"/>
    <n v="918250"/>
    <n v="40"/>
    <s v="PT-2301-121"/>
    <x v="0"/>
  </r>
  <r>
    <x v="1"/>
    <x v="0"/>
    <x v="3"/>
    <x v="0"/>
    <s v="Очно"/>
    <n v="701990"/>
    <n v="37"/>
    <s v="PT-2301-122"/>
    <x v="0"/>
  </r>
  <r>
    <x v="1"/>
    <x v="0"/>
    <x v="3"/>
    <x v="3"/>
    <s v="Интенсив"/>
    <n v="337150"/>
    <n v="17"/>
    <s v="PT-2301-123"/>
    <x v="0"/>
  </r>
  <r>
    <x v="1"/>
    <x v="0"/>
    <x v="0"/>
    <x v="2"/>
    <s v="Смешанный"/>
    <n v="438160"/>
    <n v="27"/>
    <s v="PT-2301-124"/>
    <x v="0"/>
  </r>
  <r>
    <x v="1"/>
    <x v="0"/>
    <x v="3"/>
    <x v="0"/>
    <s v="Интенсив"/>
    <n v="469810"/>
    <n v="22"/>
    <s v="PT-2301-125"/>
    <x v="0"/>
  </r>
  <r>
    <x v="1"/>
    <x v="0"/>
    <x v="2"/>
    <x v="0"/>
    <s v="Смешанный"/>
    <n v="219680"/>
    <n v="12"/>
    <s v="PT-2301-126"/>
    <x v="0"/>
  </r>
  <r>
    <x v="1"/>
    <x v="0"/>
    <x v="1"/>
    <x v="1"/>
    <s v="Очно"/>
    <n v="208620"/>
    <n v="12"/>
    <s v="PT-2301-127"/>
    <x v="0"/>
  </r>
  <r>
    <x v="1"/>
    <x v="0"/>
    <x v="0"/>
    <x v="1"/>
    <s v="Смешанный"/>
    <n v="237350"/>
    <n v="14"/>
    <s v="PT-2301-128"/>
    <x v="0"/>
  </r>
  <r>
    <x v="1"/>
    <x v="0"/>
    <x v="3"/>
    <x v="3"/>
    <s v="Интенсив"/>
    <n v="504610"/>
    <n v="24"/>
    <s v="PT-2301-129"/>
    <x v="0"/>
  </r>
  <r>
    <x v="1"/>
    <x v="0"/>
    <x v="4"/>
    <x v="4"/>
    <s v="Смешанный"/>
    <n v="304410"/>
    <n v="24"/>
    <s v="PT-2301-130"/>
    <x v="0"/>
  </r>
  <r>
    <x v="1"/>
    <x v="1"/>
    <x v="0"/>
    <x v="4"/>
    <s v="Интенсив"/>
    <n v="512150"/>
    <n v="24"/>
    <s v="PT-2302-131"/>
    <x v="1"/>
  </r>
  <r>
    <x v="1"/>
    <x v="1"/>
    <x v="1"/>
    <x v="1"/>
    <s v="Смешанный"/>
    <n v="419660"/>
    <n v="32"/>
    <s v="PT-2302-132"/>
    <x v="1"/>
  </r>
  <r>
    <x v="1"/>
    <x v="1"/>
    <x v="4"/>
    <x v="3"/>
    <s v="Смешанный"/>
    <n v="433030"/>
    <n v="33"/>
    <s v="PT-2302-133"/>
    <x v="1"/>
  </r>
  <r>
    <x v="1"/>
    <x v="1"/>
    <x v="2"/>
    <x v="4"/>
    <s v="Онлайн"/>
    <n v="678440"/>
    <n v="41"/>
    <s v="PT-2302-134"/>
    <x v="1"/>
  </r>
  <r>
    <x v="1"/>
    <x v="1"/>
    <x v="0"/>
    <x v="2"/>
    <s v="Онлайн"/>
    <n v="350970"/>
    <n v="24"/>
    <s v="PT-2302-135"/>
    <x v="1"/>
  </r>
  <r>
    <x v="1"/>
    <x v="1"/>
    <x v="1"/>
    <x v="1"/>
    <s v="Смешанный"/>
    <n v="190830"/>
    <n v="14"/>
    <s v="PT-2302-136"/>
    <x v="1"/>
  </r>
  <r>
    <x v="1"/>
    <x v="1"/>
    <x v="3"/>
    <x v="3"/>
    <s v="Очно"/>
    <n v="675160"/>
    <n v="38"/>
    <s v="PT-2302-137"/>
    <x v="1"/>
  </r>
  <r>
    <x v="1"/>
    <x v="1"/>
    <x v="1"/>
    <x v="2"/>
    <s v="Интенсив"/>
    <n v="767100"/>
    <n v="41"/>
    <s v="PT-2302-138"/>
    <x v="1"/>
  </r>
  <r>
    <x v="1"/>
    <x v="1"/>
    <x v="1"/>
    <x v="0"/>
    <s v="Смешанный"/>
    <n v="417130"/>
    <n v="29"/>
    <s v="PT-2302-139"/>
    <x v="1"/>
  </r>
  <r>
    <x v="1"/>
    <x v="1"/>
    <x v="4"/>
    <x v="4"/>
    <s v="Смешанный"/>
    <n v="376540"/>
    <n v="29"/>
    <s v="PT-2302-140"/>
    <x v="1"/>
  </r>
  <r>
    <x v="1"/>
    <x v="2"/>
    <x v="1"/>
    <x v="2"/>
    <s v="Онлайн"/>
    <n v="195860"/>
    <n v="15"/>
    <s v="PT-2303-141"/>
    <x v="2"/>
  </r>
  <r>
    <x v="1"/>
    <x v="2"/>
    <x v="2"/>
    <x v="3"/>
    <s v="Онлайн"/>
    <n v="353700"/>
    <n v="21"/>
    <s v="PT-2303-142"/>
    <x v="2"/>
  </r>
  <r>
    <x v="1"/>
    <x v="2"/>
    <x v="1"/>
    <x v="3"/>
    <s v="Очно"/>
    <n v="249440"/>
    <n v="16"/>
    <s v="PT-2303-143"/>
    <x v="2"/>
  </r>
  <r>
    <x v="1"/>
    <x v="2"/>
    <x v="1"/>
    <x v="0"/>
    <s v="Очно"/>
    <n v="685210"/>
    <n v="41"/>
    <s v="PT-2303-144"/>
    <x v="2"/>
  </r>
  <r>
    <x v="1"/>
    <x v="2"/>
    <x v="2"/>
    <x v="0"/>
    <s v="Очно"/>
    <n v="796430"/>
    <n v="34"/>
    <s v="PT-2303-145"/>
    <x v="2"/>
  </r>
  <r>
    <x v="1"/>
    <x v="2"/>
    <x v="2"/>
    <x v="3"/>
    <s v="Интенсив"/>
    <n v="642290"/>
    <n v="25"/>
    <s v="PT-2303-146"/>
    <x v="2"/>
  </r>
  <r>
    <x v="1"/>
    <x v="2"/>
    <x v="0"/>
    <x v="1"/>
    <s v="Интенсив"/>
    <n v="456480"/>
    <n v="22"/>
    <s v="PT-2303-147"/>
    <x v="2"/>
  </r>
  <r>
    <x v="1"/>
    <x v="2"/>
    <x v="3"/>
    <x v="2"/>
    <s v="Очно"/>
    <n v="741130"/>
    <n v="40"/>
    <s v="PT-2303-148"/>
    <x v="2"/>
  </r>
  <r>
    <x v="1"/>
    <x v="2"/>
    <x v="2"/>
    <x v="1"/>
    <s v="Смешанный"/>
    <n v="724740"/>
    <n v="39"/>
    <s v="PT-2303-149"/>
    <x v="2"/>
  </r>
  <r>
    <x v="1"/>
    <x v="2"/>
    <x v="4"/>
    <x v="3"/>
    <s v="Интенсив"/>
    <n v="449600"/>
    <n v="25"/>
    <s v="PT-2303-150"/>
    <x v="2"/>
  </r>
  <r>
    <x v="1"/>
    <x v="3"/>
    <x v="1"/>
    <x v="3"/>
    <s v="Интенсив"/>
    <n v="721860"/>
    <n v="38"/>
    <s v="PT-2304-151"/>
    <x v="3"/>
  </r>
  <r>
    <x v="1"/>
    <x v="3"/>
    <x v="3"/>
    <x v="3"/>
    <s v="Очно"/>
    <n v="478270"/>
    <n v="26"/>
    <s v="PT-2304-152"/>
    <x v="3"/>
  </r>
  <r>
    <x v="1"/>
    <x v="3"/>
    <x v="2"/>
    <x v="0"/>
    <s v="Интенсив"/>
    <n v="520780"/>
    <n v="20"/>
    <s v="PT-2304-153"/>
    <x v="3"/>
  </r>
  <r>
    <x v="1"/>
    <x v="3"/>
    <x v="0"/>
    <x v="2"/>
    <s v="Смешанный"/>
    <n v="252410"/>
    <n v="16"/>
    <s v="PT-2304-154"/>
    <x v="3"/>
  </r>
  <r>
    <x v="1"/>
    <x v="3"/>
    <x v="4"/>
    <x v="4"/>
    <s v="Онлайн"/>
    <n v="454970"/>
    <n v="42"/>
    <s v="PT-2304-155"/>
    <x v="3"/>
  </r>
  <r>
    <x v="1"/>
    <x v="3"/>
    <x v="3"/>
    <x v="0"/>
    <s v="Онлайн"/>
    <n v="404100"/>
    <n v="30"/>
    <s v="PT-2304-156"/>
    <x v="3"/>
  </r>
  <r>
    <x v="1"/>
    <x v="3"/>
    <x v="0"/>
    <x v="0"/>
    <s v="Очно"/>
    <n v="524630"/>
    <n v="27"/>
    <s v="PT-2304-157"/>
    <x v="3"/>
  </r>
  <r>
    <x v="1"/>
    <x v="3"/>
    <x v="4"/>
    <x v="4"/>
    <s v="Очно"/>
    <n v="210160"/>
    <n v="13"/>
    <s v="PT-2304-158"/>
    <x v="3"/>
  </r>
  <r>
    <x v="1"/>
    <x v="3"/>
    <x v="1"/>
    <x v="4"/>
    <s v="Онлайн"/>
    <n v="367470"/>
    <n v="30"/>
    <s v="PT-2304-159"/>
    <x v="3"/>
  </r>
  <r>
    <x v="1"/>
    <x v="3"/>
    <x v="2"/>
    <x v="0"/>
    <s v="Онлайн"/>
    <n v="277070"/>
    <n v="17"/>
    <s v="PT-2304-160"/>
    <x v="3"/>
  </r>
  <r>
    <x v="1"/>
    <x v="4"/>
    <x v="2"/>
    <x v="4"/>
    <s v="Очно"/>
    <n v="764240"/>
    <n v="35"/>
    <s v="PT-2305-161"/>
    <x v="4"/>
  </r>
  <r>
    <x v="1"/>
    <x v="4"/>
    <x v="1"/>
    <x v="2"/>
    <s v="Смешанный"/>
    <n v="231050"/>
    <n v="17"/>
    <s v="PT-2305-162"/>
    <x v="4"/>
  </r>
  <r>
    <x v="1"/>
    <x v="4"/>
    <x v="1"/>
    <x v="3"/>
    <s v="Интенсив"/>
    <n v="391250"/>
    <n v="20"/>
    <s v="PT-2305-163"/>
    <x v="4"/>
  </r>
  <r>
    <x v="1"/>
    <x v="4"/>
    <x v="3"/>
    <x v="2"/>
    <s v="Смешанный"/>
    <n v="559360"/>
    <n v="36"/>
    <s v="PT-2305-164"/>
    <x v="4"/>
  </r>
  <r>
    <x v="1"/>
    <x v="4"/>
    <x v="1"/>
    <x v="3"/>
    <s v="Онлайн"/>
    <n v="152080"/>
    <n v="13"/>
    <s v="PT-2305-165"/>
    <x v="4"/>
  </r>
  <r>
    <x v="1"/>
    <x v="4"/>
    <x v="2"/>
    <x v="2"/>
    <s v="Смешанный"/>
    <n v="253050"/>
    <n v="14"/>
    <s v="PT-2305-166"/>
    <x v="4"/>
  </r>
  <r>
    <x v="1"/>
    <x v="4"/>
    <x v="4"/>
    <x v="1"/>
    <s v="Интенсив"/>
    <n v="476680"/>
    <n v="27"/>
    <s v="PT-2305-167"/>
    <x v="4"/>
  </r>
  <r>
    <x v="1"/>
    <x v="4"/>
    <x v="3"/>
    <x v="4"/>
    <s v="Онлайн"/>
    <n v="312570"/>
    <n v="23"/>
    <s v="PT-2305-168"/>
    <x v="4"/>
  </r>
  <r>
    <x v="1"/>
    <x v="4"/>
    <x v="4"/>
    <x v="1"/>
    <s v="Очно"/>
    <n v="336920"/>
    <n v="22"/>
    <s v="PT-2305-169"/>
    <x v="4"/>
  </r>
  <r>
    <x v="1"/>
    <x v="4"/>
    <x v="1"/>
    <x v="0"/>
    <s v="Смешанный"/>
    <n v="540920"/>
    <n v="37"/>
    <s v="PT-2305-170"/>
    <x v="4"/>
  </r>
  <r>
    <x v="1"/>
    <x v="5"/>
    <x v="0"/>
    <x v="1"/>
    <s v="Онлайн"/>
    <n v="312990"/>
    <n v="24"/>
    <s v="PT-2306-171"/>
    <x v="5"/>
  </r>
  <r>
    <x v="1"/>
    <x v="5"/>
    <x v="0"/>
    <x v="2"/>
    <s v="Очно"/>
    <n v="269050"/>
    <n v="13"/>
    <s v="PT-2306-172"/>
    <x v="5"/>
  </r>
  <r>
    <x v="1"/>
    <x v="5"/>
    <x v="3"/>
    <x v="1"/>
    <s v="Смешанный"/>
    <n v="380090"/>
    <n v="26"/>
    <s v="PT-2306-173"/>
    <x v="5"/>
  </r>
  <r>
    <x v="1"/>
    <x v="5"/>
    <x v="1"/>
    <x v="1"/>
    <s v="Очно"/>
    <n v="524860"/>
    <n v="33"/>
    <s v="PT-2306-174"/>
    <x v="5"/>
  </r>
  <r>
    <x v="1"/>
    <x v="5"/>
    <x v="4"/>
    <x v="1"/>
    <s v="Смешанный"/>
    <n v="468110"/>
    <n v="37"/>
    <s v="PT-2306-175"/>
    <x v="5"/>
  </r>
  <r>
    <x v="1"/>
    <x v="5"/>
    <x v="1"/>
    <x v="1"/>
    <s v="Очно"/>
    <n v="501960"/>
    <n v="31"/>
    <s v="PT-2306-176"/>
    <x v="5"/>
  </r>
  <r>
    <x v="1"/>
    <x v="5"/>
    <x v="2"/>
    <x v="0"/>
    <s v="Интенсив"/>
    <n v="317120"/>
    <n v="12"/>
    <s v="PT-2306-177"/>
    <x v="5"/>
  </r>
  <r>
    <x v="1"/>
    <x v="5"/>
    <x v="4"/>
    <x v="0"/>
    <s v="Интенсив"/>
    <n v="587920"/>
    <n v="33"/>
    <s v="PT-2306-178"/>
    <x v="5"/>
  </r>
  <r>
    <x v="1"/>
    <x v="5"/>
    <x v="4"/>
    <x v="0"/>
    <s v="Смешанный"/>
    <n v="172580"/>
    <n v="14"/>
    <s v="PT-2306-179"/>
    <x v="5"/>
  </r>
  <r>
    <x v="1"/>
    <x v="5"/>
    <x v="3"/>
    <x v="0"/>
    <s v="Смешанный"/>
    <n v="523340"/>
    <n v="34"/>
    <s v="PT-2306-180"/>
    <x v="5"/>
  </r>
  <r>
    <x v="1"/>
    <x v="6"/>
    <x v="2"/>
    <x v="1"/>
    <s v="Интенсив"/>
    <n v="931210"/>
    <n v="38"/>
    <s v="PT-2307-181"/>
    <x v="6"/>
  </r>
  <r>
    <x v="1"/>
    <x v="6"/>
    <x v="4"/>
    <x v="4"/>
    <s v="Очно"/>
    <n v="615390"/>
    <n v="40"/>
    <s v="PT-2307-182"/>
    <x v="6"/>
  </r>
  <r>
    <x v="1"/>
    <x v="6"/>
    <x v="0"/>
    <x v="0"/>
    <s v="Онлайн"/>
    <n v="185980"/>
    <n v="13"/>
    <s v="PT-2307-183"/>
    <x v="6"/>
  </r>
  <r>
    <x v="1"/>
    <x v="6"/>
    <x v="1"/>
    <x v="0"/>
    <s v="Очно"/>
    <n v="310710"/>
    <n v="19"/>
    <s v="PT-2307-184"/>
    <x v="6"/>
  </r>
  <r>
    <x v="1"/>
    <x v="6"/>
    <x v="0"/>
    <x v="4"/>
    <s v="Очно"/>
    <n v="633570"/>
    <n v="34"/>
    <s v="PT-2307-185"/>
    <x v="6"/>
  </r>
  <r>
    <x v="1"/>
    <x v="6"/>
    <x v="4"/>
    <x v="4"/>
    <s v="Смешанный"/>
    <n v="284770"/>
    <n v="21"/>
    <s v="PT-2307-186"/>
    <x v="6"/>
  </r>
  <r>
    <x v="1"/>
    <x v="6"/>
    <x v="3"/>
    <x v="0"/>
    <s v="Очно"/>
    <n v="227240"/>
    <n v="13"/>
    <s v="PT-2307-187"/>
    <x v="6"/>
  </r>
  <r>
    <x v="1"/>
    <x v="6"/>
    <x v="2"/>
    <x v="1"/>
    <s v="Интенсив"/>
    <n v="944710"/>
    <n v="38"/>
    <s v="PT-2307-188"/>
    <x v="6"/>
  </r>
  <r>
    <x v="1"/>
    <x v="6"/>
    <x v="2"/>
    <x v="1"/>
    <s v="Интенсив"/>
    <n v="682750"/>
    <n v="27"/>
    <s v="PT-2307-189"/>
    <x v="6"/>
  </r>
  <r>
    <x v="1"/>
    <x v="6"/>
    <x v="1"/>
    <x v="1"/>
    <s v="Смешанный"/>
    <n v="485010"/>
    <n v="36"/>
    <s v="PT-2307-190"/>
    <x v="6"/>
  </r>
  <r>
    <x v="1"/>
    <x v="7"/>
    <x v="4"/>
    <x v="1"/>
    <s v="Очно"/>
    <n v="346460"/>
    <n v="23"/>
    <s v="PT-2308-191"/>
    <x v="7"/>
  </r>
  <r>
    <x v="1"/>
    <x v="7"/>
    <x v="0"/>
    <x v="2"/>
    <s v="Очно"/>
    <n v="549430"/>
    <n v="28"/>
    <s v="PT-2308-192"/>
    <x v="7"/>
  </r>
  <r>
    <x v="1"/>
    <x v="7"/>
    <x v="0"/>
    <x v="0"/>
    <s v="Смешанный"/>
    <n v="251100"/>
    <n v="16"/>
    <s v="PT-2308-193"/>
    <x v="7"/>
  </r>
  <r>
    <x v="1"/>
    <x v="7"/>
    <x v="0"/>
    <x v="4"/>
    <s v="Очно"/>
    <n v="270050"/>
    <n v="15"/>
    <s v="PT-2308-194"/>
    <x v="7"/>
  </r>
  <r>
    <x v="1"/>
    <x v="7"/>
    <x v="4"/>
    <x v="4"/>
    <s v="Очно"/>
    <n v="548750"/>
    <n v="36"/>
    <s v="PT-2308-195"/>
    <x v="7"/>
  </r>
  <r>
    <x v="1"/>
    <x v="7"/>
    <x v="0"/>
    <x v="3"/>
    <s v="Интенсив"/>
    <n v="418570"/>
    <n v="19"/>
    <s v="PT-2308-196"/>
    <x v="7"/>
  </r>
  <r>
    <x v="1"/>
    <x v="7"/>
    <x v="4"/>
    <x v="4"/>
    <s v="Интенсив"/>
    <n v="256180"/>
    <n v="14"/>
    <s v="PT-2308-197"/>
    <x v="7"/>
  </r>
  <r>
    <x v="1"/>
    <x v="7"/>
    <x v="2"/>
    <x v="1"/>
    <s v="Онлайн"/>
    <n v="565640"/>
    <n v="35"/>
    <s v="PT-2308-198"/>
    <x v="7"/>
  </r>
  <r>
    <x v="1"/>
    <x v="7"/>
    <x v="0"/>
    <x v="1"/>
    <s v="Онлайн"/>
    <n v="379910"/>
    <n v="29"/>
    <s v="PT-2308-199"/>
    <x v="7"/>
  </r>
  <r>
    <x v="1"/>
    <x v="7"/>
    <x v="0"/>
    <x v="1"/>
    <s v="Онлайн"/>
    <n v="376720"/>
    <n v="27"/>
    <s v="PT-2308-200"/>
    <x v="7"/>
  </r>
  <r>
    <x v="1"/>
    <x v="8"/>
    <x v="4"/>
    <x v="4"/>
    <s v="Интенсив"/>
    <n v="573950"/>
    <n v="34"/>
    <s v="PT-2309-201"/>
    <x v="8"/>
  </r>
  <r>
    <x v="1"/>
    <x v="8"/>
    <x v="2"/>
    <x v="4"/>
    <s v="Интенсив"/>
    <n v="1005920"/>
    <n v="40"/>
    <s v="PT-2309-202"/>
    <x v="8"/>
  </r>
  <r>
    <x v="1"/>
    <x v="8"/>
    <x v="1"/>
    <x v="4"/>
    <s v="Интенсив"/>
    <n v="714390"/>
    <n v="38"/>
    <s v="PT-2309-203"/>
    <x v="8"/>
  </r>
  <r>
    <x v="1"/>
    <x v="8"/>
    <x v="1"/>
    <x v="0"/>
    <s v="Смешанный"/>
    <n v="520410"/>
    <n v="37"/>
    <s v="PT-2309-204"/>
    <x v="8"/>
  </r>
  <r>
    <x v="1"/>
    <x v="8"/>
    <x v="2"/>
    <x v="1"/>
    <s v="Смешанный"/>
    <n v="520880"/>
    <n v="29"/>
    <s v="PT-2309-205"/>
    <x v="8"/>
  </r>
  <r>
    <x v="1"/>
    <x v="8"/>
    <x v="4"/>
    <x v="4"/>
    <s v="Интенсив"/>
    <n v="504960"/>
    <n v="28"/>
    <s v="PT-2309-206"/>
    <x v="8"/>
  </r>
  <r>
    <x v="1"/>
    <x v="8"/>
    <x v="1"/>
    <x v="0"/>
    <s v="Смешанный"/>
    <n v="340400"/>
    <n v="24"/>
    <s v="PT-2309-207"/>
    <x v="8"/>
  </r>
  <r>
    <x v="1"/>
    <x v="8"/>
    <x v="4"/>
    <x v="0"/>
    <s v="Смешанный"/>
    <n v="333020"/>
    <n v="26"/>
    <s v="PT-2309-208"/>
    <x v="8"/>
  </r>
  <r>
    <x v="1"/>
    <x v="8"/>
    <x v="1"/>
    <x v="0"/>
    <s v="Онлайн"/>
    <n v="539650"/>
    <n v="42"/>
    <s v="PT-2309-209"/>
    <x v="8"/>
  </r>
  <r>
    <x v="1"/>
    <x v="8"/>
    <x v="0"/>
    <x v="0"/>
    <s v="Смешанный"/>
    <n v="389060"/>
    <n v="24"/>
    <s v="PT-2309-210"/>
    <x v="8"/>
  </r>
  <r>
    <x v="1"/>
    <x v="9"/>
    <x v="0"/>
    <x v="4"/>
    <s v="Смешанный"/>
    <n v="238880"/>
    <n v="14"/>
    <s v="PT-2310-211"/>
    <x v="9"/>
  </r>
  <r>
    <x v="1"/>
    <x v="9"/>
    <x v="2"/>
    <x v="1"/>
    <s v="Онлайн"/>
    <n v="307580"/>
    <n v="19"/>
    <s v="PT-2310-212"/>
    <x v="9"/>
  </r>
  <r>
    <x v="1"/>
    <x v="9"/>
    <x v="3"/>
    <x v="2"/>
    <s v="Смешанный"/>
    <n v="622600"/>
    <n v="39"/>
    <s v="PT-2310-213"/>
    <x v="9"/>
  </r>
  <r>
    <x v="1"/>
    <x v="9"/>
    <x v="3"/>
    <x v="2"/>
    <s v="Онлайн"/>
    <n v="536350"/>
    <n v="39"/>
    <s v="PT-2310-214"/>
    <x v="9"/>
  </r>
  <r>
    <x v="1"/>
    <x v="9"/>
    <x v="4"/>
    <x v="4"/>
    <s v="Очно"/>
    <n v="584200"/>
    <n v="39"/>
    <s v="PT-2310-215"/>
    <x v="9"/>
  </r>
  <r>
    <x v="1"/>
    <x v="9"/>
    <x v="1"/>
    <x v="0"/>
    <s v="Интенсив"/>
    <n v="686360"/>
    <n v="36"/>
    <s v="PT-2310-216"/>
    <x v="9"/>
  </r>
  <r>
    <x v="1"/>
    <x v="9"/>
    <x v="2"/>
    <x v="4"/>
    <s v="Онлайн"/>
    <n v="290410"/>
    <n v="17"/>
    <s v="PT-2310-217"/>
    <x v="9"/>
  </r>
  <r>
    <x v="1"/>
    <x v="9"/>
    <x v="2"/>
    <x v="2"/>
    <s v="Смешанный"/>
    <n v="360970"/>
    <n v="18"/>
    <s v="PT-2310-218"/>
    <x v="9"/>
  </r>
  <r>
    <x v="1"/>
    <x v="9"/>
    <x v="4"/>
    <x v="4"/>
    <s v="Интенсив"/>
    <n v="466580"/>
    <n v="27"/>
    <s v="PT-2310-219"/>
    <x v="9"/>
  </r>
  <r>
    <x v="1"/>
    <x v="9"/>
    <x v="1"/>
    <x v="0"/>
    <s v="Интенсив"/>
    <n v="615640"/>
    <n v="32"/>
    <s v="PT-2310-220"/>
    <x v="9"/>
  </r>
  <r>
    <x v="1"/>
    <x v="10"/>
    <x v="4"/>
    <x v="4"/>
    <s v="Онлайн"/>
    <n v="400020"/>
    <n v="36"/>
    <s v="PT-2311-221"/>
    <x v="10"/>
  </r>
  <r>
    <x v="1"/>
    <x v="10"/>
    <x v="4"/>
    <x v="2"/>
    <s v="Интенсив"/>
    <n v="293720"/>
    <n v="17"/>
    <s v="PT-2311-222"/>
    <x v="10"/>
  </r>
  <r>
    <x v="1"/>
    <x v="10"/>
    <x v="3"/>
    <x v="4"/>
    <s v="Онлайн"/>
    <n v="274140"/>
    <n v="21"/>
    <s v="PT-2311-223"/>
    <x v="10"/>
  </r>
  <r>
    <x v="1"/>
    <x v="10"/>
    <x v="1"/>
    <x v="2"/>
    <s v="Смешанный"/>
    <n v="564710"/>
    <n v="41"/>
    <s v="PT-2311-224"/>
    <x v="10"/>
  </r>
  <r>
    <x v="1"/>
    <x v="10"/>
    <x v="4"/>
    <x v="4"/>
    <s v="Очно"/>
    <n v="384480"/>
    <n v="26"/>
    <s v="PT-2311-225"/>
    <x v="10"/>
  </r>
  <r>
    <x v="1"/>
    <x v="10"/>
    <x v="2"/>
    <x v="4"/>
    <s v="Очно"/>
    <n v="731940"/>
    <n v="33"/>
    <s v="PT-2311-226"/>
    <x v="10"/>
  </r>
  <r>
    <x v="1"/>
    <x v="10"/>
    <x v="1"/>
    <x v="2"/>
    <s v="Очно"/>
    <n v="597340"/>
    <n v="36"/>
    <s v="PT-2311-227"/>
    <x v="10"/>
  </r>
  <r>
    <x v="1"/>
    <x v="10"/>
    <x v="0"/>
    <x v="4"/>
    <s v="Интенсив"/>
    <n v="333300"/>
    <n v="16"/>
    <s v="PT-2311-228"/>
    <x v="10"/>
  </r>
  <r>
    <x v="1"/>
    <x v="10"/>
    <x v="1"/>
    <x v="3"/>
    <s v="Интенсив"/>
    <n v="255460"/>
    <n v="14"/>
    <s v="PT-2311-229"/>
    <x v="10"/>
  </r>
  <r>
    <x v="1"/>
    <x v="10"/>
    <x v="4"/>
    <x v="2"/>
    <s v="Интенсив"/>
    <n v="592680"/>
    <n v="33"/>
    <s v="PT-2311-230"/>
    <x v="10"/>
  </r>
  <r>
    <x v="1"/>
    <x v="11"/>
    <x v="0"/>
    <x v="1"/>
    <s v="Онлайн"/>
    <n v="519650"/>
    <n v="38"/>
    <s v="PT-2312-231"/>
    <x v="11"/>
  </r>
  <r>
    <x v="1"/>
    <x v="11"/>
    <x v="3"/>
    <x v="0"/>
    <s v="Смешанный"/>
    <n v="267170"/>
    <n v="18"/>
    <s v="PT-2312-232"/>
    <x v="11"/>
  </r>
  <r>
    <x v="1"/>
    <x v="11"/>
    <x v="1"/>
    <x v="1"/>
    <s v="Интенсив"/>
    <n v="485270"/>
    <n v="26"/>
    <s v="PT-2312-233"/>
    <x v="11"/>
  </r>
  <r>
    <x v="1"/>
    <x v="11"/>
    <x v="2"/>
    <x v="0"/>
    <s v="Очно"/>
    <n v="270940"/>
    <n v="12"/>
    <s v="PT-2312-234"/>
    <x v="11"/>
  </r>
  <r>
    <x v="1"/>
    <x v="11"/>
    <x v="4"/>
    <x v="1"/>
    <s v="Смешанный"/>
    <n v="207810"/>
    <n v="16"/>
    <s v="PT-2312-235"/>
    <x v="11"/>
  </r>
  <r>
    <x v="1"/>
    <x v="11"/>
    <x v="0"/>
    <x v="1"/>
    <s v="Онлайн"/>
    <n v="400360"/>
    <n v="29"/>
    <s v="PT-2312-236"/>
    <x v="11"/>
  </r>
  <r>
    <x v="1"/>
    <x v="11"/>
    <x v="2"/>
    <x v="4"/>
    <s v="Смешанный"/>
    <n v="465720"/>
    <n v="24"/>
    <s v="PT-2312-237"/>
    <x v="11"/>
  </r>
  <r>
    <x v="1"/>
    <x v="11"/>
    <x v="3"/>
    <x v="0"/>
    <s v="Очно"/>
    <n v="285920"/>
    <n v="16"/>
    <s v="PT-2312-238"/>
    <x v="11"/>
  </r>
  <r>
    <x v="1"/>
    <x v="11"/>
    <x v="4"/>
    <x v="3"/>
    <s v="Смешанный"/>
    <n v="361280"/>
    <n v="28"/>
    <s v="PT-2312-239"/>
    <x v="11"/>
  </r>
  <r>
    <x v="1"/>
    <x v="11"/>
    <x v="3"/>
    <x v="3"/>
    <s v="Очно"/>
    <n v="357440"/>
    <n v="20"/>
    <s v="PT-2312-240"/>
    <x v="11"/>
  </r>
  <r>
    <x v="2"/>
    <x v="0"/>
    <x v="2"/>
    <x v="3"/>
    <s v="Смешанный"/>
    <n v="452900"/>
    <n v="24"/>
    <s v="PT-2401-241"/>
    <x v="0"/>
  </r>
  <r>
    <x v="2"/>
    <x v="0"/>
    <x v="4"/>
    <x v="3"/>
    <s v="Онлайн"/>
    <n v="263670"/>
    <n v="23"/>
    <s v="PT-2401-242"/>
    <x v="0"/>
  </r>
  <r>
    <x v="2"/>
    <x v="0"/>
    <x v="1"/>
    <x v="3"/>
    <s v="Онлайн"/>
    <n v="499900"/>
    <n v="40"/>
    <s v="PT-2401-243"/>
    <x v="0"/>
  </r>
  <r>
    <x v="2"/>
    <x v="0"/>
    <x v="4"/>
    <x v="3"/>
    <s v="Очно"/>
    <n v="460880"/>
    <n v="30"/>
    <s v="PT-2401-244"/>
    <x v="0"/>
  </r>
  <r>
    <x v="2"/>
    <x v="0"/>
    <x v="3"/>
    <x v="2"/>
    <s v="Очно"/>
    <n v="578820"/>
    <n v="31"/>
    <s v="PT-2401-245"/>
    <x v="0"/>
  </r>
  <r>
    <x v="2"/>
    <x v="0"/>
    <x v="3"/>
    <x v="4"/>
    <s v="Онлайн"/>
    <n v="346890"/>
    <n v="26"/>
    <s v="PT-2401-246"/>
    <x v="0"/>
  </r>
  <r>
    <x v="2"/>
    <x v="0"/>
    <x v="1"/>
    <x v="2"/>
    <s v="Смешанный"/>
    <n v="212630"/>
    <n v="15"/>
    <s v="PT-2401-247"/>
    <x v="0"/>
  </r>
  <r>
    <x v="2"/>
    <x v="0"/>
    <x v="4"/>
    <x v="0"/>
    <s v="Онлайн"/>
    <n v="332710"/>
    <n v="29"/>
    <s v="PT-2401-248"/>
    <x v="0"/>
  </r>
  <r>
    <x v="2"/>
    <x v="0"/>
    <x v="4"/>
    <x v="1"/>
    <s v="Смешанный"/>
    <n v="329960"/>
    <n v="26"/>
    <s v="PT-2401-249"/>
    <x v="0"/>
  </r>
  <r>
    <x v="2"/>
    <x v="0"/>
    <x v="4"/>
    <x v="0"/>
    <s v="Онлайн"/>
    <n v="382280"/>
    <n v="34"/>
    <s v="PT-2401-250"/>
    <x v="0"/>
  </r>
  <r>
    <x v="2"/>
    <x v="1"/>
    <x v="1"/>
    <x v="4"/>
    <s v="Онлайн"/>
    <n v="195220"/>
    <n v="16"/>
    <s v="PT-2402-251"/>
    <x v="1"/>
  </r>
  <r>
    <x v="2"/>
    <x v="1"/>
    <x v="1"/>
    <x v="1"/>
    <s v="Интенсив"/>
    <n v="648030"/>
    <n v="35"/>
    <s v="PT-2402-252"/>
    <x v="1"/>
  </r>
  <r>
    <x v="2"/>
    <x v="1"/>
    <x v="4"/>
    <x v="2"/>
    <s v="Смешанный"/>
    <n v="483110"/>
    <n v="36"/>
    <s v="PT-2402-253"/>
    <x v="1"/>
  </r>
  <r>
    <x v="2"/>
    <x v="1"/>
    <x v="2"/>
    <x v="3"/>
    <s v="Смешанный"/>
    <n v="489860"/>
    <n v="26"/>
    <s v="PT-2402-254"/>
    <x v="1"/>
  </r>
  <r>
    <x v="2"/>
    <x v="1"/>
    <x v="2"/>
    <x v="3"/>
    <s v="Очно"/>
    <n v="858300"/>
    <n v="38"/>
    <s v="PT-2402-255"/>
    <x v="1"/>
  </r>
  <r>
    <x v="2"/>
    <x v="1"/>
    <x v="0"/>
    <x v="1"/>
    <s v="Смешанный"/>
    <n v="531490"/>
    <n v="33"/>
    <s v="PT-2402-256"/>
    <x v="1"/>
  </r>
  <r>
    <x v="2"/>
    <x v="1"/>
    <x v="2"/>
    <x v="2"/>
    <s v="Интенсив"/>
    <n v="306130"/>
    <n v="12"/>
    <s v="PT-2402-257"/>
    <x v="1"/>
  </r>
  <r>
    <x v="2"/>
    <x v="1"/>
    <x v="1"/>
    <x v="3"/>
    <s v="Онлайн"/>
    <n v="304220"/>
    <n v="25"/>
    <s v="PT-2402-258"/>
    <x v="1"/>
  </r>
  <r>
    <x v="2"/>
    <x v="1"/>
    <x v="0"/>
    <x v="2"/>
    <s v="Интенсив"/>
    <n v="456590"/>
    <n v="20"/>
    <s v="PT-2402-259"/>
    <x v="1"/>
  </r>
  <r>
    <x v="2"/>
    <x v="1"/>
    <x v="3"/>
    <x v="0"/>
    <s v="Смешанный"/>
    <n v="524680"/>
    <n v="34"/>
    <s v="PT-2402-260"/>
    <x v="1"/>
  </r>
  <r>
    <x v="2"/>
    <x v="2"/>
    <x v="0"/>
    <x v="0"/>
    <s v="Интенсив"/>
    <n v="927470"/>
    <n v="42"/>
    <s v="PT-2403-261"/>
    <x v="2"/>
  </r>
  <r>
    <x v="2"/>
    <x v="2"/>
    <x v="1"/>
    <x v="2"/>
    <s v="Смешанный"/>
    <n v="348190"/>
    <n v="25"/>
    <s v="PT-2403-262"/>
    <x v="2"/>
  </r>
  <r>
    <x v="2"/>
    <x v="2"/>
    <x v="0"/>
    <x v="2"/>
    <s v="Очно"/>
    <n v="444830"/>
    <n v="23"/>
    <s v="PT-2403-263"/>
    <x v="2"/>
  </r>
  <r>
    <x v="2"/>
    <x v="2"/>
    <x v="1"/>
    <x v="2"/>
    <s v="Очно"/>
    <n v="476340"/>
    <n v="29"/>
    <s v="PT-2403-264"/>
    <x v="2"/>
  </r>
  <r>
    <x v="2"/>
    <x v="2"/>
    <x v="0"/>
    <x v="3"/>
    <s v="Смешанный"/>
    <n v="676930"/>
    <n v="42"/>
    <s v="PT-2403-265"/>
    <x v="2"/>
  </r>
  <r>
    <x v="2"/>
    <x v="2"/>
    <x v="0"/>
    <x v="1"/>
    <s v="Смешанный"/>
    <n v="343830"/>
    <n v="22"/>
    <s v="PT-2403-266"/>
    <x v="2"/>
  </r>
  <r>
    <x v="2"/>
    <x v="2"/>
    <x v="4"/>
    <x v="0"/>
    <s v="Интенсив"/>
    <n v="304580"/>
    <n v="17"/>
    <s v="PT-2403-267"/>
    <x v="2"/>
  </r>
  <r>
    <x v="2"/>
    <x v="2"/>
    <x v="0"/>
    <x v="0"/>
    <s v="Онлайн"/>
    <n v="202050"/>
    <n v="13"/>
    <s v="PT-2403-268"/>
    <x v="2"/>
  </r>
  <r>
    <x v="2"/>
    <x v="2"/>
    <x v="3"/>
    <x v="0"/>
    <s v="Онлайн"/>
    <n v="255190"/>
    <n v="19"/>
    <s v="PT-2403-269"/>
    <x v="2"/>
  </r>
  <r>
    <x v="2"/>
    <x v="2"/>
    <x v="0"/>
    <x v="1"/>
    <s v="Очно"/>
    <n v="490950"/>
    <n v="27"/>
    <s v="PT-2403-270"/>
    <x v="2"/>
  </r>
  <r>
    <x v="2"/>
    <x v="3"/>
    <x v="0"/>
    <x v="0"/>
    <s v="Онлайн"/>
    <n v="595470"/>
    <n v="40"/>
    <s v="PT-2404-271"/>
    <x v="3"/>
  </r>
  <r>
    <x v="2"/>
    <x v="3"/>
    <x v="3"/>
    <x v="4"/>
    <s v="Онлайн"/>
    <n v="153880"/>
    <n v="12"/>
    <s v="PT-2404-272"/>
    <x v="3"/>
  </r>
  <r>
    <x v="2"/>
    <x v="3"/>
    <x v="3"/>
    <x v="0"/>
    <s v="Интенсив"/>
    <n v="368300"/>
    <n v="18"/>
    <s v="PT-2404-273"/>
    <x v="3"/>
  </r>
  <r>
    <x v="2"/>
    <x v="3"/>
    <x v="4"/>
    <x v="1"/>
    <s v="Онлайн"/>
    <n v="152820"/>
    <n v="14"/>
    <s v="PT-2404-274"/>
    <x v="3"/>
  </r>
  <r>
    <x v="2"/>
    <x v="3"/>
    <x v="3"/>
    <x v="3"/>
    <s v="Онлайн"/>
    <n v="215970"/>
    <n v="16"/>
    <s v="PT-2404-275"/>
    <x v="3"/>
  </r>
  <r>
    <x v="2"/>
    <x v="3"/>
    <x v="0"/>
    <x v="3"/>
    <s v="Онлайн"/>
    <n v="541900"/>
    <n v="38"/>
    <s v="PT-2404-276"/>
    <x v="3"/>
  </r>
  <r>
    <x v="2"/>
    <x v="3"/>
    <x v="2"/>
    <x v="2"/>
    <s v="Очно"/>
    <n v="271470"/>
    <n v="12"/>
    <s v="PT-2404-277"/>
    <x v="3"/>
  </r>
  <r>
    <x v="2"/>
    <x v="3"/>
    <x v="2"/>
    <x v="2"/>
    <s v="Смешанный"/>
    <n v="773650"/>
    <n v="40"/>
    <s v="PT-2404-278"/>
    <x v="3"/>
  </r>
  <r>
    <x v="2"/>
    <x v="3"/>
    <x v="4"/>
    <x v="2"/>
    <s v="Онлайн"/>
    <n v="423730"/>
    <n v="36"/>
    <s v="PT-2404-279"/>
    <x v="3"/>
  </r>
  <r>
    <x v="2"/>
    <x v="3"/>
    <x v="4"/>
    <x v="1"/>
    <s v="Интенсив"/>
    <n v="476290"/>
    <n v="28"/>
    <s v="PT-2404-280"/>
    <x v="3"/>
  </r>
  <r>
    <x v="2"/>
    <x v="4"/>
    <x v="1"/>
    <x v="0"/>
    <s v="Смешанный"/>
    <n v="314270"/>
    <n v="23"/>
    <s v="PT-2405-281"/>
    <x v="4"/>
  </r>
  <r>
    <x v="2"/>
    <x v="4"/>
    <x v="1"/>
    <x v="2"/>
    <s v="Смешанный"/>
    <n v="481650"/>
    <n v="33"/>
    <s v="PT-2405-282"/>
    <x v="4"/>
  </r>
  <r>
    <x v="2"/>
    <x v="4"/>
    <x v="4"/>
    <x v="1"/>
    <s v="Онлайн"/>
    <n v="391680"/>
    <n v="37"/>
    <s v="PT-2405-283"/>
    <x v="4"/>
  </r>
  <r>
    <x v="2"/>
    <x v="4"/>
    <x v="0"/>
    <x v="1"/>
    <s v="Смешанный"/>
    <n v="416660"/>
    <n v="27"/>
    <s v="PT-2405-284"/>
    <x v="4"/>
  </r>
  <r>
    <x v="2"/>
    <x v="4"/>
    <x v="4"/>
    <x v="3"/>
    <s v="Интенсив"/>
    <n v="274360"/>
    <n v="16"/>
    <s v="PT-2405-285"/>
    <x v="4"/>
  </r>
  <r>
    <x v="2"/>
    <x v="4"/>
    <x v="3"/>
    <x v="2"/>
    <s v="Онлайн"/>
    <n v="224990"/>
    <n v="16"/>
    <s v="PT-2405-286"/>
    <x v="4"/>
  </r>
  <r>
    <x v="2"/>
    <x v="4"/>
    <x v="3"/>
    <x v="3"/>
    <s v="Смешанный"/>
    <n v="445410"/>
    <n v="29"/>
    <s v="PT-2405-287"/>
    <x v="4"/>
  </r>
  <r>
    <x v="2"/>
    <x v="4"/>
    <x v="3"/>
    <x v="3"/>
    <s v="Смешанный"/>
    <n v="606620"/>
    <n v="39"/>
    <s v="PT-2405-288"/>
    <x v="4"/>
  </r>
  <r>
    <x v="2"/>
    <x v="4"/>
    <x v="4"/>
    <x v="4"/>
    <s v="Онлайн"/>
    <n v="378650"/>
    <n v="35"/>
    <s v="PT-2405-289"/>
    <x v="4"/>
  </r>
  <r>
    <x v="2"/>
    <x v="4"/>
    <x v="1"/>
    <x v="3"/>
    <s v="Смешанный"/>
    <n v="482730"/>
    <n v="35"/>
    <s v="PT-2405-290"/>
    <x v="4"/>
  </r>
  <r>
    <x v="2"/>
    <x v="5"/>
    <x v="3"/>
    <x v="2"/>
    <s v="Интенсив"/>
    <n v="559820"/>
    <n v="26"/>
    <s v="PT-2406-291"/>
    <x v="5"/>
  </r>
  <r>
    <x v="2"/>
    <x v="5"/>
    <x v="0"/>
    <x v="3"/>
    <s v="Смешанный"/>
    <n v="390470"/>
    <n v="23"/>
    <s v="PT-2406-292"/>
    <x v="5"/>
  </r>
  <r>
    <x v="2"/>
    <x v="5"/>
    <x v="3"/>
    <x v="3"/>
    <s v="Онлайн"/>
    <n v="233720"/>
    <n v="17"/>
    <s v="PT-2406-293"/>
    <x v="5"/>
  </r>
  <r>
    <x v="2"/>
    <x v="5"/>
    <x v="0"/>
    <x v="3"/>
    <s v="Интенсив"/>
    <n v="407080"/>
    <n v="18"/>
    <s v="PT-2406-294"/>
    <x v="5"/>
  </r>
  <r>
    <x v="2"/>
    <x v="5"/>
    <x v="1"/>
    <x v="1"/>
    <s v="Смешанный"/>
    <n v="365370"/>
    <n v="28"/>
    <s v="PT-2406-295"/>
    <x v="5"/>
  </r>
  <r>
    <x v="2"/>
    <x v="5"/>
    <x v="2"/>
    <x v="1"/>
    <s v="Онлайн"/>
    <n v="590590"/>
    <n v="36"/>
    <s v="PT-2406-296"/>
    <x v="5"/>
  </r>
  <r>
    <x v="2"/>
    <x v="5"/>
    <x v="0"/>
    <x v="1"/>
    <s v="Очно"/>
    <n v="320310"/>
    <n v="17"/>
    <s v="PT-2406-297"/>
    <x v="5"/>
  </r>
  <r>
    <x v="2"/>
    <x v="5"/>
    <x v="1"/>
    <x v="4"/>
    <s v="Интенсив"/>
    <n v="229080"/>
    <n v="12"/>
    <s v="PT-2406-298"/>
    <x v="5"/>
  </r>
  <r>
    <x v="2"/>
    <x v="5"/>
    <x v="2"/>
    <x v="1"/>
    <s v="Онлайн"/>
    <n v="483790"/>
    <n v="31"/>
    <s v="PT-2406-299"/>
    <x v="5"/>
  </r>
  <r>
    <x v="2"/>
    <x v="5"/>
    <x v="0"/>
    <x v="1"/>
    <s v="Онлайн"/>
    <n v="348230"/>
    <n v="26"/>
    <s v="PT-2406-300"/>
    <x v="5"/>
  </r>
  <r>
    <x v="2"/>
    <x v="6"/>
    <x v="4"/>
    <x v="3"/>
    <s v="Интенсив"/>
    <n v="375110"/>
    <n v="21"/>
    <s v="PT-2407-301"/>
    <x v="6"/>
  </r>
  <r>
    <x v="2"/>
    <x v="6"/>
    <x v="2"/>
    <x v="0"/>
    <s v="Смешанный"/>
    <n v="344560"/>
    <n v="18"/>
    <s v="PT-2407-302"/>
    <x v="6"/>
  </r>
  <r>
    <x v="2"/>
    <x v="6"/>
    <x v="2"/>
    <x v="3"/>
    <s v="Очно"/>
    <n v="415610"/>
    <n v="19"/>
    <s v="PT-2407-303"/>
    <x v="6"/>
  </r>
  <r>
    <x v="2"/>
    <x v="6"/>
    <x v="2"/>
    <x v="2"/>
    <s v="Смешанный"/>
    <n v="299840"/>
    <n v="15"/>
    <s v="PT-2407-304"/>
    <x v="6"/>
  </r>
  <r>
    <x v="2"/>
    <x v="6"/>
    <x v="0"/>
    <x v="1"/>
    <s v="Онлайн"/>
    <n v="495930"/>
    <n v="37"/>
    <s v="PT-2407-305"/>
    <x v="6"/>
  </r>
  <r>
    <x v="2"/>
    <x v="6"/>
    <x v="4"/>
    <x v="3"/>
    <s v="Смешанный"/>
    <n v="468470"/>
    <n v="36"/>
    <s v="PT-2407-306"/>
    <x v="6"/>
  </r>
  <r>
    <x v="2"/>
    <x v="6"/>
    <x v="0"/>
    <x v="1"/>
    <s v="Интенсив"/>
    <n v="498980"/>
    <n v="24"/>
    <s v="PT-2407-307"/>
    <x v="6"/>
  </r>
  <r>
    <x v="2"/>
    <x v="6"/>
    <x v="4"/>
    <x v="4"/>
    <s v="Смешанный"/>
    <n v="251400"/>
    <n v="19"/>
    <s v="PT-2407-308"/>
    <x v="6"/>
  </r>
  <r>
    <x v="2"/>
    <x v="6"/>
    <x v="4"/>
    <x v="4"/>
    <s v="Интенсив"/>
    <n v="374760"/>
    <n v="22"/>
    <s v="PT-2407-309"/>
    <x v="6"/>
  </r>
  <r>
    <x v="2"/>
    <x v="6"/>
    <x v="1"/>
    <x v="1"/>
    <s v="Интенсив"/>
    <n v="439750"/>
    <n v="24"/>
    <s v="PT-2407-310"/>
    <x v="6"/>
  </r>
  <r>
    <x v="2"/>
    <x v="7"/>
    <x v="2"/>
    <x v="4"/>
    <s v="Очно"/>
    <n v="789670"/>
    <n v="36"/>
    <s v="PT-2408-311"/>
    <x v="7"/>
  </r>
  <r>
    <x v="2"/>
    <x v="7"/>
    <x v="0"/>
    <x v="1"/>
    <s v="Онлайн"/>
    <n v="414890"/>
    <n v="31"/>
    <s v="PT-2408-312"/>
    <x v="7"/>
  </r>
  <r>
    <x v="2"/>
    <x v="7"/>
    <x v="3"/>
    <x v="4"/>
    <s v="Онлайн"/>
    <n v="266230"/>
    <n v="19"/>
    <s v="PT-2408-313"/>
    <x v="7"/>
  </r>
  <r>
    <x v="2"/>
    <x v="7"/>
    <x v="3"/>
    <x v="1"/>
    <s v="Очно"/>
    <n v="452510"/>
    <n v="26"/>
    <s v="PT-2408-314"/>
    <x v="7"/>
  </r>
  <r>
    <x v="2"/>
    <x v="7"/>
    <x v="2"/>
    <x v="1"/>
    <s v="Интенсив"/>
    <n v="1036140"/>
    <n v="41"/>
    <s v="PT-2408-315"/>
    <x v="7"/>
  </r>
  <r>
    <x v="2"/>
    <x v="7"/>
    <x v="3"/>
    <x v="0"/>
    <s v="Интенсив"/>
    <n v="543780"/>
    <n v="26"/>
    <s v="PT-2408-316"/>
    <x v="7"/>
  </r>
  <r>
    <x v="2"/>
    <x v="7"/>
    <x v="2"/>
    <x v="2"/>
    <s v="Очно"/>
    <n v="933160"/>
    <n v="42"/>
    <s v="PT-2408-317"/>
    <x v="7"/>
  </r>
  <r>
    <x v="2"/>
    <x v="7"/>
    <x v="1"/>
    <x v="1"/>
    <s v="Очно"/>
    <n v="223630"/>
    <n v="15"/>
    <s v="PT-2408-318"/>
    <x v="7"/>
  </r>
  <r>
    <x v="2"/>
    <x v="7"/>
    <x v="1"/>
    <x v="0"/>
    <s v="Интенсив"/>
    <n v="436680"/>
    <n v="22"/>
    <s v="PT-2408-319"/>
    <x v="7"/>
  </r>
  <r>
    <x v="2"/>
    <x v="7"/>
    <x v="3"/>
    <x v="2"/>
    <s v="Интенсив"/>
    <n v="647600"/>
    <n v="31"/>
    <s v="PT-2408-320"/>
    <x v="7"/>
  </r>
  <r>
    <x v="2"/>
    <x v="8"/>
    <x v="0"/>
    <x v="2"/>
    <s v="Интенсив"/>
    <n v="788470"/>
    <n v="35"/>
    <s v="PT-2409-321"/>
    <x v="8"/>
  </r>
  <r>
    <x v="2"/>
    <x v="8"/>
    <x v="1"/>
    <x v="3"/>
    <s v="Интенсив"/>
    <n v="466560"/>
    <n v="25"/>
    <s v="PT-2409-322"/>
    <x v="8"/>
  </r>
  <r>
    <x v="2"/>
    <x v="8"/>
    <x v="2"/>
    <x v="3"/>
    <s v="Очно"/>
    <n v="253950"/>
    <n v="12"/>
    <s v="PT-2409-323"/>
    <x v="8"/>
  </r>
  <r>
    <x v="2"/>
    <x v="8"/>
    <x v="1"/>
    <x v="4"/>
    <s v="Очно"/>
    <n v="203740"/>
    <n v="12"/>
    <s v="PT-2409-324"/>
    <x v="8"/>
  </r>
  <r>
    <x v="2"/>
    <x v="8"/>
    <x v="1"/>
    <x v="2"/>
    <s v="Интенсив"/>
    <n v="407320"/>
    <n v="21"/>
    <s v="PT-2409-325"/>
    <x v="8"/>
  </r>
  <r>
    <x v="2"/>
    <x v="8"/>
    <x v="2"/>
    <x v="4"/>
    <s v="Смешанный"/>
    <n v="604640"/>
    <n v="32"/>
    <s v="PT-2409-326"/>
    <x v="8"/>
  </r>
  <r>
    <x v="2"/>
    <x v="8"/>
    <x v="2"/>
    <x v="1"/>
    <s v="Смешанный"/>
    <n v="588990"/>
    <n v="32"/>
    <s v="PT-2409-327"/>
    <x v="8"/>
  </r>
  <r>
    <x v="2"/>
    <x v="8"/>
    <x v="1"/>
    <x v="3"/>
    <s v="Очно"/>
    <n v="321070"/>
    <n v="19"/>
    <s v="PT-2409-328"/>
    <x v="8"/>
  </r>
  <r>
    <x v="2"/>
    <x v="8"/>
    <x v="3"/>
    <x v="4"/>
    <s v="Интенсив"/>
    <n v="533610"/>
    <n v="26"/>
    <s v="PT-2409-329"/>
    <x v="8"/>
  </r>
  <r>
    <x v="2"/>
    <x v="8"/>
    <x v="3"/>
    <x v="3"/>
    <s v="Смешанный"/>
    <n v="192960"/>
    <n v="13"/>
    <s v="PT-2409-330"/>
    <x v="8"/>
  </r>
  <r>
    <x v="2"/>
    <x v="9"/>
    <x v="2"/>
    <x v="1"/>
    <s v="Очно"/>
    <n v="363290"/>
    <n v="17"/>
    <s v="PT-2410-331"/>
    <x v="9"/>
  </r>
  <r>
    <x v="2"/>
    <x v="9"/>
    <x v="1"/>
    <x v="3"/>
    <s v="Онлайн"/>
    <n v="394230"/>
    <n v="33"/>
    <s v="PT-2410-332"/>
    <x v="9"/>
  </r>
  <r>
    <x v="2"/>
    <x v="9"/>
    <x v="3"/>
    <x v="4"/>
    <s v="Онлайн"/>
    <n v="293290"/>
    <n v="23"/>
    <s v="PT-2410-333"/>
    <x v="9"/>
  </r>
  <r>
    <x v="2"/>
    <x v="9"/>
    <x v="0"/>
    <x v="0"/>
    <s v="Интенсив"/>
    <n v="605640"/>
    <n v="27"/>
    <s v="PT-2410-334"/>
    <x v="9"/>
  </r>
  <r>
    <x v="2"/>
    <x v="9"/>
    <x v="3"/>
    <x v="3"/>
    <s v="Онлайн"/>
    <n v="189400"/>
    <n v="13"/>
    <s v="PT-2410-335"/>
    <x v="9"/>
  </r>
  <r>
    <x v="2"/>
    <x v="9"/>
    <x v="3"/>
    <x v="2"/>
    <s v="Онлайн"/>
    <n v="308210"/>
    <n v="23"/>
    <s v="PT-2410-336"/>
    <x v="9"/>
  </r>
  <r>
    <x v="2"/>
    <x v="9"/>
    <x v="0"/>
    <x v="4"/>
    <s v="Очно"/>
    <n v="398530"/>
    <n v="22"/>
    <s v="PT-2410-337"/>
    <x v="9"/>
  </r>
  <r>
    <x v="2"/>
    <x v="9"/>
    <x v="1"/>
    <x v="1"/>
    <s v="Смешанный"/>
    <n v="271070"/>
    <n v="20"/>
    <s v="PT-2410-338"/>
    <x v="9"/>
  </r>
  <r>
    <x v="2"/>
    <x v="9"/>
    <x v="2"/>
    <x v="0"/>
    <s v="Очно"/>
    <n v="566560"/>
    <n v="25"/>
    <s v="PT-2410-339"/>
    <x v="9"/>
  </r>
  <r>
    <x v="2"/>
    <x v="9"/>
    <x v="0"/>
    <x v="4"/>
    <s v="Очно"/>
    <n v="695400"/>
    <n v="37"/>
    <s v="PT-2410-340"/>
    <x v="9"/>
  </r>
  <r>
    <x v="2"/>
    <x v="10"/>
    <x v="0"/>
    <x v="3"/>
    <s v="Онлайн"/>
    <n v="251620"/>
    <n v="19"/>
    <s v="PT-2411-341"/>
    <x v="10"/>
  </r>
  <r>
    <x v="2"/>
    <x v="10"/>
    <x v="2"/>
    <x v="0"/>
    <s v="Очно"/>
    <n v="315910"/>
    <n v="14"/>
    <s v="PT-2411-342"/>
    <x v="10"/>
  </r>
  <r>
    <x v="2"/>
    <x v="10"/>
    <x v="1"/>
    <x v="1"/>
    <s v="Смешанный"/>
    <n v="464570"/>
    <n v="35"/>
    <s v="PT-2411-343"/>
    <x v="10"/>
  </r>
  <r>
    <x v="2"/>
    <x v="10"/>
    <x v="3"/>
    <x v="4"/>
    <s v="Смешанный"/>
    <n v="462410"/>
    <n v="31"/>
    <s v="PT-2411-344"/>
    <x v="10"/>
  </r>
  <r>
    <x v="2"/>
    <x v="10"/>
    <x v="0"/>
    <x v="3"/>
    <s v="Смешанный"/>
    <n v="390480"/>
    <n v="24"/>
    <s v="PT-2411-345"/>
    <x v="10"/>
  </r>
  <r>
    <x v="2"/>
    <x v="10"/>
    <x v="0"/>
    <x v="4"/>
    <s v="Интенсив"/>
    <n v="621150"/>
    <n v="29"/>
    <s v="PT-2411-346"/>
    <x v="10"/>
  </r>
  <r>
    <x v="2"/>
    <x v="10"/>
    <x v="4"/>
    <x v="4"/>
    <s v="Интенсив"/>
    <n v="653010"/>
    <n v="38"/>
    <s v="PT-2411-347"/>
    <x v="10"/>
  </r>
  <r>
    <x v="2"/>
    <x v="10"/>
    <x v="2"/>
    <x v="4"/>
    <s v="Очно"/>
    <n v="872690"/>
    <n v="40"/>
    <s v="PT-2411-348"/>
    <x v="10"/>
  </r>
  <r>
    <x v="2"/>
    <x v="10"/>
    <x v="0"/>
    <x v="3"/>
    <s v="Интенсив"/>
    <n v="361480"/>
    <n v="17"/>
    <s v="PT-2411-349"/>
    <x v="10"/>
  </r>
  <r>
    <x v="2"/>
    <x v="10"/>
    <x v="2"/>
    <x v="0"/>
    <s v="Интенсив"/>
    <n v="908460"/>
    <n v="35"/>
    <s v="PT-2411-350"/>
    <x v="10"/>
  </r>
  <r>
    <x v="2"/>
    <x v="11"/>
    <x v="1"/>
    <x v="3"/>
    <s v="Онлайн"/>
    <n v="165860"/>
    <n v="13"/>
    <s v="PT-2412-351"/>
    <x v="11"/>
  </r>
  <r>
    <x v="2"/>
    <x v="11"/>
    <x v="2"/>
    <x v="0"/>
    <s v="Очно"/>
    <n v="525620"/>
    <n v="23"/>
    <s v="PT-2412-352"/>
    <x v="11"/>
  </r>
  <r>
    <x v="2"/>
    <x v="11"/>
    <x v="2"/>
    <x v="2"/>
    <s v="Интенсив"/>
    <n v="414080"/>
    <n v="16"/>
    <s v="PT-2412-353"/>
    <x v="11"/>
  </r>
  <r>
    <x v="2"/>
    <x v="11"/>
    <x v="0"/>
    <x v="2"/>
    <s v="Смешанный"/>
    <n v="662060"/>
    <n v="40"/>
    <s v="PT-2412-354"/>
    <x v="11"/>
  </r>
  <r>
    <x v="2"/>
    <x v="11"/>
    <x v="3"/>
    <x v="2"/>
    <s v="Очно"/>
    <n v="570540"/>
    <n v="32"/>
    <s v="PT-2412-355"/>
    <x v="11"/>
  </r>
  <r>
    <x v="2"/>
    <x v="11"/>
    <x v="2"/>
    <x v="4"/>
    <s v="Очно"/>
    <n v="710790"/>
    <n v="33"/>
    <s v="PT-2412-356"/>
    <x v="11"/>
  </r>
  <r>
    <x v="2"/>
    <x v="11"/>
    <x v="2"/>
    <x v="1"/>
    <s v="Онлайн"/>
    <n v="632410"/>
    <n v="40"/>
    <s v="PT-2412-357"/>
    <x v="11"/>
  </r>
  <r>
    <x v="2"/>
    <x v="11"/>
    <x v="1"/>
    <x v="1"/>
    <s v="Интенсив"/>
    <n v="360510"/>
    <n v="19"/>
    <s v="PT-2412-358"/>
    <x v="11"/>
  </r>
  <r>
    <x v="2"/>
    <x v="11"/>
    <x v="2"/>
    <x v="4"/>
    <s v="Очно"/>
    <n v="738790"/>
    <n v="34"/>
    <s v="PT-2412-359"/>
    <x v="11"/>
  </r>
  <r>
    <x v="2"/>
    <x v="11"/>
    <x v="2"/>
    <x v="2"/>
    <s v="Смешанный"/>
    <n v="485730"/>
    <n v="26"/>
    <s v="PT-2412-360"/>
    <x v="1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s v="Январь"/>
    <x v="0"/>
    <x v="0"/>
    <x v="0"/>
    <n v="390600"/>
    <n v="20"/>
    <s v="PT-2201-001"/>
    <x v="0"/>
  </r>
  <r>
    <x v="0"/>
    <s v="Январь"/>
    <x v="1"/>
    <x v="1"/>
    <x v="1"/>
    <n v="395820"/>
    <n v="21"/>
    <s v="PT-2201-002"/>
    <x v="0"/>
  </r>
  <r>
    <x v="0"/>
    <s v="Январь"/>
    <x v="2"/>
    <x v="2"/>
    <x v="2"/>
    <n v="331590"/>
    <n v="20"/>
    <s v="PT-2201-003"/>
    <x v="0"/>
  </r>
  <r>
    <x v="0"/>
    <s v="Январь"/>
    <x v="1"/>
    <x v="3"/>
    <x v="3"/>
    <n v="336460"/>
    <n v="23"/>
    <s v="PT-2201-004"/>
    <x v="0"/>
  </r>
  <r>
    <x v="0"/>
    <s v="Январь"/>
    <x v="3"/>
    <x v="4"/>
    <x v="3"/>
    <n v="240440"/>
    <n v="17"/>
    <s v="PT-2201-005"/>
    <x v="0"/>
  </r>
  <r>
    <x v="0"/>
    <s v="Январь"/>
    <x v="0"/>
    <x v="1"/>
    <x v="3"/>
    <n v="176550"/>
    <n v="12"/>
    <s v="PT-2201-006"/>
    <x v="0"/>
  </r>
  <r>
    <x v="0"/>
    <s v="Январь"/>
    <x v="1"/>
    <x v="4"/>
    <x v="1"/>
    <n v="455210"/>
    <n v="24"/>
    <s v="PT-2201-007"/>
    <x v="0"/>
  </r>
  <r>
    <x v="0"/>
    <s v="Январь"/>
    <x v="4"/>
    <x v="1"/>
    <x v="2"/>
    <n v="337780"/>
    <n v="30"/>
    <s v="PT-2201-008"/>
    <x v="0"/>
  </r>
  <r>
    <x v="0"/>
    <s v="Январь"/>
    <x v="3"/>
    <x v="1"/>
    <x v="1"/>
    <n v="558560"/>
    <n v="28"/>
    <s v="PT-2201-009"/>
    <x v="0"/>
  </r>
  <r>
    <x v="0"/>
    <s v="Январь"/>
    <x v="1"/>
    <x v="2"/>
    <x v="0"/>
    <n v="448630"/>
    <n v="27"/>
    <s v="PT-2201-010"/>
    <x v="0"/>
  </r>
  <r>
    <x v="0"/>
    <s v="Февраль"/>
    <x v="4"/>
    <x v="3"/>
    <x v="2"/>
    <n v="158720"/>
    <n v="15"/>
    <s v="PT-2202-011"/>
    <x v="1"/>
  </r>
  <r>
    <x v="0"/>
    <s v="Февраль"/>
    <x v="1"/>
    <x v="3"/>
    <x v="2"/>
    <n v="138060"/>
    <n v="12"/>
    <s v="PT-2202-012"/>
    <x v="1"/>
  </r>
  <r>
    <x v="0"/>
    <s v="Февраль"/>
    <x v="2"/>
    <x v="1"/>
    <x v="2"/>
    <n v="414410"/>
    <n v="25"/>
    <s v="PT-2202-013"/>
    <x v="1"/>
  </r>
  <r>
    <x v="0"/>
    <s v="Февраль"/>
    <x v="3"/>
    <x v="0"/>
    <x v="1"/>
    <n v="556810"/>
    <n v="26"/>
    <s v="PT-2202-014"/>
    <x v="1"/>
  </r>
  <r>
    <x v="0"/>
    <s v="Февраль"/>
    <x v="2"/>
    <x v="2"/>
    <x v="1"/>
    <n v="637200"/>
    <n v="25"/>
    <s v="PT-2202-015"/>
    <x v="1"/>
  </r>
  <r>
    <x v="0"/>
    <s v="Февраль"/>
    <x v="1"/>
    <x v="2"/>
    <x v="1"/>
    <n v="373560"/>
    <n v="19"/>
    <s v="PT-2202-016"/>
    <x v="1"/>
  </r>
  <r>
    <x v="0"/>
    <s v="Февраль"/>
    <x v="4"/>
    <x v="2"/>
    <x v="2"/>
    <n v="338010"/>
    <n v="30"/>
    <s v="PT-2202-017"/>
    <x v="1"/>
  </r>
  <r>
    <x v="0"/>
    <s v="Февраль"/>
    <x v="2"/>
    <x v="3"/>
    <x v="1"/>
    <n v="315690"/>
    <n v="12"/>
    <s v="PT-2202-018"/>
    <x v="1"/>
  </r>
  <r>
    <x v="0"/>
    <s v="Февраль"/>
    <x v="2"/>
    <x v="1"/>
    <x v="3"/>
    <n v="633160"/>
    <n v="34"/>
    <s v="PT-2202-019"/>
    <x v="1"/>
  </r>
  <r>
    <x v="0"/>
    <s v="Февраль"/>
    <x v="2"/>
    <x v="3"/>
    <x v="3"/>
    <n v="415480"/>
    <n v="21"/>
    <s v="PT-2202-020"/>
    <x v="1"/>
  </r>
  <r>
    <x v="0"/>
    <s v="Март"/>
    <x v="3"/>
    <x v="1"/>
    <x v="1"/>
    <n v="743870"/>
    <n v="37"/>
    <s v="PT-2203-021"/>
    <x v="2"/>
  </r>
  <r>
    <x v="0"/>
    <s v="Март"/>
    <x v="0"/>
    <x v="2"/>
    <x v="2"/>
    <n v="180640"/>
    <n v="13"/>
    <s v="PT-2203-022"/>
    <x v="2"/>
  </r>
  <r>
    <x v="0"/>
    <s v="Март"/>
    <x v="1"/>
    <x v="1"/>
    <x v="2"/>
    <n v="368420"/>
    <n v="30"/>
    <s v="PT-2203-023"/>
    <x v="2"/>
  </r>
  <r>
    <x v="0"/>
    <s v="Март"/>
    <x v="1"/>
    <x v="0"/>
    <x v="3"/>
    <n v="276270"/>
    <n v="20"/>
    <s v="PT-2203-024"/>
    <x v="2"/>
  </r>
  <r>
    <x v="0"/>
    <s v="Март"/>
    <x v="0"/>
    <x v="4"/>
    <x v="0"/>
    <n v="222340"/>
    <n v="12"/>
    <s v="PT-2203-025"/>
    <x v="2"/>
  </r>
  <r>
    <x v="0"/>
    <s v="Март"/>
    <x v="1"/>
    <x v="0"/>
    <x v="3"/>
    <n v="242080"/>
    <n v="17"/>
    <s v="PT-2203-026"/>
    <x v="2"/>
  </r>
  <r>
    <x v="0"/>
    <s v="Март"/>
    <x v="3"/>
    <x v="0"/>
    <x v="3"/>
    <n v="338470"/>
    <n v="21"/>
    <s v="PT-2203-027"/>
    <x v="2"/>
  </r>
  <r>
    <x v="0"/>
    <s v="Март"/>
    <x v="0"/>
    <x v="0"/>
    <x v="0"/>
    <n v="543500"/>
    <n v="28"/>
    <s v="PT-2203-028"/>
    <x v="2"/>
  </r>
  <r>
    <x v="0"/>
    <s v="Март"/>
    <x v="1"/>
    <x v="2"/>
    <x v="1"/>
    <n v="369550"/>
    <n v="19"/>
    <s v="PT-2203-029"/>
    <x v="2"/>
  </r>
  <r>
    <x v="0"/>
    <s v="Март"/>
    <x v="4"/>
    <x v="0"/>
    <x v="3"/>
    <n v="347900"/>
    <n v="27"/>
    <s v="PT-2203-030"/>
    <x v="2"/>
  </r>
  <r>
    <x v="0"/>
    <s v="Апрель"/>
    <x v="3"/>
    <x v="2"/>
    <x v="1"/>
    <n v="761340"/>
    <n v="36"/>
    <s v="PT-2204-031"/>
    <x v="3"/>
  </r>
  <r>
    <x v="0"/>
    <s v="Апрель"/>
    <x v="0"/>
    <x v="3"/>
    <x v="2"/>
    <n v="220870"/>
    <n v="16"/>
    <s v="PT-2204-032"/>
    <x v="3"/>
  </r>
  <r>
    <x v="0"/>
    <s v="Апрель"/>
    <x v="0"/>
    <x v="4"/>
    <x v="0"/>
    <n v="389350"/>
    <n v="20"/>
    <s v="PT-2204-033"/>
    <x v="3"/>
  </r>
  <r>
    <x v="0"/>
    <s v="Апрель"/>
    <x v="2"/>
    <x v="4"/>
    <x v="1"/>
    <n v="316890"/>
    <n v="13"/>
    <s v="PT-2204-034"/>
    <x v="3"/>
  </r>
  <r>
    <x v="0"/>
    <s v="Апрель"/>
    <x v="1"/>
    <x v="3"/>
    <x v="1"/>
    <n v="460170"/>
    <n v="25"/>
    <s v="PT-2204-035"/>
    <x v="3"/>
  </r>
  <r>
    <x v="0"/>
    <s v="Апрель"/>
    <x v="2"/>
    <x v="4"/>
    <x v="2"/>
    <n v="253650"/>
    <n v="16"/>
    <s v="PT-2204-036"/>
    <x v="3"/>
  </r>
  <r>
    <x v="0"/>
    <s v="Апрель"/>
    <x v="3"/>
    <x v="1"/>
    <x v="0"/>
    <n v="566420"/>
    <n v="32"/>
    <s v="PT-2204-037"/>
    <x v="3"/>
  </r>
  <r>
    <x v="0"/>
    <s v="Апрель"/>
    <x v="4"/>
    <x v="0"/>
    <x v="2"/>
    <n v="360170"/>
    <n v="30"/>
    <s v="PT-2204-038"/>
    <x v="3"/>
  </r>
  <r>
    <x v="0"/>
    <s v="Апрель"/>
    <x v="2"/>
    <x v="3"/>
    <x v="1"/>
    <n v="550050"/>
    <n v="22"/>
    <s v="PT-2204-039"/>
    <x v="3"/>
  </r>
  <r>
    <x v="0"/>
    <s v="Апрель"/>
    <x v="1"/>
    <x v="1"/>
    <x v="2"/>
    <n v="469230"/>
    <n v="41"/>
    <s v="PT-2204-040"/>
    <x v="3"/>
  </r>
  <r>
    <x v="0"/>
    <s v="Май"/>
    <x v="2"/>
    <x v="1"/>
    <x v="2"/>
    <n v="602600"/>
    <n v="38"/>
    <s v="PT-2205-041"/>
    <x v="4"/>
  </r>
  <r>
    <x v="0"/>
    <s v="Май"/>
    <x v="0"/>
    <x v="1"/>
    <x v="3"/>
    <n v="195710"/>
    <n v="13"/>
    <s v="PT-2205-042"/>
    <x v="4"/>
  </r>
  <r>
    <x v="0"/>
    <s v="Май"/>
    <x v="2"/>
    <x v="0"/>
    <x v="0"/>
    <n v="286620"/>
    <n v="12"/>
    <s v="PT-2205-043"/>
    <x v="4"/>
  </r>
  <r>
    <x v="0"/>
    <s v="Май"/>
    <x v="2"/>
    <x v="2"/>
    <x v="2"/>
    <n v="339030"/>
    <n v="21"/>
    <s v="PT-2205-044"/>
    <x v="4"/>
  </r>
  <r>
    <x v="0"/>
    <s v="Май"/>
    <x v="1"/>
    <x v="4"/>
    <x v="3"/>
    <n v="468720"/>
    <n v="33"/>
    <s v="PT-2205-045"/>
    <x v="4"/>
  </r>
  <r>
    <x v="0"/>
    <s v="Май"/>
    <x v="0"/>
    <x v="0"/>
    <x v="0"/>
    <n v="668220"/>
    <n v="35"/>
    <s v="PT-2205-046"/>
    <x v="4"/>
  </r>
  <r>
    <x v="0"/>
    <s v="Май"/>
    <x v="1"/>
    <x v="1"/>
    <x v="2"/>
    <n v="289640"/>
    <n v="24"/>
    <s v="PT-2205-047"/>
    <x v="4"/>
  </r>
  <r>
    <x v="0"/>
    <s v="Май"/>
    <x v="2"/>
    <x v="3"/>
    <x v="3"/>
    <n v="668420"/>
    <n v="35"/>
    <s v="PT-2205-048"/>
    <x v="4"/>
  </r>
  <r>
    <x v="0"/>
    <s v="Май"/>
    <x v="0"/>
    <x v="3"/>
    <x v="0"/>
    <n v="402320"/>
    <n v="21"/>
    <s v="PT-2205-049"/>
    <x v="4"/>
  </r>
  <r>
    <x v="0"/>
    <s v="Май"/>
    <x v="3"/>
    <x v="0"/>
    <x v="1"/>
    <n v="242500"/>
    <n v="12"/>
    <s v="PT-2205-050"/>
    <x v="4"/>
  </r>
  <r>
    <x v="0"/>
    <s v="Июнь"/>
    <x v="2"/>
    <x v="3"/>
    <x v="1"/>
    <n v="956590"/>
    <n v="37"/>
    <s v="PT-2206-051"/>
    <x v="5"/>
  </r>
  <r>
    <x v="0"/>
    <s v="Июнь"/>
    <x v="1"/>
    <x v="2"/>
    <x v="0"/>
    <n v="598170"/>
    <n v="37"/>
    <s v="PT-2206-052"/>
    <x v="5"/>
  </r>
  <r>
    <x v="0"/>
    <s v="Июнь"/>
    <x v="2"/>
    <x v="2"/>
    <x v="0"/>
    <n v="558690"/>
    <n v="24"/>
    <s v="PT-2206-053"/>
    <x v="5"/>
  </r>
  <r>
    <x v="0"/>
    <s v="Июнь"/>
    <x v="0"/>
    <x v="4"/>
    <x v="0"/>
    <n v="336610"/>
    <n v="18"/>
    <s v="PT-2206-054"/>
    <x v="5"/>
  </r>
  <r>
    <x v="0"/>
    <s v="Июнь"/>
    <x v="0"/>
    <x v="4"/>
    <x v="2"/>
    <n v="346820"/>
    <n v="26"/>
    <s v="PT-2206-055"/>
    <x v="5"/>
  </r>
  <r>
    <x v="0"/>
    <s v="Июнь"/>
    <x v="0"/>
    <x v="4"/>
    <x v="3"/>
    <n v="585450"/>
    <n v="36"/>
    <s v="PT-2206-056"/>
    <x v="5"/>
  </r>
  <r>
    <x v="0"/>
    <s v="Июнь"/>
    <x v="2"/>
    <x v="4"/>
    <x v="2"/>
    <n v="507640"/>
    <n v="32"/>
    <s v="PT-2206-057"/>
    <x v="5"/>
  </r>
  <r>
    <x v="0"/>
    <s v="Июнь"/>
    <x v="3"/>
    <x v="3"/>
    <x v="1"/>
    <n v="700190"/>
    <n v="34"/>
    <s v="PT-2206-058"/>
    <x v="5"/>
  </r>
  <r>
    <x v="0"/>
    <s v="Июнь"/>
    <x v="2"/>
    <x v="1"/>
    <x v="3"/>
    <n v="494240"/>
    <n v="27"/>
    <s v="PT-2206-059"/>
    <x v="5"/>
  </r>
  <r>
    <x v="0"/>
    <s v="Июнь"/>
    <x v="1"/>
    <x v="3"/>
    <x v="1"/>
    <n v="547240"/>
    <n v="29"/>
    <s v="PT-2206-060"/>
    <x v="5"/>
  </r>
  <r>
    <x v="0"/>
    <s v="Июль"/>
    <x v="0"/>
    <x v="4"/>
    <x v="1"/>
    <n v="344860"/>
    <n v="16"/>
    <s v="PT-2207-061"/>
    <x v="6"/>
  </r>
  <r>
    <x v="0"/>
    <s v="Июль"/>
    <x v="2"/>
    <x v="3"/>
    <x v="2"/>
    <n v="249820"/>
    <n v="16"/>
    <s v="PT-2207-062"/>
    <x v="6"/>
  </r>
  <r>
    <x v="0"/>
    <s v="Июль"/>
    <x v="4"/>
    <x v="1"/>
    <x v="3"/>
    <n v="349440"/>
    <n v="27"/>
    <s v="PT-2207-063"/>
    <x v="6"/>
  </r>
  <r>
    <x v="0"/>
    <s v="Июль"/>
    <x v="1"/>
    <x v="3"/>
    <x v="0"/>
    <n v="245390"/>
    <n v="16"/>
    <s v="PT-2207-064"/>
    <x v="6"/>
  </r>
  <r>
    <x v="0"/>
    <s v="Июль"/>
    <x v="3"/>
    <x v="0"/>
    <x v="2"/>
    <n v="217110"/>
    <n v="16"/>
    <s v="PT-2207-065"/>
    <x v="6"/>
  </r>
  <r>
    <x v="0"/>
    <s v="Июль"/>
    <x v="1"/>
    <x v="2"/>
    <x v="1"/>
    <n v="729190"/>
    <n v="38"/>
    <s v="PT-2207-066"/>
    <x v="6"/>
  </r>
  <r>
    <x v="0"/>
    <s v="Июль"/>
    <x v="3"/>
    <x v="3"/>
    <x v="0"/>
    <n v="709350"/>
    <n v="39"/>
    <s v="PT-2207-067"/>
    <x v="6"/>
  </r>
  <r>
    <x v="0"/>
    <s v="Июль"/>
    <x v="1"/>
    <x v="0"/>
    <x v="1"/>
    <n v="272920"/>
    <n v="15"/>
    <s v="PT-2207-068"/>
    <x v="6"/>
  </r>
  <r>
    <x v="0"/>
    <s v="Июль"/>
    <x v="0"/>
    <x v="3"/>
    <x v="3"/>
    <n v="277500"/>
    <n v="17"/>
    <s v="PT-2207-069"/>
    <x v="6"/>
  </r>
  <r>
    <x v="0"/>
    <s v="Июль"/>
    <x v="3"/>
    <x v="4"/>
    <x v="2"/>
    <n v="365980"/>
    <n v="28"/>
    <s v="PT-2207-070"/>
    <x v="6"/>
  </r>
  <r>
    <x v="0"/>
    <s v="Август"/>
    <x v="2"/>
    <x v="3"/>
    <x v="1"/>
    <n v="391170"/>
    <n v="15"/>
    <s v="PT-2208-071"/>
    <x v="7"/>
  </r>
  <r>
    <x v="0"/>
    <s v="Август"/>
    <x v="0"/>
    <x v="2"/>
    <x v="2"/>
    <n v="504280"/>
    <n v="34"/>
    <s v="PT-2208-072"/>
    <x v="7"/>
  </r>
  <r>
    <x v="0"/>
    <s v="Август"/>
    <x v="3"/>
    <x v="1"/>
    <x v="0"/>
    <n v="525930"/>
    <n v="29"/>
    <s v="PT-2208-073"/>
    <x v="7"/>
  </r>
  <r>
    <x v="0"/>
    <s v="Август"/>
    <x v="4"/>
    <x v="2"/>
    <x v="0"/>
    <n v="439620"/>
    <n v="29"/>
    <s v="PT-2208-074"/>
    <x v="7"/>
  </r>
  <r>
    <x v="0"/>
    <s v="Август"/>
    <x v="3"/>
    <x v="3"/>
    <x v="1"/>
    <n v="777640"/>
    <n v="38"/>
    <s v="PT-2208-075"/>
    <x v="7"/>
  </r>
  <r>
    <x v="0"/>
    <s v="Август"/>
    <x v="0"/>
    <x v="1"/>
    <x v="0"/>
    <n v="340430"/>
    <n v="19"/>
    <s v="PT-2208-076"/>
    <x v="7"/>
  </r>
  <r>
    <x v="0"/>
    <s v="Август"/>
    <x v="3"/>
    <x v="2"/>
    <x v="1"/>
    <n v="469960"/>
    <n v="22"/>
    <s v="PT-2208-077"/>
    <x v="7"/>
  </r>
  <r>
    <x v="0"/>
    <s v="Август"/>
    <x v="4"/>
    <x v="1"/>
    <x v="3"/>
    <n v="205960"/>
    <n v="15"/>
    <s v="PT-2208-078"/>
    <x v="7"/>
  </r>
  <r>
    <x v="0"/>
    <s v="Август"/>
    <x v="1"/>
    <x v="3"/>
    <x v="0"/>
    <n v="439200"/>
    <n v="26"/>
    <s v="PT-2208-079"/>
    <x v="7"/>
  </r>
  <r>
    <x v="0"/>
    <s v="Август"/>
    <x v="0"/>
    <x v="3"/>
    <x v="2"/>
    <n v="420700"/>
    <n v="29"/>
    <s v="PT-2208-080"/>
    <x v="7"/>
  </r>
  <r>
    <x v="0"/>
    <s v="Сентябрь"/>
    <x v="1"/>
    <x v="1"/>
    <x v="2"/>
    <n v="348110"/>
    <n v="29"/>
    <s v="PT-2209-081"/>
    <x v="8"/>
  </r>
  <r>
    <x v="0"/>
    <s v="Сентябрь"/>
    <x v="3"/>
    <x v="4"/>
    <x v="2"/>
    <n v="318760"/>
    <n v="23"/>
    <s v="PT-2209-082"/>
    <x v="8"/>
  </r>
  <r>
    <x v="0"/>
    <s v="Сентябрь"/>
    <x v="3"/>
    <x v="3"/>
    <x v="1"/>
    <n v="263220"/>
    <n v="13"/>
    <s v="PT-2209-083"/>
    <x v="8"/>
  </r>
  <r>
    <x v="0"/>
    <s v="Сентябрь"/>
    <x v="0"/>
    <x v="2"/>
    <x v="3"/>
    <n v="438740"/>
    <n v="27"/>
    <s v="PT-2209-084"/>
    <x v="8"/>
  </r>
  <r>
    <x v="0"/>
    <s v="Сентябрь"/>
    <x v="4"/>
    <x v="2"/>
    <x v="0"/>
    <n v="579020"/>
    <n v="36"/>
    <s v="PT-2209-085"/>
    <x v="8"/>
  </r>
  <r>
    <x v="0"/>
    <s v="Сентябрь"/>
    <x v="2"/>
    <x v="3"/>
    <x v="0"/>
    <n v="826170"/>
    <n v="37"/>
    <s v="PT-2209-086"/>
    <x v="8"/>
  </r>
  <r>
    <x v="0"/>
    <s v="Сентябрь"/>
    <x v="3"/>
    <x v="4"/>
    <x v="2"/>
    <n v="261580"/>
    <n v="20"/>
    <s v="PT-2209-087"/>
    <x v="8"/>
  </r>
  <r>
    <x v="0"/>
    <s v="Сентябрь"/>
    <x v="4"/>
    <x v="1"/>
    <x v="0"/>
    <n v="234970"/>
    <n v="16"/>
    <s v="PT-2209-088"/>
    <x v="8"/>
  </r>
  <r>
    <x v="0"/>
    <s v="Сентябрь"/>
    <x v="2"/>
    <x v="3"/>
    <x v="2"/>
    <n v="310700"/>
    <n v="19"/>
    <s v="PT-2209-089"/>
    <x v="8"/>
  </r>
  <r>
    <x v="0"/>
    <s v="Сентябрь"/>
    <x v="0"/>
    <x v="4"/>
    <x v="3"/>
    <n v="207950"/>
    <n v="13"/>
    <s v="PT-2209-090"/>
    <x v="8"/>
  </r>
  <r>
    <x v="0"/>
    <s v="Октябрь"/>
    <x v="4"/>
    <x v="4"/>
    <x v="0"/>
    <n v="324280"/>
    <n v="22"/>
    <s v="PT-2210-091"/>
    <x v="9"/>
  </r>
  <r>
    <x v="0"/>
    <s v="Октябрь"/>
    <x v="3"/>
    <x v="1"/>
    <x v="3"/>
    <n v="561590"/>
    <n v="38"/>
    <s v="PT-2210-092"/>
    <x v="9"/>
  </r>
  <r>
    <x v="0"/>
    <s v="Октябрь"/>
    <x v="0"/>
    <x v="0"/>
    <x v="1"/>
    <n v="734730"/>
    <n v="32"/>
    <s v="PT-2210-093"/>
    <x v="9"/>
  </r>
  <r>
    <x v="0"/>
    <s v="Октябрь"/>
    <x v="1"/>
    <x v="2"/>
    <x v="1"/>
    <n v="683950"/>
    <n v="36"/>
    <s v="PT-2210-094"/>
    <x v="9"/>
  </r>
  <r>
    <x v="0"/>
    <s v="Октябрь"/>
    <x v="0"/>
    <x v="2"/>
    <x v="0"/>
    <n v="498040"/>
    <n v="26"/>
    <s v="PT-2210-095"/>
    <x v="9"/>
  </r>
  <r>
    <x v="0"/>
    <s v="Октябрь"/>
    <x v="1"/>
    <x v="4"/>
    <x v="3"/>
    <n v="553490"/>
    <n v="41"/>
    <s v="PT-2210-096"/>
    <x v="9"/>
  </r>
  <r>
    <x v="0"/>
    <s v="Октябрь"/>
    <x v="2"/>
    <x v="2"/>
    <x v="2"/>
    <n v="469050"/>
    <n v="27"/>
    <s v="PT-2210-097"/>
    <x v="9"/>
  </r>
  <r>
    <x v="0"/>
    <s v="Октябрь"/>
    <x v="1"/>
    <x v="2"/>
    <x v="3"/>
    <n v="314410"/>
    <n v="21"/>
    <s v="PT-2210-098"/>
    <x v="9"/>
  </r>
  <r>
    <x v="0"/>
    <s v="Октябрь"/>
    <x v="1"/>
    <x v="0"/>
    <x v="2"/>
    <n v="444330"/>
    <n v="37"/>
    <s v="PT-2210-099"/>
    <x v="9"/>
  </r>
  <r>
    <x v="0"/>
    <s v="Октябрь"/>
    <x v="1"/>
    <x v="1"/>
    <x v="0"/>
    <n v="264590"/>
    <n v="17"/>
    <s v="PT-2210-100"/>
    <x v="9"/>
  </r>
  <r>
    <x v="0"/>
    <s v="Ноябрь"/>
    <x v="2"/>
    <x v="3"/>
    <x v="1"/>
    <n v="698350"/>
    <n v="27"/>
    <s v="PT-2211-101"/>
    <x v="10"/>
  </r>
  <r>
    <x v="0"/>
    <s v="Ноябрь"/>
    <x v="2"/>
    <x v="1"/>
    <x v="1"/>
    <n v="743230"/>
    <n v="30"/>
    <s v="PT-2211-102"/>
    <x v="10"/>
  </r>
  <r>
    <x v="0"/>
    <s v="Ноябрь"/>
    <x v="0"/>
    <x v="3"/>
    <x v="2"/>
    <n v="390590"/>
    <n v="28"/>
    <s v="PT-2211-103"/>
    <x v="10"/>
  </r>
  <r>
    <x v="0"/>
    <s v="Ноябрь"/>
    <x v="4"/>
    <x v="2"/>
    <x v="1"/>
    <n v="620670"/>
    <n v="34"/>
    <s v="PT-2211-104"/>
    <x v="10"/>
  </r>
  <r>
    <x v="0"/>
    <s v="Ноябрь"/>
    <x v="1"/>
    <x v="3"/>
    <x v="1"/>
    <n v="745810"/>
    <n v="39"/>
    <s v="PT-2211-105"/>
    <x v="10"/>
  </r>
  <r>
    <x v="0"/>
    <s v="Ноябрь"/>
    <x v="1"/>
    <x v="2"/>
    <x v="3"/>
    <n v="319370"/>
    <n v="23"/>
    <s v="PT-2211-106"/>
    <x v="10"/>
  </r>
  <r>
    <x v="0"/>
    <s v="Ноябрь"/>
    <x v="0"/>
    <x v="4"/>
    <x v="3"/>
    <n v="254240"/>
    <n v="15"/>
    <s v="PT-2211-107"/>
    <x v="10"/>
  </r>
  <r>
    <x v="0"/>
    <s v="Ноябрь"/>
    <x v="2"/>
    <x v="1"/>
    <x v="0"/>
    <n v="568030"/>
    <n v="27"/>
    <s v="PT-2211-108"/>
    <x v="10"/>
  </r>
  <r>
    <x v="0"/>
    <s v="Ноябрь"/>
    <x v="0"/>
    <x v="4"/>
    <x v="1"/>
    <n v="683130"/>
    <n v="32"/>
    <s v="PT-2211-109"/>
    <x v="10"/>
  </r>
  <r>
    <x v="0"/>
    <s v="Ноябрь"/>
    <x v="4"/>
    <x v="4"/>
    <x v="0"/>
    <n v="348330"/>
    <n v="24"/>
    <s v="PT-2211-110"/>
    <x v="10"/>
  </r>
  <r>
    <x v="0"/>
    <s v="Декабрь"/>
    <x v="3"/>
    <x v="3"/>
    <x v="0"/>
    <n v="724970"/>
    <n v="41"/>
    <s v="PT-2212-111"/>
    <x v="11"/>
  </r>
  <r>
    <x v="0"/>
    <s v="Декабрь"/>
    <x v="1"/>
    <x v="3"/>
    <x v="2"/>
    <n v="334910"/>
    <n v="28"/>
    <s v="PT-2212-112"/>
    <x v="11"/>
  </r>
  <r>
    <x v="0"/>
    <s v="Декабрь"/>
    <x v="0"/>
    <x v="1"/>
    <x v="2"/>
    <n v="380170"/>
    <n v="29"/>
    <s v="PT-2212-113"/>
    <x v="11"/>
  </r>
  <r>
    <x v="0"/>
    <s v="Декабрь"/>
    <x v="3"/>
    <x v="0"/>
    <x v="1"/>
    <n v="326620"/>
    <n v="16"/>
    <s v="PT-2212-114"/>
    <x v="11"/>
  </r>
  <r>
    <x v="0"/>
    <s v="Декабрь"/>
    <x v="1"/>
    <x v="3"/>
    <x v="1"/>
    <n v="591640"/>
    <n v="31"/>
    <s v="PT-2212-115"/>
    <x v="11"/>
  </r>
  <r>
    <x v="0"/>
    <s v="Декабрь"/>
    <x v="4"/>
    <x v="1"/>
    <x v="1"/>
    <n v="191220"/>
    <n v="12"/>
    <s v="PT-2212-116"/>
    <x v="11"/>
  </r>
  <r>
    <x v="0"/>
    <s v="Декабрь"/>
    <x v="0"/>
    <x v="1"/>
    <x v="1"/>
    <n v="365210"/>
    <n v="18"/>
    <s v="PT-2212-117"/>
    <x v="11"/>
  </r>
  <r>
    <x v="0"/>
    <s v="Декабрь"/>
    <x v="3"/>
    <x v="1"/>
    <x v="3"/>
    <n v="312000"/>
    <n v="22"/>
    <s v="PT-2212-118"/>
    <x v="11"/>
  </r>
  <r>
    <x v="0"/>
    <s v="Декабрь"/>
    <x v="0"/>
    <x v="0"/>
    <x v="0"/>
    <n v="757120"/>
    <n v="38"/>
    <s v="PT-2212-119"/>
    <x v="11"/>
  </r>
  <r>
    <x v="0"/>
    <s v="Декабрь"/>
    <x v="1"/>
    <x v="4"/>
    <x v="0"/>
    <n v="338630"/>
    <n v="21"/>
    <s v="PT-2212-120"/>
    <x v="11"/>
  </r>
  <r>
    <x v="1"/>
    <s v="Январь"/>
    <x v="2"/>
    <x v="2"/>
    <x v="0"/>
    <n v="918250"/>
    <n v="40"/>
    <s v="PT-2301-121"/>
    <x v="0"/>
  </r>
  <r>
    <x v="1"/>
    <s v="Январь"/>
    <x v="3"/>
    <x v="0"/>
    <x v="0"/>
    <n v="701990"/>
    <n v="37"/>
    <s v="PT-2301-122"/>
    <x v="0"/>
  </r>
  <r>
    <x v="1"/>
    <s v="Январь"/>
    <x v="3"/>
    <x v="3"/>
    <x v="1"/>
    <n v="337150"/>
    <n v="17"/>
    <s v="PT-2301-123"/>
    <x v="0"/>
  </r>
  <r>
    <x v="1"/>
    <s v="Январь"/>
    <x v="0"/>
    <x v="2"/>
    <x v="3"/>
    <n v="438160"/>
    <n v="27"/>
    <s v="PT-2301-124"/>
    <x v="0"/>
  </r>
  <r>
    <x v="1"/>
    <s v="Январь"/>
    <x v="3"/>
    <x v="0"/>
    <x v="1"/>
    <n v="469810"/>
    <n v="22"/>
    <s v="PT-2301-125"/>
    <x v="0"/>
  </r>
  <r>
    <x v="1"/>
    <s v="Январь"/>
    <x v="2"/>
    <x v="0"/>
    <x v="3"/>
    <n v="219680"/>
    <n v="12"/>
    <s v="PT-2301-126"/>
    <x v="0"/>
  </r>
  <r>
    <x v="1"/>
    <s v="Январь"/>
    <x v="1"/>
    <x v="1"/>
    <x v="0"/>
    <n v="208620"/>
    <n v="12"/>
    <s v="PT-2301-127"/>
    <x v="0"/>
  </r>
  <r>
    <x v="1"/>
    <s v="Январь"/>
    <x v="0"/>
    <x v="1"/>
    <x v="3"/>
    <n v="237350"/>
    <n v="14"/>
    <s v="PT-2301-128"/>
    <x v="0"/>
  </r>
  <r>
    <x v="1"/>
    <s v="Январь"/>
    <x v="3"/>
    <x v="3"/>
    <x v="1"/>
    <n v="504610"/>
    <n v="24"/>
    <s v="PT-2301-129"/>
    <x v="0"/>
  </r>
  <r>
    <x v="1"/>
    <s v="Январь"/>
    <x v="4"/>
    <x v="4"/>
    <x v="3"/>
    <n v="304410"/>
    <n v="24"/>
    <s v="PT-2301-130"/>
    <x v="0"/>
  </r>
  <r>
    <x v="1"/>
    <s v="Февраль"/>
    <x v="0"/>
    <x v="4"/>
    <x v="1"/>
    <n v="512150"/>
    <n v="24"/>
    <s v="PT-2302-131"/>
    <x v="1"/>
  </r>
  <r>
    <x v="1"/>
    <s v="Февраль"/>
    <x v="1"/>
    <x v="1"/>
    <x v="3"/>
    <n v="419660"/>
    <n v="32"/>
    <s v="PT-2302-132"/>
    <x v="1"/>
  </r>
  <r>
    <x v="1"/>
    <s v="Февраль"/>
    <x v="4"/>
    <x v="3"/>
    <x v="3"/>
    <n v="433030"/>
    <n v="33"/>
    <s v="PT-2302-133"/>
    <x v="1"/>
  </r>
  <r>
    <x v="1"/>
    <s v="Февраль"/>
    <x v="2"/>
    <x v="4"/>
    <x v="2"/>
    <n v="678440"/>
    <n v="41"/>
    <s v="PT-2302-134"/>
    <x v="1"/>
  </r>
  <r>
    <x v="1"/>
    <s v="Февраль"/>
    <x v="0"/>
    <x v="2"/>
    <x v="2"/>
    <n v="350970"/>
    <n v="24"/>
    <s v="PT-2302-135"/>
    <x v="1"/>
  </r>
  <r>
    <x v="1"/>
    <s v="Февраль"/>
    <x v="1"/>
    <x v="1"/>
    <x v="3"/>
    <n v="190830"/>
    <n v="14"/>
    <s v="PT-2302-136"/>
    <x v="1"/>
  </r>
  <r>
    <x v="1"/>
    <s v="Февраль"/>
    <x v="3"/>
    <x v="3"/>
    <x v="0"/>
    <n v="675160"/>
    <n v="38"/>
    <s v="PT-2302-137"/>
    <x v="1"/>
  </r>
  <r>
    <x v="1"/>
    <s v="Февраль"/>
    <x v="1"/>
    <x v="2"/>
    <x v="1"/>
    <n v="767100"/>
    <n v="41"/>
    <s v="PT-2302-138"/>
    <x v="1"/>
  </r>
  <r>
    <x v="1"/>
    <s v="Февраль"/>
    <x v="1"/>
    <x v="0"/>
    <x v="3"/>
    <n v="417130"/>
    <n v="29"/>
    <s v="PT-2302-139"/>
    <x v="1"/>
  </r>
  <r>
    <x v="1"/>
    <s v="Февраль"/>
    <x v="4"/>
    <x v="4"/>
    <x v="3"/>
    <n v="376540"/>
    <n v="29"/>
    <s v="PT-2302-140"/>
    <x v="1"/>
  </r>
  <r>
    <x v="1"/>
    <s v="Март"/>
    <x v="1"/>
    <x v="2"/>
    <x v="2"/>
    <n v="195860"/>
    <n v="15"/>
    <s v="PT-2303-141"/>
    <x v="2"/>
  </r>
  <r>
    <x v="1"/>
    <s v="Март"/>
    <x v="2"/>
    <x v="3"/>
    <x v="2"/>
    <n v="353700"/>
    <n v="21"/>
    <s v="PT-2303-142"/>
    <x v="2"/>
  </r>
  <r>
    <x v="1"/>
    <s v="Март"/>
    <x v="1"/>
    <x v="3"/>
    <x v="0"/>
    <n v="249440"/>
    <n v="16"/>
    <s v="PT-2303-143"/>
    <x v="2"/>
  </r>
  <r>
    <x v="1"/>
    <s v="Март"/>
    <x v="1"/>
    <x v="0"/>
    <x v="0"/>
    <n v="685210"/>
    <n v="41"/>
    <s v="PT-2303-144"/>
    <x v="2"/>
  </r>
  <r>
    <x v="1"/>
    <s v="Март"/>
    <x v="2"/>
    <x v="0"/>
    <x v="0"/>
    <n v="796430"/>
    <n v="34"/>
    <s v="PT-2303-145"/>
    <x v="2"/>
  </r>
  <r>
    <x v="1"/>
    <s v="Март"/>
    <x v="2"/>
    <x v="3"/>
    <x v="1"/>
    <n v="642290"/>
    <n v="25"/>
    <s v="PT-2303-146"/>
    <x v="2"/>
  </r>
  <r>
    <x v="1"/>
    <s v="Март"/>
    <x v="0"/>
    <x v="1"/>
    <x v="1"/>
    <n v="456480"/>
    <n v="22"/>
    <s v="PT-2303-147"/>
    <x v="2"/>
  </r>
  <r>
    <x v="1"/>
    <s v="Март"/>
    <x v="3"/>
    <x v="2"/>
    <x v="0"/>
    <n v="741130"/>
    <n v="40"/>
    <s v="PT-2303-148"/>
    <x v="2"/>
  </r>
  <r>
    <x v="1"/>
    <s v="Март"/>
    <x v="2"/>
    <x v="1"/>
    <x v="3"/>
    <n v="724740"/>
    <n v="39"/>
    <s v="PT-2303-149"/>
    <x v="2"/>
  </r>
  <r>
    <x v="1"/>
    <s v="Март"/>
    <x v="4"/>
    <x v="3"/>
    <x v="1"/>
    <n v="449600"/>
    <n v="25"/>
    <s v="PT-2303-150"/>
    <x v="2"/>
  </r>
  <r>
    <x v="1"/>
    <s v="Апрель"/>
    <x v="1"/>
    <x v="3"/>
    <x v="1"/>
    <n v="721860"/>
    <n v="38"/>
    <s v="PT-2304-151"/>
    <x v="3"/>
  </r>
  <r>
    <x v="1"/>
    <s v="Апрель"/>
    <x v="3"/>
    <x v="3"/>
    <x v="0"/>
    <n v="478270"/>
    <n v="26"/>
    <s v="PT-2304-152"/>
    <x v="3"/>
  </r>
  <r>
    <x v="1"/>
    <s v="Апрель"/>
    <x v="2"/>
    <x v="0"/>
    <x v="1"/>
    <n v="520780"/>
    <n v="20"/>
    <s v="PT-2304-153"/>
    <x v="3"/>
  </r>
  <r>
    <x v="1"/>
    <s v="Апрель"/>
    <x v="0"/>
    <x v="2"/>
    <x v="3"/>
    <n v="252410"/>
    <n v="16"/>
    <s v="PT-2304-154"/>
    <x v="3"/>
  </r>
  <r>
    <x v="1"/>
    <s v="Апрель"/>
    <x v="4"/>
    <x v="4"/>
    <x v="2"/>
    <n v="454970"/>
    <n v="42"/>
    <s v="PT-2304-155"/>
    <x v="3"/>
  </r>
  <r>
    <x v="1"/>
    <s v="Апрель"/>
    <x v="3"/>
    <x v="0"/>
    <x v="2"/>
    <n v="404100"/>
    <n v="30"/>
    <s v="PT-2304-156"/>
    <x v="3"/>
  </r>
  <r>
    <x v="1"/>
    <s v="Апрель"/>
    <x v="0"/>
    <x v="0"/>
    <x v="0"/>
    <n v="524630"/>
    <n v="27"/>
    <s v="PT-2304-157"/>
    <x v="3"/>
  </r>
  <r>
    <x v="1"/>
    <s v="Апрель"/>
    <x v="4"/>
    <x v="4"/>
    <x v="0"/>
    <n v="210160"/>
    <n v="13"/>
    <s v="PT-2304-158"/>
    <x v="3"/>
  </r>
  <r>
    <x v="1"/>
    <s v="Апрель"/>
    <x v="1"/>
    <x v="4"/>
    <x v="2"/>
    <n v="367470"/>
    <n v="30"/>
    <s v="PT-2304-159"/>
    <x v="3"/>
  </r>
  <r>
    <x v="1"/>
    <s v="Апрель"/>
    <x v="2"/>
    <x v="0"/>
    <x v="2"/>
    <n v="277070"/>
    <n v="17"/>
    <s v="PT-2304-160"/>
    <x v="3"/>
  </r>
  <r>
    <x v="1"/>
    <s v="Май"/>
    <x v="2"/>
    <x v="4"/>
    <x v="0"/>
    <n v="764240"/>
    <n v="35"/>
    <s v="PT-2305-161"/>
    <x v="4"/>
  </r>
  <r>
    <x v="1"/>
    <s v="Май"/>
    <x v="1"/>
    <x v="2"/>
    <x v="3"/>
    <n v="231050"/>
    <n v="17"/>
    <s v="PT-2305-162"/>
    <x v="4"/>
  </r>
  <r>
    <x v="1"/>
    <s v="Май"/>
    <x v="1"/>
    <x v="3"/>
    <x v="1"/>
    <n v="391250"/>
    <n v="20"/>
    <s v="PT-2305-163"/>
    <x v="4"/>
  </r>
  <r>
    <x v="1"/>
    <s v="Май"/>
    <x v="3"/>
    <x v="2"/>
    <x v="3"/>
    <n v="559360"/>
    <n v="36"/>
    <s v="PT-2305-164"/>
    <x v="4"/>
  </r>
  <r>
    <x v="1"/>
    <s v="Май"/>
    <x v="1"/>
    <x v="3"/>
    <x v="2"/>
    <n v="152080"/>
    <n v="13"/>
    <s v="PT-2305-165"/>
    <x v="4"/>
  </r>
  <r>
    <x v="1"/>
    <s v="Май"/>
    <x v="2"/>
    <x v="2"/>
    <x v="3"/>
    <n v="253050"/>
    <n v="14"/>
    <s v="PT-2305-166"/>
    <x v="4"/>
  </r>
  <r>
    <x v="1"/>
    <s v="Май"/>
    <x v="4"/>
    <x v="1"/>
    <x v="1"/>
    <n v="476680"/>
    <n v="27"/>
    <s v="PT-2305-167"/>
    <x v="4"/>
  </r>
  <r>
    <x v="1"/>
    <s v="Май"/>
    <x v="3"/>
    <x v="4"/>
    <x v="2"/>
    <n v="312570"/>
    <n v="23"/>
    <s v="PT-2305-168"/>
    <x v="4"/>
  </r>
  <r>
    <x v="1"/>
    <s v="Май"/>
    <x v="4"/>
    <x v="1"/>
    <x v="0"/>
    <n v="336920"/>
    <n v="22"/>
    <s v="PT-2305-169"/>
    <x v="4"/>
  </r>
  <r>
    <x v="1"/>
    <s v="Май"/>
    <x v="1"/>
    <x v="0"/>
    <x v="3"/>
    <n v="540920"/>
    <n v="37"/>
    <s v="PT-2305-170"/>
    <x v="4"/>
  </r>
  <r>
    <x v="1"/>
    <s v="Июнь"/>
    <x v="0"/>
    <x v="1"/>
    <x v="2"/>
    <n v="312990"/>
    <n v="24"/>
    <s v="PT-2306-171"/>
    <x v="5"/>
  </r>
  <r>
    <x v="1"/>
    <s v="Июнь"/>
    <x v="0"/>
    <x v="2"/>
    <x v="0"/>
    <n v="269050"/>
    <n v="13"/>
    <s v="PT-2306-172"/>
    <x v="5"/>
  </r>
  <r>
    <x v="1"/>
    <s v="Июнь"/>
    <x v="3"/>
    <x v="1"/>
    <x v="3"/>
    <n v="380090"/>
    <n v="26"/>
    <s v="PT-2306-173"/>
    <x v="5"/>
  </r>
  <r>
    <x v="1"/>
    <s v="Июнь"/>
    <x v="1"/>
    <x v="1"/>
    <x v="0"/>
    <n v="524860"/>
    <n v="33"/>
    <s v="PT-2306-174"/>
    <x v="5"/>
  </r>
  <r>
    <x v="1"/>
    <s v="Июнь"/>
    <x v="4"/>
    <x v="1"/>
    <x v="3"/>
    <n v="468110"/>
    <n v="37"/>
    <s v="PT-2306-175"/>
    <x v="5"/>
  </r>
  <r>
    <x v="1"/>
    <s v="Июнь"/>
    <x v="1"/>
    <x v="1"/>
    <x v="0"/>
    <n v="501960"/>
    <n v="31"/>
    <s v="PT-2306-176"/>
    <x v="5"/>
  </r>
  <r>
    <x v="1"/>
    <s v="Июнь"/>
    <x v="2"/>
    <x v="0"/>
    <x v="1"/>
    <n v="317120"/>
    <n v="12"/>
    <s v="PT-2306-177"/>
    <x v="5"/>
  </r>
  <r>
    <x v="1"/>
    <s v="Июнь"/>
    <x v="4"/>
    <x v="0"/>
    <x v="1"/>
    <n v="587920"/>
    <n v="33"/>
    <s v="PT-2306-178"/>
    <x v="5"/>
  </r>
  <r>
    <x v="1"/>
    <s v="Июнь"/>
    <x v="4"/>
    <x v="0"/>
    <x v="3"/>
    <n v="172580"/>
    <n v="14"/>
    <s v="PT-2306-179"/>
    <x v="5"/>
  </r>
  <r>
    <x v="1"/>
    <s v="Июнь"/>
    <x v="3"/>
    <x v="0"/>
    <x v="3"/>
    <n v="523340"/>
    <n v="34"/>
    <s v="PT-2306-180"/>
    <x v="5"/>
  </r>
  <r>
    <x v="1"/>
    <s v="Июль"/>
    <x v="2"/>
    <x v="1"/>
    <x v="1"/>
    <n v="931210"/>
    <n v="38"/>
    <s v="PT-2307-181"/>
    <x v="6"/>
  </r>
  <r>
    <x v="1"/>
    <s v="Июль"/>
    <x v="4"/>
    <x v="4"/>
    <x v="0"/>
    <n v="615390"/>
    <n v="40"/>
    <s v="PT-2307-182"/>
    <x v="6"/>
  </r>
  <r>
    <x v="1"/>
    <s v="Июль"/>
    <x v="0"/>
    <x v="0"/>
    <x v="2"/>
    <n v="185980"/>
    <n v="13"/>
    <s v="PT-2307-183"/>
    <x v="6"/>
  </r>
  <r>
    <x v="1"/>
    <s v="Июль"/>
    <x v="1"/>
    <x v="0"/>
    <x v="0"/>
    <n v="310710"/>
    <n v="19"/>
    <s v="PT-2307-184"/>
    <x v="6"/>
  </r>
  <r>
    <x v="1"/>
    <s v="Июль"/>
    <x v="0"/>
    <x v="4"/>
    <x v="0"/>
    <n v="633570"/>
    <n v="34"/>
    <s v="PT-2307-185"/>
    <x v="6"/>
  </r>
  <r>
    <x v="1"/>
    <s v="Июль"/>
    <x v="4"/>
    <x v="4"/>
    <x v="3"/>
    <n v="284770"/>
    <n v="21"/>
    <s v="PT-2307-186"/>
    <x v="6"/>
  </r>
  <r>
    <x v="1"/>
    <s v="Июль"/>
    <x v="3"/>
    <x v="0"/>
    <x v="0"/>
    <n v="227240"/>
    <n v="13"/>
    <s v="PT-2307-187"/>
    <x v="6"/>
  </r>
  <r>
    <x v="1"/>
    <s v="Июль"/>
    <x v="2"/>
    <x v="1"/>
    <x v="1"/>
    <n v="944710"/>
    <n v="38"/>
    <s v="PT-2307-188"/>
    <x v="6"/>
  </r>
  <r>
    <x v="1"/>
    <s v="Июль"/>
    <x v="2"/>
    <x v="1"/>
    <x v="1"/>
    <n v="682750"/>
    <n v="27"/>
    <s v="PT-2307-189"/>
    <x v="6"/>
  </r>
  <r>
    <x v="1"/>
    <s v="Июль"/>
    <x v="1"/>
    <x v="1"/>
    <x v="3"/>
    <n v="485010"/>
    <n v="36"/>
    <s v="PT-2307-190"/>
    <x v="6"/>
  </r>
  <r>
    <x v="1"/>
    <s v="Август"/>
    <x v="4"/>
    <x v="1"/>
    <x v="0"/>
    <n v="346460"/>
    <n v="23"/>
    <s v="PT-2308-191"/>
    <x v="7"/>
  </r>
  <r>
    <x v="1"/>
    <s v="Август"/>
    <x v="0"/>
    <x v="2"/>
    <x v="0"/>
    <n v="549430"/>
    <n v="28"/>
    <s v="PT-2308-192"/>
    <x v="7"/>
  </r>
  <r>
    <x v="1"/>
    <s v="Август"/>
    <x v="0"/>
    <x v="0"/>
    <x v="3"/>
    <n v="251100"/>
    <n v="16"/>
    <s v="PT-2308-193"/>
    <x v="7"/>
  </r>
  <r>
    <x v="1"/>
    <s v="Август"/>
    <x v="0"/>
    <x v="4"/>
    <x v="0"/>
    <n v="270050"/>
    <n v="15"/>
    <s v="PT-2308-194"/>
    <x v="7"/>
  </r>
  <r>
    <x v="1"/>
    <s v="Август"/>
    <x v="4"/>
    <x v="4"/>
    <x v="0"/>
    <n v="548750"/>
    <n v="36"/>
    <s v="PT-2308-195"/>
    <x v="7"/>
  </r>
  <r>
    <x v="1"/>
    <s v="Август"/>
    <x v="0"/>
    <x v="3"/>
    <x v="1"/>
    <n v="418570"/>
    <n v="19"/>
    <s v="PT-2308-196"/>
    <x v="7"/>
  </r>
  <r>
    <x v="1"/>
    <s v="Август"/>
    <x v="4"/>
    <x v="4"/>
    <x v="1"/>
    <n v="256180"/>
    <n v="14"/>
    <s v="PT-2308-197"/>
    <x v="7"/>
  </r>
  <r>
    <x v="1"/>
    <s v="Август"/>
    <x v="2"/>
    <x v="1"/>
    <x v="2"/>
    <n v="565640"/>
    <n v="35"/>
    <s v="PT-2308-198"/>
    <x v="7"/>
  </r>
  <r>
    <x v="1"/>
    <s v="Август"/>
    <x v="0"/>
    <x v="1"/>
    <x v="2"/>
    <n v="379910"/>
    <n v="29"/>
    <s v="PT-2308-199"/>
    <x v="7"/>
  </r>
  <r>
    <x v="1"/>
    <s v="Август"/>
    <x v="0"/>
    <x v="1"/>
    <x v="2"/>
    <n v="376720"/>
    <n v="27"/>
    <s v="PT-2308-200"/>
    <x v="7"/>
  </r>
  <r>
    <x v="1"/>
    <s v="Сентябрь"/>
    <x v="4"/>
    <x v="4"/>
    <x v="1"/>
    <n v="573950"/>
    <n v="34"/>
    <s v="PT-2309-201"/>
    <x v="8"/>
  </r>
  <r>
    <x v="1"/>
    <s v="Сентябрь"/>
    <x v="2"/>
    <x v="4"/>
    <x v="1"/>
    <n v="1005920"/>
    <n v="40"/>
    <s v="PT-2309-202"/>
    <x v="8"/>
  </r>
  <r>
    <x v="1"/>
    <s v="Сентябрь"/>
    <x v="1"/>
    <x v="4"/>
    <x v="1"/>
    <n v="714390"/>
    <n v="38"/>
    <s v="PT-2309-203"/>
    <x v="8"/>
  </r>
  <r>
    <x v="1"/>
    <s v="Сентябрь"/>
    <x v="1"/>
    <x v="0"/>
    <x v="3"/>
    <n v="520410"/>
    <n v="37"/>
    <s v="PT-2309-204"/>
    <x v="8"/>
  </r>
  <r>
    <x v="1"/>
    <s v="Сентябрь"/>
    <x v="2"/>
    <x v="1"/>
    <x v="3"/>
    <n v="520880"/>
    <n v="29"/>
    <s v="PT-2309-205"/>
    <x v="8"/>
  </r>
  <r>
    <x v="1"/>
    <s v="Сентябрь"/>
    <x v="4"/>
    <x v="4"/>
    <x v="1"/>
    <n v="504960"/>
    <n v="28"/>
    <s v="PT-2309-206"/>
    <x v="8"/>
  </r>
  <r>
    <x v="1"/>
    <s v="Сентябрь"/>
    <x v="1"/>
    <x v="0"/>
    <x v="3"/>
    <n v="340400"/>
    <n v="24"/>
    <s v="PT-2309-207"/>
    <x v="8"/>
  </r>
  <r>
    <x v="1"/>
    <s v="Сентябрь"/>
    <x v="4"/>
    <x v="0"/>
    <x v="3"/>
    <n v="333020"/>
    <n v="26"/>
    <s v="PT-2309-208"/>
    <x v="8"/>
  </r>
  <r>
    <x v="1"/>
    <s v="Сентябрь"/>
    <x v="1"/>
    <x v="0"/>
    <x v="2"/>
    <n v="539650"/>
    <n v="42"/>
    <s v="PT-2309-209"/>
    <x v="8"/>
  </r>
  <r>
    <x v="1"/>
    <s v="Сентябрь"/>
    <x v="0"/>
    <x v="0"/>
    <x v="3"/>
    <n v="389060"/>
    <n v="24"/>
    <s v="PT-2309-210"/>
    <x v="8"/>
  </r>
  <r>
    <x v="1"/>
    <s v="Октябрь"/>
    <x v="0"/>
    <x v="4"/>
    <x v="3"/>
    <n v="238880"/>
    <n v="14"/>
    <s v="PT-2310-211"/>
    <x v="9"/>
  </r>
  <r>
    <x v="1"/>
    <s v="Октябрь"/>
    <x v="2"/>
    <x v="1"/>
    <x v="2"/>
    <n v="307580"/>
    <n v="19"/>
    <s v="PT-2310-212"/>
    <x v="9"/>
  </r>
  <r>
    <x v="1"/>
    <s v="Октябрь"/>
    <x v="3"/>
    <x v="2"/>
    <x v="3"/>
    <n v="622600"/>
    <n v="39"/>
    <s v="PT-2310-213"/>
    <x v="9"/>
  </r>
  <r>
    <x v="1"/>
    <s v="Октябрь"/>
    <x v="3"/>
    <x v="2"/>
    <x v="2"/>
    <n v="536350"/>
    <n v="39"/>
    <s v="PT-2310-214"/>
    <x v="9"/>
  </r>
  <r>
    <x v="1"/>
    <s v="Октябрь"/>
    <x v="4"/>
    <x v="4"/>
    <x v="0"/>
    <n v="584200"/>
    <n v="39"/>
    <s v="PT-2310-215"/>
    <x v="9"/>
  </r>
  <r>
    <x v="1"/>
    <s v="Октябрь"/>
    <x v="1"/>
    <x v="0"/>
    <x v="1"/>
    <n v="686360"/>
    <n v="36"/>
    <s v="PT-2310-216"/>
    <x v="9"/>
  </r>
  <r>
    <x v="1"/>
    <s v="Октябрь"/>
    <x v="2"/>
    <x v="4"/>
    <x v="2"/>
    <n v="290410"/>
    <n v="17"/>
    <s v="PT-2310-217"/>
    <x v="9"/>
  </r>
  <r>
    <x v="1"/>
    <s v="Октябрь"/>
    <x v="2"/>
    <x v="2"/>
    <x v="3"/>
    <n v="360970"/>
    <n v="18"/>
    <s v="PT-2310-218"/>
    <x v="9"/>
  </r>
  <r>
    <x v="1"/>
    <s v="Октябрь"/>
    <x v="4"/>
    <x v="4"/>
    <x v="1"/>
    <n v="466580"/>
    <n v="27"/>
    <s v="PT-2310-219"/>
    <x v="9"/>
  </r>
  <r>
    <x v="1"/>
    <s v="Октябрь"/>
    <x v="1"/>
    <x v="0"/>
    <x v="1"/>
    <n v="615640"/>
    <n v="32"/>
    <s v="PT-2310-220"/>
    <x v="9"/>
  </r>
  <r>
    <x v="1"/>
    <s v="Ноябрь"/>
    <x v="4"/>
    <x v="4"/>
    <x v="2"/>
    <n v="400020"/>
    <n v="36"/>
    <s v="PT-2311-221"/>
    <x v="10"/>
  </r>
  <r>
    <x v="1"/>
    <s v="Ноябрь"/>
    <x v="4"/>
    <x v="2"/>
    <x v="1"/>
    <n v="293720"/>
    <n v="17"/>
    <s v="PT-2311-222"/>
    <x v="10"/>
  </r>
  <r>
    <x v="1"/>
    <s v="Ноябрь"/>
    <x v="3"/>
    <x v="4"/>
    <x v="2"/>
    <n v="274140"/>
    <n v="21"/>
    <s v="PT-2311-223"/>
    <x v="10"/>
  </r>
  <r>
    <x v="1"/>
    <s v="Ноябрь"/>
    <x v="1"/>
    <x v="2"/>
    <x v="3"/>
    <n v="564710"/>
    <n v="41"/>
    <s v="PT-2311-224"/>
    <x v="10"/>
  </r>
  <r>
    <x v="1"/>
    <s v="Ноябрь"/>
    <x v="4"/>
    <x v="4"/>
    <x v="0"/>
    <n v="384480"/>
    <n v="26"/>
    <s v="PT-2311-225"/>
    <x v="10"/>
  </r>
  <r>
    <x v="1"/>
    <s v="Ноябрь"/>
    <x v="2"/>
    <x v="4"/>
    <x v="0"/>
    <n v="731940"/>
    <n v="33"/>
    <s v="PT-2311-226"/>
    <x v="10"/>
  </r>
  <r>
    <x v="1"/>
    <s v="Ноябрь"/>
    <x v="1"/>
    <x v="2"/>
    <x v="0"/>
    <n v="597340"/>
    <n v="36"/>
    <s v="PT-2311-227"/>
    <x v="10"/>
  </r>
  <r>
    <x v="1"/>
    <s v="Ноябрь"/>
    <x v="0"/>
    <x v="4"/>
    <x v="1"/>
    <n v="333300"/>
    <n v="16"/>
    <s v="PT-2311-228"/>
    <x v="10"/>
  </r>
  <r>
    <x v="1"/>
    <s v="Ноябрь"/>
    <x v="1"/>
    <x v="3"/>
    <x v="1"/>
    <n v="255460"/>
    <n v="14"/>
    <s v="PT-2311-229"/>
    <x v="10"/>
  </r>
  <r>
    <x v="1"/>
    <s v="Ноябрь"/>
    <x v="4"/>
    <x v="2"/>
    <x v="1"/>
    <n v="592680"/>
    <n v="33"/>
    <s v="PT-2311-230"/>
    <x v="10"/>
  </r>
  <r>
    <x v="1"/>
    <s v="Декабрь"/>
    <x v="0"/>
    <x v="1"/>
    <x v="2"/>
    <n v="519650"/>
    <n v="38"/>
    <s v="PT-2312-231"/>
    <x v="11"/>
  </r>
  <r>
    <x v="1"/>
    <s v="Декабрь"/>
    <x v="3"/>
    <x v="0"/>
    <x v="3"/>
    <n v="267170"/>
    <n v="18"/>
    <s v="PT-2312-232"/>
    <x v="11"/>
  </r>
  <r>
    <x v="1"/>
    <s v="Декабрь"/>
    <x v="1"/>
    <x v="1"/>
    <x v="1"/>
    <n v="485270"/>
    <n v="26"/>
    <s v="PT-2312-233"/>
    <x v="11"/>
  </r>
  <r>
    <x v="1"/>
    <s v="Декабрь"/>
    <x v="2"/>
    <x v="0"/>
    <x v="0"/>
    <n v="270940"/>
    <n v="12"/>
    <s v="PT-2312-234"/>
    <x v="11"/>
  </r>
  <r>
    <x v="1"/>
    <s v="Декабрь"/>
    <x v="4"/>
    <x v="1"/>
    <x v="3"/>
    <n v="207810"/>
    <n v="16"/>
    <s v="PT-2312-235"/>
    <x v="11"/>
  </r>
  <r>
    <x v="1"/>
    <s v="Декабрь"/>
    <x v="0"/>
    <x v="1"/>
    <x v="2"/>
    <n v="400360"/>
    <n v="29"/>
    <s v="PT-2312-236"/>
    <x v="11"/>
  </r>
  <r>
    <x v="1"/>
    <s v="Декабрь"/>
    <x v="2"/>
    <x v="4"/>
    <x v="3"/>
    <n v="465720"/>
    <n v="24"/>
    <s v="PT-2312-237"/>
    <x v="11"/>
  </r>
  <r>
    <x v="1"/>
    <s v="Декабрь"/>
    <x v="3"/>
    <x v="0"/>
    <x v="0"/>
    <n v="285920"/>
    <n v="16"/>
    <s v="PT-2312-238"/>
    <x v="11"/>
  </r>
  <r>
    <x v="1"/>
    <s v="Декабрь"/>
    <x v="4"/>
    <x v="3"/>
    <x v="3"/>
    <n v="361280"/>
    <n v="28"/>
    <s v="PT-2312-239"/>
    <x v="11"/>
  </r>
  <r>
    <x v="1"/>
    <s v="Декабрь"/>
    <x v="3"/>
    <x v="3"/>
    <x v="0"/>
    <n v="357440"/>
    <n v="20"/>
    <s v="PT-2312-240"/>
    <x v="11"/>
  </r>
  <r>
    <x v="2"/>
    <s v="Январь"/>
    <x v="2"/>
    <x v="3"/>
    <x v="3"/>
    <n v="452900"/>
    <n v="24"/>
    <s v="PT-2401-241"/>
    <x v="0"/>
  </r>
  <r>
    <x v="2"/>
    <s v="Январь"/>
    <x v="4"/>
    <x v="3"/>
    <x v="2"/>
    <n v="263670"/>
    <n v="23"/>
    <s v="PT-2401-242"/>
    <x v="0"/>
  </r>
  <r>
    <x v="2"/>
    <s v="Январь"/>
    <x v="1"/>
    <x v="3"/>
    <x v="2"/>
    <n v="499900"/>
    <n v="40"/>
    <s v="PT-2401-243"/>
    <x v="0"/>
  </r>
  <r>
    <x v="2"/>
    <s v="Январь"/>
    <x v="4"/>
    <x v="3"/>
    <x v="0"/>
    <n v="460880"/>
    <n v="30"/>
    <s v="PT-2401-244"/>
    <x v="0"/>
  </r>
  <r>
    <x v="2"/>
    <s v="Январь"/>
    <x v="3"/>
    <x v="2"/>
    <x v="0"/>
    <n v="578820"/>
    <n v="31"/>
    <s v="PT-2401-245"/>
    <x v="0"/>
  </r>
  <r>
    <x v="2"/>
    <s v="Январь"/>
    <x v="3"/>
    <x v="4"/>
    <x v="2"/>
    <n v="346890"/>
    <n v="26"/>
    <s v="PT-2401-246"/>
    <x v="0"/>
  </r>
  <r>
    <x v="2"/>
    <s v="Январь"/>
    <x v="1"/>
    <x v="2"/>
    <x v="3"/>
    <n v="212630"/>
    <n v="15"/>
    <s v="PT-2401-247"/>
    <x v="0"/>
  </r>
  <r>
    <x v="2"/>
    <s v="Январь"/>
    <x v="4"/>
    <x v="0"/>
    <x v="2"/>
    <n v="332710"/>
    <n v="29"/>
    <s v="PT-2401-248"/>
    <x v="0"/>
  </r>
  <r>
    <x v="2"/>
    <s v="Январь"/>
    <x v="4"/>
    <x v="1"/>
    <x v="3"/>
    <n v="329960"/>
    <n v="26"/>
    <s v="PT-2401-249"/>
    <x v="0"/>
  </r>
  <r>
    <x v="2"/>
    <s v="Январь"/>
    <x v="4"/>
    <x v="0"/>
    <x v="2"/>
    <n v="382280"/>
    <n v="34"/>
    <s v="PT-2401-250"/>
    <x v="0"/>
  </r>
  <r>
    <x v="2"/>
    <s v="Февраль"/>
    <x v="1"/>
    <x v="4"/>
    <x v="2"/>
    <n v="195220"/>
    <n v="16"/>
    <s v="PT-2402-251"/>
    <x v="1"/>
  </r>
  <r>
    <x v="2"/>
    <s v="Февраль"/>
    <x v="1"/>
    <x v="1"/>
    <x v="1"/>
    <n v="648030"/>
    <n v="35"/>
    <s v="PT-2402-252"/>
    <x v="1"/>
  </r>
  <r>
    <x v="2"/>
    <s v="Февраль"/>
    <x v="4"/>
    <x v="2"/>
    <x v="3"/>
    <n v="483110"/>
    <n v="36"/>
    <s v="PT-2402-253"/>
    <x v="1"/>
  </r>
  <r>
    <x v="2"/>
    <s v="Февраль"/>
    <x v="2"/>
    <x v="3"/>
    <x v="3"/>
    <n v="489860"/>
    <n v="26"/>
    <s v="PT-2402-254"/>
    <x v="1"/>
  </r>
  <r>
    <x v="2"/>
    <s v="Февраль"/>
    <x v="2"/>
    <x v="3"/>
    <x v="0"/>
    <n v="858300"/>
    <n v="38"/>
    <s v="PT-2402-255"/>
    <x v="1"/>
  </r>
  <r>
    <x v="2"/>
    <s v="Февраль"/>
    <x v="0"/>
    <x v="1"/>
    <x v="3"/>
    <n v="531490"/>
    <n v="33"/>
    <s v="PT-2402-256"/>
    <x v="1"/>
  </r>
  <r>
    <x v="2"/>
    <s v="Февраль"/>
    <x v="2"/>
    <x v="2"/>
    <x v="1"/>
    <n v="306130"/>
    <n v="12"/>
    <s v="PT-2402-257"/>
    <x v="1"/>
  </r>
  <r>
    <x v="2"/>
    <s v="Февраль"/>
    <x v="1"/>
    <x v="3"/>
    <x v="2"/>
    <n v="304220"/>
    <n v="25"/>
    <s v="PT-2402-258"/>
    <x v="1"/>
  </r>
  <r>
    <x v="2"/>
    <s v="Февраль"/>
    <x v="0"/>
    <x v="2"/>
    <x v="1"/>
    <n v="456590"/>
    <n v="20"/>
    <s v="PT-2402-259"/>
    <x v="1"/>
  </r>
  <r>
    <x v="2"/>
    <s v="Февраль"/>
    <x v="3"/>
    <x v="0"/>
    <x v="3"/>
    <n v="524680"/>
    <n v="34"/>
    <s v="PT-2402-260"/>
    <x v="1"/>
  </r>
  <r>
    <x v="2"/>
    <s v="Март"/>
    <x v="0"/>
    <x v="0"/>
    <x v="1"/>
    <n v="927470"/>
    <n v="42"/>
    <s v="PT-2403-261"/>
    <x v="2"/>
  </r>
  <r>
    <x v="2"/>
    <s v="Март"/>
    <x v="1"/>
    <x v="2"/>
    <x v="3"/>
    <n v="348190"/>
    <n v="25"/>
    <s v="PT-2403-262"/>
    <x v="2"/>
  </r>
  <r>
    <x v="2"/>
    <s v="Март"/>
    <x v="0"/>
    <x v="2"/>
    <x v="0"/>
    <n v="444830"/>
    <n v="23"/>
    <s v="PT-2403-263"/>
    <x v="2"/>
  </r>
  <r>
    <x v="2"/>
    <s v="Март"/>
    <x v="1"/>
    <x v="2"/>
    <x v="0"/>
    <n v="476340"/>
    <n v="29"/>
    <s v="PT-2403-264"/>
    <x v="2"/>
  </r>
  <r>
    <x v="2"/>
    <s v="Март"/>
    <x v="0"/>
    <x v="3"/>
    <x v="3"/>
    <n v="676930"/>
    <n v="42"/>
    <s v="PT-2403-265"/>
    <x v="2"/>
  </r>
  <r>
    <x v="2"/>
    <s v="Март"/>
    <x v="0"/>
    <x v="1"/>
    <x v="3"/>
    <n v="343830"/>
    <n v="22"/>
    <s v="PT-2403-266"/>
    <x v="2"/>
  </r>
  <r>
    <x v="2"/>
    <s v="Март"/>
    <x v="4"/>
    <x v="0"/>
    <x v="1"/>
    <n v="304580"/>
    <n v="17"/>
    <s v="PT-2403-267"/>
    <x v="2"/>
  </r>
  <r>
    <x v="2"/>
    <s v="Март"/>
    <x v="0"/>
    <x v="0"/>
    <x v="2"/>
    <n v="202050"/>
    <n v="13"/>
    <s v="PT-2403-268"/>
    <x v="2"/>
  </r>
  <r>
    <x v="2"/>
    <s v="Март"/>
    <x v="3"/>
    <x v="0"/>
    <x v="2"/>
    <n v="255190"/>
    <n v="19"/>
    <s v="PT-2403-269"/>
    <x v="2"/>
  </r>
  <r>
    <x v="2"/>
    <s v="Март"/>
    <x v="0"/>
    <x v="1"/>
    <x v="0"/>
    <n v="490950"/>
    <n v="27"/>
    <s v="PT-2403-270"/>
    <x v="2"/>
  </r>
  <r>
    <x v="2"/>
    <s v="Апрель"/>
    <x v="0"/>
    <x v="0"/>
    <x v="2"/>
    <n v="595470"/>
    <n v="40"/>
    <s v="PT-2404-271"/>
    <x v="3"/>
  </r>
  <r>
    <x v="2"/>
    <s v="Апрель"/>
    <x v="3"/>
    <x v="4"/>
    <x v="2"/>
    <n v="153880"/>
    <n v="12"/>
    <s v="PT-2404-272"/>
    <x v="3"/>
  </r>
  <r>
    <x v="2"/>
    <s v="Апрель"/>
    <x v="3"/>
    <x v="0"/>
    <x v="1"/>
    <n v="368300"/>
    <n v="18"/>
    <s v="PT-2404-273"/>
    <x v="3"/>
  </r>
  <r>
    <x v="2"/>
    <s v="Апрель"/>
    <x v="4"/>
    <x v="1"/>
    <x v="2"/>
    <n v="152820"/>
    <n v="14"/>
    <s v="PT-2404-274"/>
    <x v="3"/>
  </r>
  <r>
    <x v="2"/>
    <s v="Апрель"/>
    <x v="3"/>
    <x v="3"/>
    <x v="2"/>
    <n v="215970"/>
    <n v="16"/>
    <s v="PT-2404-275"/>
    <x v="3"/>
  </r>
  <r>
    <x v="2"/>
    <s v="Апрель"/>
    <x v="0"/>
    <x v="3"/>
    <x v="2"/>
    <n v="541900"/>
    <n v="38"/>
    <s v="PT-2404-276"/>
    <x v="3"/>
  </r>
  <r>
    <x v="2"/>
    <s v="Апрель"/>
    <x v="2"/>
    <x v="2"/>
    <x v="0"/>
    <n v="271470"/>
    <n v="12"/>
    <s v="PT-2404-277"/>
    <x v="3"/>
  </r>
  <r>
    <x v="2"/>
    <s v="Апрель"/>
    <x v="2"/>
    <x v="2"/>
    <x v="3"/>
    <n v="773650"/>
    <n v="40"/>
    <s v="PT-2404-278"/>
    <x v="3"/>
  </r>
  <r>
    <x v="2"/>
    <s v="Апрель"/>
    <x v="4"/>
    <x v="2"/>
    <x v="2"/>
    <n v="423730"/>
    <n v="36"/>
    <s v="PT-2404-279"/>
    <x v="3"/>
  </r>
  <r>
    <x v="2"/>
    <s v="Апрель"/>
    <x v="4"/>
    <x v="1"/>
    <x v="1"/>
    <n v="476290"/>
    <n v="28"/>
    <s v="PT-2404-280"/>
    <x v="3"/>
  </r>
  <r>
    <x v="2"/>
    <s v="Май"/>
    <x v="1"/>
    <x v="0"/>
    <x v="3"/>
    <n v="314270"/>
    <n v="23"/>
    <s v="PT-2405-281"/>
    <x v="4"/>
  </r>
  <r>
    <x v="2"/>
    <s v="Май"/>
    <x v="1"/>
    <x v="2"/>
    <x v="3"/>
    <n v="481650"/>
    <n v="33"/>
    <s v="PT-2405-282"/>
    <x v="4"/>
  </r>
  <r>
    <x v="2"/>
    <s v="Май"/>
    <x v="4"/>
    <x v="1"/>
    <x v="2"/>
    <n v="391680"/>
    <n v="37"/>
    <s v="PT-2405-283"/>
    <x v="4"/>
  </r>
  <r>
    <x v="2"/>
    <s v="Май"/>
    <x v="0"/>
    <x v="1"/>
    <x v="3"/>
    <n v="416660"/>
    <n v="27"/>
    <s v="PT-2405-284"/>
    <x v="4"/>
  </r>
  <r>
    <x v="2"/>
    <s v="Май"/>
    <x v="4"/>
    <x v="3"/>
    <x v="1"/>
    <n v="274360"/>
    <n v="16"/>
    <s v="PT-2405-285"/>
    <x v="4"/>
  </r>
  <r>
    <x v="2"/>
    <s v="Май"/>
    <x v="3"/>
    <x v="2"/>
    <x v="2"/>
    <n v="224990"/>
    <n v="16"/>
    <s v="PT-2405-286"/>
    <x v="4"/>
  </r>
  <r>
    <x v="2"/>
    <s v="Май"/>
    <x v="3"/>
    <x v="3"/>
    <x v="3"/>
    <n v="445410"/>
    <n v="29"/>
    <s v="PT-2405-287"/>
    <x v="4"/>
  </r>
  <r>
    <x v="2"/>
    <s v="Май"/>
    <x v="3"/>
    <x v="3"/>
    <x v="3"/>
    <n v="606620"/>
    <n v="39"/>
    <s v="PT-2405-288"/>
    <x v="4"/>
  </r>
  <r>
    <x v="2"/>
    <s v="Май"/>
    <x v="4"/>
    <x v="4"/>
    <x v="2"/>
    <n v="378650"/>
    <n v="35"/>
    <s v="PT-2405-289"/>
    <x v="4"/>
  </r>
  <r>
    <x v="2"/>
    <s v="Май"/>
    <x v="1"/>
    <x v="3"/>
    <x v="3"/>
    <n v="482730"/>
    <n v="35"/>
    <s v="PT-2405-290"/>
    <x v="4"/>
  </r>
  <r>
    <x v="2"/>
    <s v="Июнь"/>
    <x v="3"/>
    <x v="2"/>
    <x v="1"/>
    <n v="559820"/>
    <n v="26"/>
    <s v="PT-2406-291"/>
    <x v="5"/>
  </r>
  <r>
    <x v="2"/>
    <s v="Июнь"/>
    <x v="0"/>
    <x v="3"/>
    <x v="3"/>
    <n v="390470"/>
    <n v="23"/>
    <s v="PT-2406-292"/>
    <x v="5"/>
  </r>
  <r>
    <x v="2"/>
    <s v="Июнь"/>
    <x v="3"/>
    <x v="3"/>
    <x v="2"/>
    <n v="233720"/>
    <n v="17"/>
    <s v="PT-2406-293"/>
    <x v="5"/>
  </r>
  <r>
    <x v="2"/>
    <s v="Июнь"/>
    <x v="0"/>
    <x v="3"/>
    <x v="1"/>
    <n v="407080"/>
    <n v="18"/>
    <s v="PT-2406-294"/>
    <x v="5"/>
  </r>
  <r>
    <x v="2"/>
    <s v="Июнь"/>
    <x v="1"/>
    <x v="1"/>
    <x v="3"/>
    <n v="365370"/>
    <n v="28"/>
    <s v="PT-2406-295"/>
    <x v="5"/>
  </r>
  <r>
    <x v="2"/>
    <s v="Июнь"/>
    <x v="2"/>
    <x v="1"/>
    <x v="2"/>
    <n v="590590"/>
    <n v="36"/>
    <s v="PT-2406-296"/>
    <x v="5"/>
  </r>
  <r>
    <x v="2"/>
    <s v="Июнь"/>
    <x v="0"/>
    <x v="1"/>
    <x v="0"/>
    <n v="320310"/>
    <n v="17"/>
    <s v="PT-2406-297"/>
    <x v="5"/>
  </r>
  <r>
    <x v="2"/>
    <s v="Июнь"/>
    <x v="1"/>
    <x v="4"/>
    <x v="1"/>
    <n v="229080"/>
    <n v="12"/>
    <s v="PT-2406-298"/>
    <x v="5"/>
  </r>
  <r>
    <x v="2"/>
    <s v="Июнь"/>
    <x v="2"/>
    <x v="1"/>
    <x v="2"/>
    <n v="483790"/>
    <n v="31"/>
    <s v="PT-2406-299"/>
    <x v="5"/>
  </r>
  <r>
    <x v="2"/>
    <s v="Июнь"/>
    <x v="0"/>
    <x v="1"/>
    <x v="2"/>
    <n v="348230"/>
    <n v="26"/>
    <s v="PT-2406-300"/>
    <x v="5"/>
  </r>
  <r>
    <x v="2"/>
    <s v="Июль"/>
    <x v="4"/>
    <x v="3"/>
    <x v="1"/>
    <n v="375110"/>
    <n v="21"/>
    <s v="PT-2407-301"/>
    <x v="6"/>
  </r>
  <r>
    <x v="2"/>
    <s v="Июль"/>
    <x v="2"/>
    <x v="0"/>
    <x v="3"/>
    <n v="344560"/>
    <n v="18"/>
    <s v="PT-2407-302"/>
    <x v="6"/>
  </r>
  <r>
    <x v="2"/>
    <s v="Июль"/>
    <x v="2"/>
    <x v="3"/>
    <x v="0"/>
    <n v="415610"/>
    <n v="19"/>
    <s v="PT-2407-303"/>
    <x v="6"/>
  </r>
  <r>
    <x v="2"/>
    <s v="Июль"/>
    <x v="2"/>
    <x v="2"/>
    <x v="3"/>
    <n v="299840"/>
    <n v="15"/>
    <s v="PT-2407-304"/>
    <x v="6"/>
  </r>
  <r>
    <x v="2"/>
    <s v="Июль"/>
    <x v="0"/>
    <x v="1"/>
    <x v="2"/>
    <n v="495930"/>
    <n v="37"/>
    <s v="PT-2407-305"/>
    <x v="6"/>
  </r>
  <r>
    <x v="2"/>
    <s v="Июль"/>
    <x v="4"/>
    <x v="3"/>
    <x v="3"/>
    <n v="468470"/>
    <n v="36"/>
    <s v="PT-2407-306"/>
    <x v="6"/>
  </r>
  <r>
    <x v="2"/>
    <s v="Июль"/>
    <x v="0"/>
    <x v="1"/>
    <x v="1"/>
    <n v="498980"/>
    <n v="24"/>
    <s v="PT-2407-307"/>
    <x v="6"/>
  </r>
  <r>
    <x v="2"/>
    <s v="Июль"/>
    <x v="4"/>
    <x v="4"/>
    <x v="3"/>
    <n v="251400"/>
    <n v="19"/>
    <s v="PT-2407-308"/>
    <x v="6"/>
  </r>
  <r>
    <x v="2"/>
    <s v="Июль"/>
    <x v="4"/>
    <x v="4"/>
    <x v="1"/>
    <n v="374760"/>
    <n v="22"/>
    <s v="PT-2407-309"/>
    <x v="6"/>
  </r>
  <r>
    <x v="2"/>
    <s v="Июль"/>
    <x v="1"/>
    <x v="1"/>
    <x v="1"/>
    <n v="439750"/>
    <n v="24"/>
    <s v="PT-2407-310"/>
    <x v="6"/>
  </r>
  <r>
    <x v="2"/>
    <s v="Август"/>
    <x v="2"/>
    <x v="4"/>
    <x v="0"/>
    <n v="789670"/>
    <n v="36"/>
    <s v="PT-2408-311"/>
    <x v="7"/>
  </r>
  <r>
    <x v="2"/>
    <s v="Август"/>
    <x v="0"/>
    <x v="1"/>
    <x v="2"/>
    <n v="414890"/>
    <n v="31"/>
    <s v="PT-2408-312"/>
    <x v="7"/>
  </r>
  <r>
    <x v="2"/>
    <s v="Август"/>
    <x v="3"/>
    <x v="4"/>
    <x v="2"/>
    <n v="266230"/>
    <n v="19"/>
    <s v="PT-2408-313"/>
    <x v="7"/>
  </r>
  <r>
    <x v="2"/>
    <s v="Август"/>
    <x v="3"/>
    <x v="1"/>
    <x v="0"/>
    <n v="452510"/>
    <n v="26"/>
    <s v="PT-2408-314"/>
    <x v="7"/>
  </r>
  <r>
    <x v="2"/>
    <s v="Август"/>
    <x v="2"/>
    <x v="1"/>
    <x v="1"/>
    <n v="1036140"/>
    <n v="41"/>
    <s v="PT-2408-315"/>
    <x v="7"/>
  </r>
  <r>
    <x v="2"/>
    <s v="Август"/>
    <x v="3"/>
    <x v="0"/>
    <x v="1"/>
    <n v="543780"/>
    <n v="26"/>
    <s v="PT-2408-316"/>
    <x v="7"/>
  </r>
  <r>
    <x v="2"/>
    <s v="Август"/>
    <x v="2"/>
    <x v="2"/>
    <x v="0"/>
    <n v="933160"/>
    <n v="42"/>
    <s v="PT-2408-317"/>
    <x v="7"/>
  </r>
  <r>
    <x v="2"/>
    <s v="Август"/>
    <x v="1"/>
    <x v="1"/>
    <x v="0"/>
    <n v="223630"/>
    <n v="15"/>
    <s v="PT-2408-318"/>
    <x v="7"/>
  </r>
  <r>
    <x v="2"/>
    <s v="Август"/>
    <x v="1"/>
    <x v="0"/>
    <x v="1"/>
    <n v="436680"/>
    <n v="22"/>
    <s v="PT-2408-319"/>
    <x v="7"/>
  </r>
  <r>
    <x v="2"/>
    <s v="Август"/>
    <x v="3"/>
    <x v="2"/>
    <x v="1"/>
    <n v="647600"/>
    <n v="31"/>
    <s v="PT-2408-320"/>
    <x v="7"/>
  </r>
  <r>
    <x v="2"/>
    <s v="Сентябрь"/>
    <x v="0"/>
    <x v="2"/>
    <x v="1"/>
    <n v="788470"/>
    <n v="35"/>
    <s v="PT-2409-321"/>
    <x v="8"/>
  </r>
  <r>
    <x v="2"/>
    <s v="Сентябрь"/>
    <x v="1"/>
    <x v="3"/>
    <x v="1"/>
    <n v="466560"/>
    <n v="25"/>
    <s v="PT-2409-322"/>
    <x v="8"/>
  </r>
  <r>
    <x v="2"/>
    <s v="Сентябрь"/>
    <x v="2"/>
    <x v="3"/>
    <x v="0"/>
    <n v="253950"/>
    <n v="12"/>
    <s v="PT-2409-323"/>
    <x v="8"/>
  </r>
  <r>
    <x v="2"/>
    <s v="Сентябрь"/>
    <x v="1"/>
    <x v="4"/>
    <x v="0"/>
    <n v="203740"/>
    <n v="12"/>
    <s v="PT-2409-324"/>
    <x v="8"/>
  </r>
  <r>
    <x v="2"/>
    <s v="Сентябрь"/>
    <x v="1"/>
    <x v="2"/>
    <x v="1"/>
    <n v="407320"/>
    <n v="21"/>
    <s v="PT-2409-325"/>
    <x v="8"/>
  </r>
  <r>
    <x v="2"/>
    <s v="Сентябрь"/>
    <x v="2"/>
    <x v="4"/>
    <x v="3"/>
    <n v="604640"/>
    <n v="32"/>
    <s v="PT-2409-326"/>
    <x v="8"/>
  </r>
  <r>
    <x v="2"/>
    <s v="Сентябрь"/>
    <x v="2"/>
    <x v="1"/>
    <x v="3"/>
    <n v="588990"/>
    <n v="32"/>
    <s v="PT-2409-327"/>
    <x v="8"/>
  </r>
  <r>
    <x v="2"/>
    <s v="Сентябрь"/>
    <x v="1"/>
    <x v="3"/>
    <x v="0"/>
    <n v="321070"/>
    <n v="19"/>
    <s v="PT-2409-328"/>
    <x v="8"/>
  </r>
  <r>
    <x v="2"/>
    <s v="Сентябрь"/>
    <x v="3"/>
    <x v="4"/>
    <x v="1"/>
    <n v="533610"/>
    <n v="26"/>
    <s v="PT-2409-329"/>
    <x v="8"/>
  </r>
  <r>
    <x v="2"/>
    <s v="Сентябрь"/>
    <x v="3"/>
    <x v="3"/>
    <x v="3"/>
    <n v="192960"/>
    <n v="13"/>
    <s v="PT-2409-330"/>
    <x v="8"/>
  </r>
  <r>
    <x v="2"/>
    <s v="Октябрь"/>
    <x v="2"/>
    <x v="1"/>
    <x v="0"/>
    <n v="363290"/>
    <n v="17"/>
    <s v="PT-2410-331"/>
    <x v="9"/>
  </r>
  <r>
    <x v="2"/>
    <s v="Октябрь"/>
    <x v="1"/>
    <x v="3"/>
    <x v="2"/>
    <n v="394230"/>
    <n v="33"/>
    <s v="PT-2410-332"/>
    <x v="9"/>
  </r>
  <r>
    <x v="2"/>
    <s v="Октябрь"/>
    <x v="3"/>
    <x v="4"/>
    <x v="2"/>
    <n v="293290"/>
    <n v="23"/>
    <s v="PT-2410-333"/>
    <x v="9"/>
  </r>
  <r>
    <x v="2"/>
    <s v="Октябрь"/>
    <x v="0"/>
    <x v="0"/>
    <x v="1"/>
    <n v="605640"/>
    <n v="27"/>
    <s v="PT-2410-334"/>
    <x v="9"/>
  </r>
  <r>
    <x v="2"/>
    <s v="Октябрь"/>
    <x v="3"/>
    <x v="3"/>
    <x v="2"/>
    <n v="189400"/>
    <n v="13"/>
    <s v="PT-2410-335"/>
    <x v="9"/>
  </r>
  <r>
    <x v="2"/>
    <s v="Октябрь"/>
    <x v="3"/>
    <x v="2"/>
    <x v="2"/>
    <n v="308210"/>
    <n v="23"/>
    <s v="PT-2410-336"/>
    <x v="9"/>
  </r>
  <r>
    <x v="2"/>
    <s v="Октябрь"/>
    <x v="0"/>
    <x v="4"/>
    <x v="0"/>
    <n v="398530"/>
    <n v="22"/>
    <s v="PT-2410-337"/>
    <x v="9"/>
  </r>
  <r>
    <x v="2"/>
    <s v="Октябрь"/>
    <x v="1"/>
    <x v="1"/>
    <x v="3"/>
    <n v="271070"/>
    <n v="20"/>
    <s v="PT-2410-338"/>
    <x v="9"/>
  </r>
  <r>
    <x v="2"/>
    <s v="Октябрь"/>
    <x v="2"/>
    <x v="0"/>
    <x v="0"/>
    <n v="566560"/>
    <n v="25"/>
    <s v="PT-2410-339"/>
    <x v="9"/>
  </r>
  <r>
    <x v="2"/>
    <s v="Октябрь"/>
    <x v="0"/>
    <x v="4"/>
    <x v="0"/>
    <n v="695400"/>
    <n v="37"/>
    <s v="PT-2410-340"/>
    <x v="9"/>
  </r>
  <r>
    <x v="2"/>
    <s v="Ноябрь"/>
    <x v="0"/>
    <x v="3"/>
    <x v="2"/>
    <n v="251620"/>
    <n v="19"/>
    <s v="PT-2411-341"/>
    <x v="10"/>
  </r>
  <r>
    <x v="2"/>
    <s v="Ноябрь"/>
    <x v="2"/>
    <x v="0"/>
    <x v="0"/>
    <n v="315910"/>
    <n v="14"/>
    <s v="PT-2411-342"/>
    <x v="10"/>
  </r>
  <r>
    <x v="2"/>
    <s v="Ноябрь"/>
    <x v="1"/>
    <x v="1"/>
    <x v="3"/>
    <n v="464570"/>
    <n v="35"/>
    <s v="PT-2411-343"/>
    <x v="10"/>
  </r>
  <r>
    <x v="2"/>
    <s v="Ноябрь"/>
    <x v="3"/>
    <x v="4"/>
    <x v="3"/>
    <n v="462410"/>
    <n v="31"/>
    <s v="PT-2411-344"/>
    <x v="10"/>
  </r>
  <r>
    <x v="2"/>
    <s v="Ноябрь"/>
    <x v="0"/>
    <x v="3"/>
    <x v="3"/>
    <n v="390480"/>
    <n v="24"/>
    <s v="PT-2411-345"/>
    <x v="10"/>
  </r>
  <r>
    <x v="2"/>
    <s v="Ноябрь"/>
    <x v="0"/>
    <x v="4"/>
    <x v="1"/>
    <n v="621150"/>
    <n v="29"/>
    <s v="PT-2411-346"/>
    <x v="10"/>
  </r>
  <r>
    <x v="2"/>
    <s v="Ноябрь"/>
    <x v="4"/>
    <x v="4"/>
    <x v="1"/>
    <n v="653010"/>
    <n v="38"/>
    <s v="PT-2411-347"/>
    <x v="10"/>
  </r>
  <r>
    <x v="2"/>
    <s v="Ноябрь"/>
    <x v="2"/>
    <x v="4"/>
    <x v="0"/>
    <n v="872690"/>
    <n v="40"/>
    <s v="PT-2411-348"/>
    <x v="10"/>
  </r>
  <r>
    <x v="2"/>
    <s v="Ноябрь"/>
    <x v="0"/>
    <x v="3"/>
    <x v="1"/>
    <n v="361480"/>
    <n v="17"/>
    <s v="PT-2411-349"/>
    <x v="10"/>
  </r>
  <r>
    <x v="2"/>
    <s v="Ноябрь"/>
    <x v="2"/>
    <x v="0"/>
    <x v="1"/>
    <n v="908460"/>
    <n v="35"/>
    <s v="PT-2411-350"/>
    <x v="10"/>
  </r>
  <r>
    <x v="2"/>
    <s v="Декабрь"/>
    <x v="1"/>
    <x v="3"/>
    <x v="2"/>
    <n v="165860"/>
    <n v="13"/>
    <s v="PT-2412-351"/>
    <x v="11"/>
  </r>
  <r>
    <x v="2"/>
    <s v="Декабрь"/>
    <x v="2"/>
    <x v="0"/>
    <x v="0"/>
    <n v="525620"/>
    <n v="23"/>
    <s v="PT-2412-352"/>
    <x v="11"/>
  </r>
  <r>
    <x v="2"/>
    <s v="Декабрь"/>
    <x v="2"/>
    <x v="2"/>
    <x v="1"/>
    <n v="414080"/>
    <n v="16"/>
    <s v="PT-2412-353"/>
    <x v="11"/>
  </r>
  <r>
    <x v="2"/>
    <s v="Декабрь"/>
    <x v="0"/>
    <x v="2"/>
    <x v="3"/>
    <n v="662060"/>
    <n v="40"/>
    <s v="PT-2412-354"/>
    <x v="11"/>
  </r>
  <r>
    <x v="2"/>
    <s v="Декабрь"/>
    <x v="3"/>
    <x v="2"/>
    <x v="0"/>
    <n v="570540"/>
    <n v="32"/>
    <s v="PT-2412-355"/>
    <x v="11"/>
  </r>
  <r>
    <x v="2"/>
    <s v="Декабрь"/>
    <x v="2"/>
    <x v="4"/>
    <x v="0"/>
    <n v="710790"/>
    <n v="33"/>
    <s v="PT-2412-356"/>
    <x v="11"/>
  </r>
  <r>
    <x v="2"/>
    <s v="Декабрь"/>
    <x v="2"/>
    <x v="1"/>
    <x v="2"/>
    <n v="632410"/>
    <n v="40"/>
    <s v="PT-2412-357"/>
    <x v="11"/>
  </r>
  <r>
    <x v="2"/>
    <s v="Декабрь"/>
    <x v="1"/>
    <x v="1"/>
    <x v="1"/>
    <n v="360510"/>
    <n v="19"/>
    <s v="PT-2412-358"/>
    <x v="11"/>
  </r>
  <r>
    <x v="2"/>
    <s v="Декабрь"/>
    <x v="2"/>
    <x v="4"/>
    <x v="0"/>
    <n v="738790"/>
    <n v="34"/>
    <s v="PT-2412-359"/>
    <x v="11"/>
  </r>
  <r>
    <x v="2"/>
    <s v="Декабрь"/>
    <x v="2"/>
    <x v="2"/>
    <x v="3"/>
    <n v="485730"/>
    <n v="26"/>
    <s v="PT-2412-360"/>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A132EE2-0D5F-4706-A156-519811591AFA}" name="PivotTable1"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1:X19" firstHeaderRow="1" firstDataRow="3" firstDataCol="1" rowPageCount="1" colPageCount="1"/>
  <pivotFields count="9">
    <pivotField axis="axisPage" showAll="0">
      <items count="4">
        <item x="0"/>
        <item x="1"/>
        <item x="2"/>
        <item t="default"/>
      </items>
    </pivotField>
    <pivotField axis="axisCol" showAll="0">
      <items count="13">
        <item x="7"/>
        <item x="3"/>
        <item x="11"/>
        <item x="6"/>
        <item x="5"/>
        <item x="4"/>
        <item x="2"/>
        <item x="10"/>
        <item x="9"/>
        <item x="8"/>
        <item x="1"/>
        <item x="0"/>
        <item t="default"/>
      </items>
    </pivotField>
    <pivotField axis="axisRow" showAll="0">
      <items count="6">
        <item x="0"/>
        <item x="3"/>
        <item x="1"/>
        <item x="2"/>
        <item x="4"/>
        <item t="default"/>
      </items>
    </pivotField>
    <pivotField showAll="0"/>
    <pivotField showAll="0"/>
    <pivotField dataField="1" numFmtId="164" showAll="0"/>
    <pivotField numFmtId="3" showAll="0"/>
    <pivotField showAll="0"/>
    <pivotField axis="axisCol" showAll="0" defaultSubtotal="0">
      <items count="12">
        <item x="0"/>
        <item x="1"/>
        <item x="2"/>
        <item x="3"/>
        <item x="4"/>
        <item x="5"/>
        <item x="6"/>
        <item x="7"/>
        <item x="8"/>
        <item x="9"/>
        <item x="10"/>
        <item x="11"/>
      </items>
    </pivotField>
  </pivotFields>
  <rowFields count="1">
    <field x="2"/>
  </rowFields>
  <rowItems count="6">
    <i>
      <x/>
    </i>
    <i>
      <x v="1"/>
    </i>
    <i>
      <x v="2"/>
    </i>
    <i>
      <x v="3"/>
    </i>
    <i>
      <x v="4"/>
    </i>
    <i t="grand">
      <x/>
    </i>
  </rowItems>
  <colFields count="2">
    <field x="8"/>
    <field x="1"/>
  </colFields>
  <colItems count="13">
    <i>
      <x/>
      <x v="11"/>
    </i>
    <i>
      <x v="1"/>
      <x v="10"/>
    </i>
    <i>
      <x v="2"/>
      <x v="6"/>
    </i>
    <i>
      <x v="3"/>
      <x v="1"/>
    </i>
    <i>
      <x v="4"/>
      <x v="5"/>
    </i>
    <i>
      <x v="5"/>
      <x v="4"/>
    </i>
    <i>
      <x v="6"/>
      <x v="3"/>
    </i>
    <i>
      <x v="7"/>
      <x/>
    </i>
    <i>
      <x v="8"/>
      <x v="9"/>
    </i>
    <i>
      <x v="9"/>
      <x v="8"/>
    </i>
    <i>
      <x v="10"/>
      <x v="7"/>
    </i>
    <i>
      <x v="11"/>
      <x v="2"/>
    </i>
    <i t="grand">
      <x/>
    </i>
  </colItems>
  <pageFields count="1">
    <pageField fld="0" hier="-1"/>
  </pageFields>
  <dataFields count="1">
    <dataField name="Sum of Выручка" fld="5"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D3F6AC2-B67F-4FE8-BA0E-2B35EB5FB95F}" name="PivotTable2" cacheId="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4:BK22" firstHeaderRow="1" firstDataRow="3" firstDataCol="1"/>
  <pivotFields count="9">
    <pivotField showAll="0"/>
    <pivotField showAll="0">
      <items count="13">
        <item x="7"/>
        <item x="3"/>
        <item x="11"/>
        <item x="6"/>
        <item x="5"/>
        <item x="4"/>
        <item x="2"/>
        <item x="10"/>
        <item x="9"/>
        <item x="8"/>
        <item x="1"/>
        <item x="0"/>
        <item t="default"/>
      </items>
    </pivotField>
    <pivotField axis="axisRow" showAll="0">
      <items count="6">
        <item x="0"/>
        <item x="3"/>
        <item x="1"/>
        <item x="2"/>
        <item x="4"/>
        <item t="default"/>
      </items>
    </pivotField>
    <pivotField showAll="0">
      <items count="6">
        <item x="1"/>
        <item x="4"/>
        <item x="3"/>
        <item x="2"/>
        <item x="0"/>
        <item t="default"/>
      </items>
    </pivotField>
    <pivotField showAll="0"/>
    <pivotField dataField="1" numFmtId="164" showAll="0"/>
    <pivotField numFmtId="3" showAll="0"/>
    <pivotField showAll="0"/>
    <pivotField axis="axisCol" showAll="0" defaultSubtotal="0">
      <items count="12">
        <item x="0"/>
        <item x="1"/>
        <item x="2"/>
        <item x="3"/>
        <item x="4"/>
        <item x="5"/>
        <item x="6"/>
        <item x="7"/>
        <item x="8"/>
        <item x="9"/>
        <item x="10"/>
        <item x="11"/>
      </items>
    </pivotField>
  </pivotFields>
  <rowFields count="1">
    <field x="2"/>
  </rowFields>
  <rowItems count="6">
    <i>
      <x/>
    </i>
    <i>
      <x v="1"/>
    </i>
    <i>
      <x v="2"/>
    </i>
    <i>
      <x v="3"/>
    </i>
    <i>
      <x v="4"/>
    </i>
    <i t="grand">
      <x/>
    </i>
  </rowItems>
  <colFields count="2">
    <field x="8"/>
    <field x="-2"/>
  </colFields>
  <colItems count="52">
    <i>
      <x/>
      <x/>
    </i>
    <i r="1" i="1">
      <x v="1"/>
    </i>
    <i r="1" i="2">
      <x v="2"/>
    </i>
    <i r="1" i="3">
      <x v="3"/>
    </i>
    <i>
      <x v="1"/>
      <x/>
    </i>
    <i r="1" i="1">
      <x v="1"/>
    </i>
    <i r="1" i="2">
      <x v="2"/>
    </i>
    <i r="1" i="3">
      <x v="3"/>
    </i>
    <i>
      <x v="2"/>
      <x/>
    </i>
    <i r="1" i="1">
      <x v="1"/>
    </i>
    <i r="1" i="2">
      <x v="2"/>
    </i>
    <i r="1" i="3">
      <x v="3"/>
    </i>
    <i>
      <x v="3"/>
      <x/>
    </i>
    <i r="1" i="1">
      <x v="1"/>
    </i>
    <i r="1" i="2">
      <x v="2"/>
    </i>
    <i r="1" i="3">
      <x v="3"/>
    </i>
    <i>
      <x v="4"/>
      <x/>
    </i>
    <i r="1" i="1">
      <x v="1"/>
    </i>
    <i r="1" i="2">
      <x v="2"/>
    </i>
    <i r="1" i="3">
      <x v="3"/>
    </i>
    <i>
      <x v="5"/>
      <x/>
    </i>
    <i r="1" i="1">
      <x v="1"/>
    </i>
    <i r="1" i="2">
      <x v="2"/>
    </i>
    <i r="1" i="3">
      <x v="3"/>
    </i>
    <i>
      <x v="6"/>
      <x/>
    </i>
    <i r="1" i="1">
      <x v="1"/>
    </i>
    <i r="1" i="2">
      <x v="2"/>
    </i>
    <i r="1" i="3">
      <x v="3"/>
    </i>
    <i>
      <x v="7"/>
      <x/>
    </i>
    <i r="1" i="1">
      <x v="1"/>
    </i>
    <i r="1" i="2">
      <x v="2"/>
    </i>
    <i r="1" i="3">
      <x v="3"/>
    </i>
    <i>
      <x v="8"/>
      <x/>
    </i>
    <i r="1" i="1">
      <x v="1"/>
    </i>
    <i r="1" i="2">
      <x v="2"/>
    </i>
    <i r="1" i="3">
      <x v="3"/>
    </i>
    <i>
      <x v="9"/>
      <x/>
    </i>
    <i r="1" i="1">
      <x v="1"/>
    </i>
    <i r="1" i="2">
      <x v="2"/>
    </i>
    <i r="1" i="3">
      <x v="3"/>
    </i>
    <i>
      <x v="10"/>
      <x/>
    </i>
    <i r="1" i="1">
      <x v="1"/>
    </i>
    <i r="1" i="2">
      <x v="2"/>
    </i>
    <i r="1" i="3">
      <x v="3"/>
    </i>
    <i>
      <x v="11"/>
      <x/>
    </i>
    <i r="1" i="1">
      <x v="1"/>
    </i>
    <i r="1" i="2">
      <x v="2"/>
    </i>
    <i r="1" i="3">
      <x v="3"/>
    </i>
    <i t="grand">
      <x/>
    </i>
    <i t="grand" i="1">
      <x/>
    </i>
    <i t="grand" i="2">
      <x/>
    </i>
    <i t="grand" i="3">
      <x/>
    </i>
  </colItems>
  <dataFields count="4">
    <dataField name="Sum of Выручка" fld="5" baseField="0" baseItem="0" numFmtId="164"/>
    <dataField name="Average of Выручка" fld="5" subtotal="average" baseField="2" baseItem="0" numFmtId="164"/>
    <dataField name="% of Выручка" fld="5" showDataAs="percentOfTotal" baseField="2" baseItem="0" numFmtId="10"/>
    <dataField name="Monthly % Diff of Выручка" fld="5" showDataAs="percentDiff" baseField="8" baseItem="1048828"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5DD7492-CFED-4085-B31F-29775D6767DA}" name="PivotTable5" cacheId="6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59:P66" firstHeaderRow="1" firstDataRow="2" firstDataCol="1"/>
  <pivotFields count="9">
    <pivotField showAll="0">
      <items count="4">
        <item h="1" x="0"/>
        <item h="1" x="1"/>
        <item x="2"/>
        <item t="default"/>
      </items>
    </pivotField>
    <pivotField showAll="0"/>
    <pivotField axis="axisCol" showAll="0">
      <items count="6">
        <item x="0"/>
        <item x="3"/>
        <item x="1"/>
        <item x="2"/>
        <item x="4"/>
        <item t="default"/>
      </items>
    </pivotField>
    <pivotField axis="axisRow" showAll="0">
      <items count="6">
        <item x="1"/>
        <item x="4"/>
        <item x="3"/>
        <item x="2"/>
        <item x="0"/>
        <item t="default"/>
      </items>
    </pivotField>
    <pivotField showAll="0">
      <items count="5">
        <item h="1" x="1"/>
        <item h="1" x="2"/>
        <item h="1" x="0"/>
        <item x="3"/>
        <item t="default"/>
      </items>
    </pivotField>
    <pivotField dataField="1" numFmtId="164" showAll="0"/>
    <pivotField numFmtId="3" showAll="0"/>
    <pivotField showAll="0"/>
    <pivotField showAll="0"/>
  </pivotFields>
  <rowFields count="1">
    <field x="3"/>
  </rowFields>
  <rowItems count="6">
    <i>
      <x/>
    </i>
    <i>
      <x v="1"/>
    </i>
    <i>
      <x v="2"/>
    </i>
    <i>
      <x v="3"/>
    </i>
    <i>
      <x v="4"/>
    </i>
    <i t="grand">
      <x/>
    </i>
  </rowItems>
  <colFields count="1">
    <field x="2"/>
  </colFields>
  <colItems count="6">
    <i>
      <x/>
    </i>
    <i>
      <x v="1"/>
    </i>
    <i>
      <x v="2"/>
    </i>
    <i>
      <x v="3"/>
    </i>
    <i>
      <x v="4"/>
    </i>
    <i t="grand">
      <x/>
    </i>
  </colItems>
  <dataFields count="1">
    <dataField name="Sum of Выручка" fld="5"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E5C821E-EE46-48E1-AB68-3A4A6CA1B34E}" name="PivotTable4" cacheId="6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J15:W22" firstHeaderRow="1" firstDataRow="2" firstDataCol="1"/>
  <pivotFields count="9">
    <pivotField showAll="0"/>
    <pivotField showAll="0"/>
    <pivotField axis="axisRow" showAll="0">
      <items count="6">
        <item x="0"/>
        <item x="3"/>
        <item x="1"/>
        <item x="2"/>
        <item x="4"/>
        <item t="default"/>
      </items>
    </pivotField>
    <pivotField showAll="0"/>
    <pivotField showAll="0"/>
    <pivotField dataField="1" numFmtId="164" showAll="0"/>
    <pivotField numFmtId="3" showAll="0"/>
    <pivotField showAll="0"/>
    <pivotField axis="axisCol" showAll="0">
      <items count="13">
        <item x="0"/>
        <item x="1"/>
        <item x="2"/>
        <item x="3"/>
        <item x="4"/>
        <item x="5"/>
        <item x="6"/>
        <item x="7"/>
        <item x="8"/>
        <item x="9"/>
        <item x="10"/>
        <item x="11"/>
        <item t="default"/>
      </items>
    </pivotField>
  </pivotFields>
  <rowFields count="1">
    <field x="2"/>
  </rowFields>
  <rowItems count="6">
    <i>
      <x/>
    </i>
    <i>
      <x v="1"/>
    </i>
    <i>
      <x v="2"/>
    </i>
    <i>
      <x v="3"/>
    </i>
    <i>
      <x v="4"/>
    </i>
    <i t="grand">
      <x/>
    </i>
  </rowItems>
  <colFields count="1">
    <field x="8"/>
  </colFields>
  <colItems count="13">
    <i>
      <x/>
    </i>
    <i>
      <x v="1"/>
    </i>
    <i>
      <x v="2"/>
    </i>
    <i>
      <x v="3"/>
    </i>
    <i>
      <x v="4"/>
    </i>
    <i>
      <x v="5"/>
    </i>
    <i>
      <x v="6"/>
    </i>
    <i>
      <x v="7"/>
    </i>
    <i>
      <x v="8"/>
    </i>
    <i>
      <x v="9"/>
    </i>
    <i>
      <x v="10"/>
    </i>
    <i>
      <x v="11"/>
    </i>
    <i t="grand">
      <x/>
    </i>
  </colItems>
  <dataFields count="1">
    <dataField name="Sum of Выручка" fld="5" baseField="0" baseItem="0" numFmtId="164"/>
  </dataFields>
  <chartFormats count="12">
    <chartFormat chart="7" format="0" series="1">
      <pivotArea type="data" outline="0" fieldPosition="0">
        <references count="2">
          <reference field="4294967294" count="1" selected="0">
            <x v="0"/>
          </reference>
          <reference field="8" count="1" selected="0">
            <x v="0"/>
          </reference>
        </references>
      </pivotArea>
    </chartFormat>
    <chartFormat chart="7" format="1" series="1">
      <pivotArea type="data" outline="0" fieldPosition="0">
        <references count="2">
          <reference field="4294967294" count="1" selected="0">
            <x v="0"/>
          </reference>
          <reference field="8" count="1" selected="0">
            <x v="1"/>
          </reference>
        </references>
      </pivotArea>
    </chartFormat>
    <chartFormat chart="7" format="2" series="1">
      <pivotArea type="data" outline="0" fieldPosition="0">
        <references count="2">
          <reference field="4294967294" count="1" selected="0">
            <x v="0"/>
          </reference>
          <reference field="8" count="1" selected="0">
            <x v="2"/>
          </reference>
        </references>
      </pivotArea>
    </chartFormat>
    <chartFormat chart="7" format="3" series="1">
      <pivotArea type="data" outline="0" fieldPosition="0">
        <references count="2">
          <reference field="4294967294" count="1" selected="0">
            <x v="0"/>
          </reference>
          <reference field="8" count="1" selected="0">
            <x v="3"/>
          </reference>
        </references>
      </pivotArea>
    </chartFormat>
    <chartFormat chart="7" format="4" series="1">
      <pivotArea type="data" outline="0" fieldPosition="0">
        <references count="2">
          <reference field="4294967294" count="1" selected="0">
            <x v="0"/>
          </reference>
          <reference field="8" count="1" selected="0">
            <x v="4"/>
          </reference>
        </references>
      </pivotArea>
    </chartFormat>
    <chartFormat chart="7" format="5" series="1">
      <pivotArea type="data" outline="0" fieldPosition="0">
        <references count="2">
          <reference field="4294967294" count="1" selected="0">
            <x v="0"/>
          </reference>
          <reference field="8" count="1" selected="0">
            <x v="5"/>
          </reference>
        </references>
      </pivotArea>
    </chartFormat>
    <chartFormat chart="7" format="6" series="1">
      <pivotArea type="data" outline="0" fieldPosition="0">
        <references count="2">
          <reference field="4294967294" count="1" selected="0">
            <x v="0"/>
          </reference>
          <reference field="8" count="1" selected="0">
            <x v="6"/>
          </reference>
        </references>
      </pivotArea>
    </chartFormat>
    <chartFormat chart="7" format="7" series="1">
      <pivotArea type="data" outline="0" fieldPosition="0">
        <references count="2">
          <reference field="4294967294" count="1" selected="0">
            <x v="0"/>
          </reference>
          <reference field="8" count="1" selected="0">
            <x v="7"/>
          </reference>
        </references>
      </pivotArea>
    </chartFormat>
    <chartFormat chart="7" format="8" series="1">
      <pivotArea type="data" outline="0" fieldPosition="0">
        <references count="2">
          <reference field="4294967294" count="1" selected="0">
            <x v="0"/>
          </reference>
          <reference field="8" count="1" selected="0">
            <x v="8"/>
          </reference>
        </references>
      </pivotArea>
    </chartFormat>
    <chartFormat chart="7" format="9" series="1">
      <pivotArea type="data" outline="0" fieldPosition="0">
        <references count="2">
          <reference field="4294967294" count="1" selected="0">
            <x v="0"/>
          </reference>
          <reference field="8" count="1" selected="0">
            <x v="9"/>
          </reference>
        </references>
      </pivotArea>
    </chartFormat>
    <chartFormat chart="7" format="10" series="1">
      <pivotArea type="data" outline="0" fieldPosition="0">
        <references count="2">
          <reference field="4294967294" count="1" selected="0">
            <x v="0"/>
          </reference>
          <reference field="8" count="1" selected="0">
            <x v="10"/>
          </reference>
        </references>
      </pivotArea>
    </chartFormat>
    <chartFormat chart="7" format="11" series="1">
      <pivotArea type="data" outline="0" fieldPosition="0">
        <references count="2">
          <reference field="4294967294" count="1" selected="0">
            <x v="0"/>
          </reference>
          <reference field="8"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Год" xr10:uid="{7E30606F-889F-420A-9D7E-EF7CF14F0A6D}" sourceName="Год">
  <pivotTables>
    <pivotTable tabId="3" name="PivotTable5"/>
  </pivotTables>
  <data>
    <tabular pivotCacheId="1342117799">
      <items count="3">
        <i x="0"/>
        <i x="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Формат" xr10:uid="{68E16AE7-BD4C-467D-B43D-7DF1C2296173}" sourceName="Формат">
  <pivotTables>
    <pivotTable tabId="3" name="PivotTable5"/>
  </pivotTables>
  <data>
    <tabular pivotCacheId="1342117799">
      <items count="4">
        <i x="1"/>
        <i x="2"/>
        <i x="0"/>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Год" xr10:uid="{98DB92E3-F9DE-4C61-88D8-2C28B293FCBA}" cache="Slicer_Год" caption="Год" rowHeight="273050"/>
  <slicer name="Формат" xr10:uid="{F29E5656-F141-410F-A7DA-0DCDB078EE38}" cache="Slicer_Формат" caption="Формат" rowHeight="273050"/>
</slicer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Стандартная">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812D4-4DF1-AD4F-830E-FC6C92D28F51}">
  <dimension ref="A1:AJ363"/>
  <sheetViews>
    <sheetView showGridLines="0" tabSelected="1" workbookViewId="0">
      <selection activeCell="I3" sqref="I3:I4"/>
    </sheetView>
  </sheetViews>
  <sheetFormatPr defaultColWidth="10.83203125" defaultRowHeight="15.5" x14ac:dyDescent="0.35"/>
  <cols>
    <col min="1" max="1" width="13.83203125" style="5" customWidth="1"/>
    <col min="2" max="2" width="12.6640625" style="5" customWidth="1"/>
    <col min="3" max="3" width="15.83203125" style="5" customWidth="1"/>
    <col min="4" max="4" width="14.5" style="5" customWidth="1"/>
    <col min="5" max="5" width="10.83203125" style="5"/>
    <col min="6" max="6" width="18" style="5" customWidth="1"/>
    <col min="7" max="7" width="10.83203125" style="5"/>
    <col min="8" max="8" width="14.6640625" style="5" customWidth="1"/>
    <col min="9" max="10" width="10.83203125" style="5"/>
    <col min="11" max="11" width="17.4140625" style="5" bestFit="1" customWidth="1"/>
    <col min="12" max="12" width="15.33203125" style="5" bestFit="1" customWidth="1"/>
    <col min="13" max="23" width="11.08203125" style="5" bestFit="1" customWidth="1"/>
    <col min="24" max="24" width="12.08203125" style="5" bestFit="1" customWidth="1"/>
    <col min="25" max="35" width="11.08203125" style="5" bestFit="1" customWidth="1"/>
    <col min="36" max="36" width="12.08203125" style="5" bestFit="1" customWidth="1"/>
    <col min="37" max="16384" width="10.83203125" style="5"/>
  </cols>
  <sheetData>
    <row r="1" spans="1:36" ht="21" x14ac:dyDescent="0.5">
      <c r="A1" s="11" t="s">
        <v>0</v>
      </c>
      <c r="B1" s="12"/>
      <c r="C1" s="12"/>
      <c r="D1" s="12"/>
      <c r="E1" s="12"/>
      <c r="F1" s="12"/>
      <c r="G1" s="12"/>
      <c r="H1" s="12"/>
    </row>
    <row r="2" spans="1:36" ht="16" x14ac:dyDescent="0.4">
      <c r="K2" s="17" t="s">
        <v>400</v>
      </c>
      <c r="L2" s="18"/>
      <c r="M2" s="18"/>
      <c r="N2" s="18"/>
      <c r="O2" s="18"/>
    </row>
    <row r="3" spans="1:36" ht="16.5" thickBot="1" x14ac:dyDescent="0.45">
      <c r="A3" s="1" t="s">
        <v>387</v>
      </c>
      <c r="B3" s="2" t="s">
        <v>388</v>
      </c>
      <c r="C3" s="2" t="s">
        <v>389</v>
      </c>
      <c r="D3" s="2" t="s">
        <v>390</v>
      </c>
      <c r="E3" s="2" t="s">
        <v>391</v>
      </c>
      <c r="F3" s="2" t="s">
        <v>394</v>
      </c>
      <c r="G3" s="2" t="s">
        <v>392</v>
      </c>
      <c r="H3" s="3" t="s">
        <v>393</v>
      </c>
      <c r="I3" s="5" t="s">
        <v>411</v>
      </c>
      <c r="K3" s="13" t="s">
        <v>395</v>
      </c>
      <c r="L3" s="14"/>
      <c r="M3" s="14"/>
      <c r="N3" s="14"/>
      <c r="O3" s="14"/>
    </row>
    <row r="4" spans="1:36" ht="16" x14ac:dyDescent="0.4">
      <c r="A4" s="6">
        <v>2022</v>
      </c>
      <c r="B4" s="7" t="s">
        <v>1</v>
      </c>
      <c r="C4" s="7" t="s">
        <v>2</v>
      </c>
      <c r="D4" s="7" t="s">
        <v>3</v>
      </c>
      <c r="E4" s="7" t="s">
        <v>4</v>
      </c>
      <c r="F4" s="8">
        <v>390600</v>
      </c>
      <c r="G4" s="9">
        <v>20</v>
      </c>
      <c r="H4" s="10" t="s">
        <v>5</v>
      </c>
      <c r="I4" s="5" t="str">
        <f>CHOOSE(MATCH(B4,{"Январь","Февраль","Март","Апрель","Май","Июнь","Июль","Август","Сентябрь","Октябрь","Ноябрь","Декабрь"},0),
"Jan","Feb","Mar","Apr","May","Jun","Jul","Aug","Sep","Oct","Nov","Dec")</f>
        <v>Jan</v>
      </c>
      <c r="K4" s="15" t="s">
        <v>396</v>
      </c>
      <c r="L4" s="16"/>
      <c r="M4" s="16"/>
      <c r="N4" s="16"/>
      <c r="O4" s="16"/>
    </row>
    <row r="5" spans="1:36" ht="16" x14ac:dyDescent="0.4">
      <c r="A5" s="6">
        <v>2022</v>
      </c>
      <c r="B5" s="7" t="s">
        <v>1</v>
      </c>
      <c r="C5" s="7" t="s">
        <v>6</v>
      </c>
      <c r="D5" s="7" t="s">
        <v>7</v>
      </c>
      <c r="E5" s="7" t="s">
        <v>8</v>
      </c>
      <c r="F5" s="8">
        <v>395820</v>
      </c>
      <c r="G5" s="9">
        <v>21</v>
      </c>
      <c r="H5" s="10" t="s">
        <v>9</v>
      </c>
      <c r="I5" s="5" t="str">
        <f>CHOOSE(MATCH(B5,{"Январь","Февраль","Март","Апрель","Май","Июнь","Июль","Август","Сентябрь","Октябрь","Ноябрь","Декабрь"},0),
"Jan","Feb","Mar","Apr","May","Jun","Jul","Aug","Sep","Oct","Nov","Dec")</f>
        <v>Jan</v>
      </c>
      <c r="K5" s="15" t="s">
        <v>397</v>
      </c>
      <c r="L5" s="16"/>
      <c r="M5" s="16"/>
      <c r="N5" s="16"/>
      <c r="O5" s="16"/>
    </row>
    <row r="6" spans="1:36" ht="16" x14ac:dyDescent="0.4">
      <c r="A6" s="6">
        <v>2022</v>
      </c>
      <c r="B6" s="7" t="s">
        <v>1</v>
      </c>
      <c r="C6" s="7" t="s">
        <v>10</v>
      </c>
      <c r="D6" s="7" t="s">
        <v>11</v>
      </c>
      <c r="E6" s="7" t="s">
        <v>12</v>
      </c>
      <c r="F6" s="8">
        <v>331590</v>
      </c>
      <c r="G6" s="9">
        <v>20</v>
      </c>
      <c r="H6" s="10" t="s">
        <v>13</v>
      </c>
      <c r="I6" s="5" t="str">
        <f>CHOOSE(MATCH(B6,{"Январь","Февраль","Март","Апрель","Май","Июнь","Июль","Август","Сентябрь","Октябрь","Ноябрь","Декабрь"},0),
"Jan","Feb","Mar","Apr","May","Jun","Jul","Aug","Sep","Oct","Nov","Dec")</f>
        <v>Jan</v>
      </c>
      <c r="K6" s="15" t="s">
        <v>398</v>
      </c>
      <c r="L6" s="16"/>
      <c r="M6" s="16"/>
      <c r="N6" s="16"/>
      <c r="O6" s="16"/>
    </row>
    <row r="7" spans="1:36" ht="16" x14ac:dyDescent="0.4">
      <c r="A7" s="6">
        <v>2022</v>
      </c>
      <c r="B7" s="7" t="s">
        <v>1</v>
      </c>
      <c r="C7" s="7" t="s">
        <v>6</v>
      </c>
      <c r="D7" s="7" t="s">
        <v>14</v>
      </c>
      <c r="E7" s="7" t="s">
        <v>15</v>
      </c>
      <c r="F7" s="8">
        <v>336460</v>
      </c>
      <c r="G7" s="9">
        <v>23</v>
      </c>
      <c r="H7" s="10" t="s">
        <v>16</v>
      </c>
      <c r="I7" s="5" t="str">
        <f>CHOOSE(MATCH(B7,{"Январь","Февраль","Март","Апрель","Май","Июнь","Июль","Август","Сентябрь","Октябрь","Ноябрь","Декабрь"},0),
"Jan","Feb","Mar","Apr","May","Jun","Jul","Aug","Sep","Oct","Nov","Dec")</f>
        <v>Jan</v>
      </c>
      <c r="K7" s="15" t="s">
        <v>399</v>
      </c>
      <c r="L7" s="16"/>
      <c r="M7" s="16"/>
      <c r="N7" s="16"/>
      <c r="O7" s="16"/>
    </row>
    <row r="8" spans="1:36" x14ac:dyDescent="0.35">
      <c r="A8" s="6">
        <v>2022</v>
      </c>
      <c r="B8" s="7" t="s">
        <v>1</v>
      </c>
      <c r="C8" s="7" t="s">
        <v>17</v>
      </c>
      <c r="D8" s="7" t="s">
        <v>18</v>
      </c>
      <c r="E8" s="7" t="s">
        <v>15</v>
      </c>
      <c r="F8" s="8">
        <v>240440</v>
      </c>
      <c r="G8" s="9">
        <v>17</v>
      </c>
      <c r="H8" s="10" t="s">
        <v>19</v>
      </c>
      <c r="I8" s="5" t="str">
        <f>CHOOSE(MATCH(B8,{"Январь","Февраль","Март","Апрель","Май","Июнь","Июль","Август","Сентябрь","Октябрь","Ноябрь","Декабрь"},0),
"Jan","Feb","Mar","Apr","May","Jun","Jul","Aug","Sep","Oct","Nov","Dec")</f>
        <v>Jan</v>
      </c>
    </row>
    <row r="9" spans="1:36" ht="16" x14ac:dyDescent="0.4">
      <c r="A9" s="6">
        <v>2022</v>
      </c>
      <c r="B9" s="7" t="s">
        <v>1</v>
      </c>
      <c r="C9" s="7" t="s">
        <v>2</v>
      </c>
      <c r="D9" s="7" t="s">
        <v>7</v>
      </c>
      <c r="E9" s="7" t="s">
        <v>15</v>
      </c>
      <c r="F9" s="8">
        <v>176550</v>
      </c>
      <c r="G9" s="9">
        <v>12</v>
      </c>
      <c r="H9" s="10" t="s">
        <v>20</v>
      </c>
      <c r="I9" s="5" t="str">
        <f>CHOOSE(MATCH(B9,{"Январь","Февраль","Март","Апрель","Май","Июнь","Июль","Август","Сентябрь","Октябрь","Ноябрь","Декабрь"},0),
"Jan","Feb","Mar","Apr","May","Jun","Jul","Aug","Sep","Oct","Nov","Dec")</f>
        <v>Jan</v>
      </c>
      <c r="K9" s="19" t="s">
        <v>387</v>
      </c>
      <c r="L9" t="s">
        <v>404</v>
      </c>
    </row>
    <row r="10" spans="1:36" x14ac:dyDescent="0.35">
      <c r="A10" s="6">
        <v>2022</v>
      </c>
      <c r="B10" s="7" t="s">
        <v>1</v>
      </c>
      <c r="C10" s="7" t="s">
        <v>6</v>
      </c>
      <c r="D10" s="7" t="s">
        <v>18</v>
      </c>
      <c r="E10" s="7" t="s">
        <v>8</v>
      </c>
      <c r="F10" s="8">
        <v>455210</v>
      </c>
      <c r="G10" s="9">
        <v>24</v>
      </c>
      <c r="H10" s="10" t="s">
        <v>21</v>
      </c>
      <c r="I10" s="5" t="str">
        <f>CHOOSE(MATCH(B10,{"Январь","Февраль","Март","Апрель","Май","Июнь","Июль","Август","Сентябрь","Октябрь","Ноябрь","Декабрь"},0),
"Jan","Feb","Mar","Apr","May","Jun","Jul","Aug","Sep","Oct","Nov","Dec")</f>
        <v>Jan</v>
      </c>
    </row>
    <row r="11" spans="1:36" ht="16" x14ac:dyDescent="0.4">
      <c r="A11" s="6">
        <v>2022</v>
      </c>
      <c r="B11" s="7" t="s">
        <v>1</v>
      </c>
      <c r="C11" s="7" t="s">
        <v>22</v>
      </c>
      <c r="D11" s="7" t="s">
        <v>7</v>
      </c>
      <c r="E11" s="7" t="s">
        <v>12</v>
      </c>
      <c r="F11" s="8">
        <v>337780</v>
      </c>
      <c r="G11" s="9">
        <v>30</v>
      </c>
      <c r="H11" s="10" t="s">
        <v>23</v>
      </c>
      <c r="I11" s="5" t="str">
        <f>CHOOSE(MATCH(B11,{"Январь","Февраль","Март","Апрель","Май","Июнь","Июль","Август","Сентябрь","Октябрь","Ноябрь","Декабрь"},0),
"Jan","Feb","Mar","Apr","May","Jun","Jul","Aug","Sep","Oct","Nov","Dec")</f>
        <v>Jan</v>
      </c>
      <c r="K11" s="19" t="s">
        <v>405</v>
      </c>
      <c r="L11" s="19" t="s">
        <v>403</v>
      </c>
      <c r="M11"/>
      <c r="N11"/>
      <c r="O11"/>
      <c r="P11"/>
      <c r="Q11"/>
      <c r="R11"/>
      <c r="S11"/>
      <c r="T11"/>
      <c r="U11"/>
      <c r="V11"/>
      <c r="W11"/>
      <c r="X11"/>
      <c r="Y11"/>
      <c r="Z11"/>
      <c r="AA11"/>
      <c r="AB11"/>
      <c r="AC11"/>
      <c r="AD11"/>
      <c r="AE11"/>
      <c r="AF11"/>
      <c r="AG11"/>
      <c r="AH11"/>
      <c r="AI11"/>
      <c r="AJ11"/>
    </row>
    <row r="12" spans="1:36" ht="16" x14ac:dyDescent="0.4">
      <c r="A12" s="6">
        <v>2022</v>
      </c>
      <c r="B12" s="7" t="s">
        <v>1</v>
      </c>
      <c r="C12" s="7" t="s">
        <v>17</v>
      </c>
      <c r="D12" s="7" t="s">
        <v>7</v>
      </c>
      <c r="E12" s="7" t="s">
        <v>8</v>
      </c>
      <c r="F12" s="8">
        <v>558560</v>
      </c>
      <c r="G12" s="9">
        <v>28</v>
      </c>
      <c r="H12" s="10" t="s">
        <v>24</v>
      </c>
      <c r="I12" s="5" t="str">
        <f>CHOOSE(MATCH(B12,{"Январь","Февраль","Март","Апрель","Май","Июнь","Июль","Август","Сентябрь","Октябрь","Ноябрь","Декабрь"},0),
"Jan","Feb","Mar","Apr","May","Jun","Jul","Aug","Sep","Oct","Nov","Dec")</f>
        <v>Jan</v>
      </c>
      <c r="K12"/>
      <c r="L12" t="s">
        <v>412</v>
      </c>
      <c r="M12" t="s">
        <v>413</v>
      </c>
      <c r="N12" t="s">
        <v>414</v>
      </c>
      <c r="O12" t="s">
        <v>415</v>
      </c>
      <c r="P12" t="s">
        <v>416</v>
      </c>
      <c r="Q12" t="s">
        <v>417</v>
      </c>
      <c r="R12" t="s">
        <v>418</v>
      </c>
      <c r="S12" t="s">
        <v>419</v>
      </c>
      <c r="T12" t="s">
        <v>420</v>
      </c>
      <c r="U12" t="s">
        <v>421</v>
      </c>
      <c r="V12" t="s">
        <v>422</v>
      </c>
      <c r="W12" t="s">
        <v>423</v>
      </c>
      <c r="X12" t="s">
        <v>402</v>
      </c>
      <c r="Y12"/>
      <c r="Z12"/>
      <c r="AA12"/>
      <c r="AB12"/>
      <c r="AC12"/>
      <c r="AD12"/>
      <c r="AE12"/>
      <c r="AF12"/>
      <c r="AG12"/>
      <c r="AH12"/>
      <c r="AI12"/>
      <c r="AJ12"/>
    </row>
    <row r="13" spans="1:36" ht="16" x14ac:dyDescent="0.4">
      <c r="A13" s="6">
        <v>2022</v>
      </c>
      <c r="B13" s="7" t="s">
        <v>1</v>
      </c>
      <c r="C13" s="7" t="s">
        <v>6</v>
      </c>
      <c r="D13" s="7" t="s">
        <v>11</v>
      </c>
      <c r="E13" s="7" t="s">
        <v>4</v>
      </c>
      <c r="F13" s="8">
        <v>448630</v>
      </c>
      <c r="G13" s="9">
        <v>27</v>
      </c>
      <c r="H13" s="10" t="s">
        <v>25</v>
      </c>
      <c r="I13" s="5" t="str">
        <f>CHOOSE(MATCH(B13,{"Январь","Февраль","Март","Апрель","Май","Июнь","Июль","Август","Сентябрь","Октябрь","Ноябрь","Декабрь"},0),
"Jan","Feb","Mar","Apr","May","Jun","Jul","Aug","Sep","Oct","Nov","Dec")</f>
        <v>Jan</v>
      </c>
      <c r="K13" s="19" t="s">
        <v>401</v>
      </c>
      <c r="L13" t="s">
        <v>1</v>
      </c>
      <c r="M13" t="s">
        <v>26</v>
      </c>
      <c r="N13" t="s">
        <v>37</v>
      </c>
      <c r="O13" t="s">
        <v>48</v>
      </c>
      <c r="P13" t="s">
        <v>59</v>
      </c>
      <c r="Q13" t="s">
        <v>70</v>
      </c>
      <c r="R13" t="s">
        <v>81</v>
      </c>
      <c r="S13" t="s">
        <v>92</v>
      </c>
      <c r="T13" t="s">
        <v>103</v>
      </c>
      <c r="U13" t="s">
        <v>114</v>
      </c>
      <c r="V13" t="s">
        <v>125</v>
      </c>
      <c r="W13" t="s">
        <v>136</v>
      </c>
      <c r="X13"/>
      <c r="Y13"/>
      <c r="Z13"/>
      <c r="AA13"/>
      <c r="AB13"/>
      <c r="AC13"/>
      <c r="AD13"/>
      <c r="AE13"/>
      <c r="AF13"/>
      <c r="AG13"/>
      <c r="AH13"/>
      <c r="AI13"/>
      <c r="AJ13"/>
    </row>
    <row r="14" spans="1:36" ht="16" x14ac:dyDescent="0.4">
      <c r="A14" s="6">
        <v>2022</v>
      </c>
      <c r="B14" s="7" t="s">
        <v>26</v>
      </c>
      <c r="C14" s="7" t="s">
        <v>22</v>
      </c>
      <c r="D14" s="7" t="s">
        <v>14</v>
      </c>
      <c r="E14" s="7" t="s">
        <v>12</v>
      </c>
      <c r="F14" s="8">
        <v>158720</v>
      </c>
      <c r="G14" s="9">
        <v>15</v>
      </c>
      <c r="H14" s="10" t="s">
        <v>27</v>
      </c>
      <c r="I14" s="5" t="str">
        <f>CHOOSE(MATCH(B14,{"Январь","Февраль","Март","Апрель","Май","Июнь","Июль","Август","Сентябрь","Октябрь","Ноябрь","Декабрь"},0),
"Jan","Feb","Mar","Apr","May","Jun","Jul","Aug","Sep","Oct","Nov","Dec")</f>
        <v>Feb</v>
      </c>
      <c r="K14" s="20" t="s">
        <v>2</v>
      </c>
      <c r="L14" s="21">
        <v>1242660</v>
      </c>
      <c r="M14" s="21">
        <v>1851200</v>
      </c>
      <c r="N14" s="21">
        <v>4489020</v>
      </c>
      <c r="O14" s="21">
        <v>2524630</v>
      </c>
      <c r="P14" s="21">
        <v>1682910</v>
      </c>
      <c r="Q14" s="21">
        <v>3317010</v>
      </c>
      <c r="R14" s="21">
        <v>2436820</v>
      </c>
      <c r="S14" s="21">
        <v>3926080</v>
      </c>
      <c r="T14" s="21">
        <v>1824220</v>
      </c>
      <c r="U14" s="21">
        <v>3171220</v>
      </c>
      <c r="V14" s="21">
        <v>3285990</v>
      </c>
      <c r="W14" s="21">
        <v>3084570</v>
      </c>
      <c r="X14" s="21">
        <v>32836330</v>
      </c>
      <c r="Y14"/>
      <c r="Z14"/>
      <c r="AA14"/>
      <c r="AB14"/>
      <c r="AC14"/>
      <c r="AD14"/>
      <c r="AE14"/>
      <c r="AF14"/>
      <c r="AG14"/>
      <c r="AH14"/>
      <c r="AI14"/>
      <c r="AJ14"/>
    </row>
    <row r="15" spans="1:36" ht="16" x14ac:dyDescent="0.4">
      <c r="A15" s="6">
        <v>2022</v>
      </c>
      <c r="B15" s="7" t="s">
        <v>26</v>
      </c>
      <c r="C15" s="7" t="s">
        <v>6</v>
      </c>
      <c r="D15" s="7" t="s">
        <v>14</v>
      </c>
      <c r="E15" s="7" t="s">
        <v>12</v>
      </c>
      <c r="F15" s="8">
        <v>138060</v>
      </c>
      <c r="G15" s="9">
        <v>12</v>
      </c>
      <c r="H15" s="10" t="s">
        <v>28</v>
      </c>
      <c r="I15" s="5" t="str">
        <f>CHOOSE(MATCH(B15,{"Январь","Февраль","Март","Апрель","Май","Июнь","Июль","Август","Сентябрь","Октябрь","Ноябрь","Декабрь"},0),
"Jan","Feb","Mar","Apr","May","Jun","Jul","Aug","Sep","Oct","Nov","Dec")</f>
        <v>Feb</v>
      </c>
      <c r="K15" s="20" t="s">
        <v>17</v>
      </c>
      <c r="L15" s="21">
        <v>3738270</v>
      </c>
      <c r="M15" s="21">
        <v>1756650</v>
      </c>
      <c r="N15" s="21">
        <v>2078660</v>
      </c>
      <c r="O15" s="21">
        <v>2948280</v>
      </c>
      <c r="P15" s="21">
        <v>2391450</v>
      </c>
      <c r="Q15" s="21">
        <v>2397160</v>
      </c>
      <c r="R15" s="21">
        <v>1519680</v>
      </c>
      <c r="S15" s="21">
        <v>3683650</v>
      </c>
      <c r="T15" s="21">
        <v>1570130</v>
      </c>
      <c r="U15" s="21">
        <v>2511440</v>
      </c>
      <c r="V15" s="21">
        <v>736550</v>
      </c>
      <c r="W15" s="21">
        <v>2844660</v>
      </c>
      <c r="X15" s="21">
        <v>28176580</v>
      </c>
      <c r="Y15"/>
      <c r="Z15"/>
      <c r="AA15"/>
      <c r="AB15"/>
      <c r="AC15"/>
      <c r="AD15"/>
      <c r="AE15"/>
      <c r="AF15"/>
      <c r="AG15"/>
      <c r="AH15"/>
      <c r="AI15"/>
      <c r="AJ15"/>
    </row>
    <row r="16" spans="1:36" ht="16" x14ac:dyDescent="0.4">
      <c r="A16" s="6">
        <v>2022</v>
      </c>
      <c r="B16" s="7" t="s">
        <v>26</v>
      </c>
      <c r="C16" s="7" t="s">
        <v>10</v>
      </c>
      <c r="D16" s="7" t="s">
        <v>7</v>
      </c>
      <c r="E16" s="7" t="s">
        <v>12</v>
      </c>
      <c r="F16" s="8">
        <v>414410</v>
      </c>
      <c r="G16" s="9">
        <v>25</v>
      </c>
      <c r="H16" s="10" t="s">
        <v>29</v>
      </c>
      <c r="I16" s="5" t="str">
        <f>CHOOSE(MATCH(B16,{"Январь","Февраль","Март","Апрель","Май","Июнь","Июль","Август","Сентябрь","Октябрь","Ноябрь","Декабрь"},0),
"Jan","Feb","Mar","Apr","May","Jun","Jul","Aug","Sep","Oct","Nov","Dec")</f>
        <v>Feb</v>
      </c>
      <c r="K16" s="20" t="s">
        <v>6</v>
      </c>
      <c r="L16" s="21">
        <v>2557270</v>
      </c>
      <c r="M16" s="21">
        <v>3453810</v>
      </c>
      <c r="N16" s="21">
        <v>3211360</v>
      </c>
      <c r="O16" s="21">
        <v>2018730</v>
      </c>
      <c r="P16" s="21">
        <v>3352310</v>
      </c>
      <c r="Q16" s="21">
        <v>2766680</v>
      </c>
      <c r="R16" s="21">
        <v>2482970</v>
      </c>
      <c r="S16" s="21">
        <v>1099510</v>
      </c>
      <c r="T16" s="21">
        <v>3861650</v>
      </c>
      <c r="U16" s="21">
        <v>4228070</v>
      </c>
      <c r="V16" s="21">
        <v>2947260</v>
      </c>
      <c r="W16" s="21">
        <v>2276820</v>
      </c>
      <c r="X16" s="21">
        <v>34256440</v>
      </c>
      <c r="Y16"/>
      <c r="Z16"/>
      <c r="AA16"/>
      <c r="AB16"/>
      <c r="AC16"/>
      <c r="AD16"/>
      <c r="AE16"/>
      <c r="AF16"/>
      <c r="AG16"/>
      <c r="AH16"/>
      <c r="AI16"/>
      <c r="AJ16"/>
    </row>
    <row r="17" spans="1:36" ht="16" x14ac:dyDescent="0.4">
      <c r="A17" s="6">
        <v>2022</v>
      </c>
      <c r="B17" s="7" t="s">
        <v>26</v>
      </c>
      <c r="C17" s="7" t="s">
        <v>17</v>
      </c>
      <c r="D17" s="7" t="s">
        <v>3</v>
      </c>
      <c r="E17" s="7" t="s">
        <v>8</v>
      </c>
      <c r="F17" s="8">
        <v>556810</v>
      </c>
      <c r="G17" s="9">
        <v>26</v>
      </c>
      <c r="H17" s="10" t="s">
        <v>30</v>
      </c>
      <c r="I17" s="5" t="str">
        <f>CHOOSE(MATCH(B17,{"Январь","Февраль","Март","Апрель","Май","Июнь","Июль","Август","Сентябрь","Октябрь","Ноябрь","Декабрь"},0),
"Jan","Feb","Mar","Apr","May","Jun","Jul","Aug","Sep","Oct","Nov","Dec")</f>
        <v>Feb</v>
      </c>
      <c r="K17" s="20" t="s">
        <v>10</v>
      </c>
      <c r="L17" s="21">
        <v>1922420</v>
      </c>
      <c r="M17" s="21">
        <v>4748670</v>
      </c>
      <c r="N17" s="21">
        <v>2517160</v>
      </c>
      <c r="O17" s="21">
        <v>2963560</v>
      </c>
      <c r="P17" s="21">
        <v>2913960</v>
      </c>
      <c r="Q17" s="21">
        <v>3908660</v>
      </c>
      <c r="R17" s="21">
        <v>3868500</v>
      </c>
      <c r="S17" s="21">
        <v>3715780</v>
      </c>
      <c r="T17" s="21">
        <v>4111250</v>
      </c>
      <c r="U17" s="21">
        <v>2357860</v>
      </c>
      <c r="V17" s="21">
        <v>4838610</v>
      </c>
      <c r="W17" s="21">
        <v>4244080</v>
      </c>
      <c r="X17" s="21">
        <v>42110510</v>
      </c>
      <c r="Y17"/>
      <c r="Z17"/>
      <c r="AA17"/>
      <c r="AB17"/>
      <c r="AC17"/>
      <c r="AD17"/>
      <c r="AE17"/>
      <c r="AF17"/>
      <c r="AG17"/>
      <c r="AH17"/>
      <c r="AI17"/>
      <c r="AJ17"/>
    </row>
    <row r="18" spans="1:36" ht="16" x14ac:dyDescent="0.4">
      <c r="A18" s="6">
        <v>2022</v>
      </c>
      <c r="B18" s="7" t="s">
        <v>26</v>
      </c>
      <c r="C18" s="7" t="s">
        <v>10</v>
      </c>
      <c r="D18" s="7" t="s">
        <v>11</v>
      </c>
      <c r="E18" s="7" t="s">
        <v>8</v>
      </c>
      <c r="F18" s="8">
        <v>637200</v>
      </c>
      <c r="G18" s="9">
        <v>25</v>
      </c>
      <c r="H18" s="10" t="s">
        <v>31</v>
      </c>
      <c r="I18" s="5" t="str">
        <f>CHOOSE(MATCH(B18,{"Январь","Февраль","Март","Апрель","Май","Июнь","Июль","Август","Сентябрь","Октябрь","Ноябрь","Декабрь"},0),
"Jan","Feb","Mar","Apr","May","Jun","Jul","Aug","Sep","Oct","Nov","Dec")</f>
        <v>Feb</v>
      </c>
      <c r="K18" s="20" t="s">
        <v>22</v>
      </c>
      <c r="L18" s="21">
        <v>2411690</v>
      </c>
      <c r="M18" s="21">
        <v>1789410</v>
      </c>
      <c r="N18" s="21">
        <v>1102080</v>
      </c>
      <c r="O18" s="21">
        <v>2078140</v>
      </c>
      <c r="P18" s="21">
        <v>1858290</v>
      </c>
      <c r="Q18" s="21">
        <v>1228610</v>
      </c>
      <c r="R18" s="21">
        <v>2719340</v>
      </c>
      <c r="S18" s="21">
        <v>1796970</v>
      </c>
      <c r="T18" s="21">
        <v>2225920</v>
      </c>
      <c r="U18" s="21">
        <v>1375060</v>
      </c>
      <c r="V18" s="21">
        <v>3292910</v>
      </c>
      <c r="W18" s="21">
        <v>760310</v>
      </c>
      <c r="X18" s="21">
        <v>22638730</v>
      </c>
      <c r="Y18"/>
      <c r="Z18"/>
      <c r="AA18"/>
      <c r="AB18"/>
      <c r="AC18"/>
      <c r="AD18"/>
      <c r="AE18"/>
      <c r="AF18"/>
      <c r="AG18"/>
      <c r="AH18"/>
      <c r="AI18"/>
      <c r="AJ18"/>
    </row>
    <row r="19" spans="1:36" ht="16" x14ac:dyDescent="0.4">
      <c r="A19" s="6">
        <v>2022</v>
      </c>
      <c r="B19" s="7" t="s">
        <v>26</v>
      </c>
      <c r="C19" s="7" t="s">
        <v>6</v>
      </c>
      <c r="D19" s="7" t="s">
        <v>11</v>
      </c>
      <c r="E19" s="7" t="s">
        <v>8</v>
      </c>
      <c r="F19" s="8">
        <v>373560</v>
      </c>
      <c r="G19" s="9">
        <v>19</v>
      </c>
      <c r="H19" s="10" t="s">
        <v>32</v>
      </c>
      <c r="I19" s="5" t="str">
        <f>CHOOSE(MATCH(B19,{"Январь","Февраль","Март","Апрель","Май","Июнь","Июль","Август","Сентябрь","Октябрь","Ноябрь","Декабрь"},0),
"Jan","Feb","Mar","Apr","May","Jun","Jul","Aug","Sep","Oct","Nov","Dec")</f>
        <v>Feb</v>
      </c>
      <c r="K19" s="20" t="s">
        <v>402</v>
      </c>
      <c r="L19" s="21">
        <v>11872310</v>
      </c>
      <c r="M19" s="21">
        <v>13599740</v>
      </c>
      <c r="N19" s="21">
        <v>13398280</v>
      </c>
      <c r="O19" s="21">
        <v>12533340</v>
      </c>
      <c r="P19" s="21">
        <v>12198920</v>
      </c>
      <c r="Q19" s="21">
        <v>13618120</v>
      </c>
      <c r="R19" s="21">
        <v>13027310</v>
      </c>
      <c r="S19" s="21">
        <v>14221990</v>
      </c>
      <c r="T19" s="21">
        <v>13593170</v>
      </c>
      <c r="U19" s="21">
        <v>13643650</v>
      </c>
      <c r="V19" s="21">
        <v>15101320</v>
      </c>
      <c r="W19" s="21">
        <v>13210440</v>
      </c>
      <c r="X19" s="21">
        <v>160018590</v>
      </c>
      <c r="Y19"/>
      <c r="Z19"/>
      <c r="AA19"/>
      <c r="AB19"/>
      <c r="AC19"/>
      <c r="AD19"/>
      <c r="AE19"/>
      <c r="AF19"/>
      <c r="AG19"/>
      <c r="AH19"/>
      <c r="AI19"/>
      <c r="AJ19"/>
    </row>
    <row r="20" spans="1:36" x14ac:dyDescent="0.35">
      <c r="A20" s="6">
        <v>2022</v>
      </c>
      <c r="B20" s="7" t="s">
        <v>26</v>
      </c>
      <c r="C20" s="7" t="s">
        <v>22</v>
      </c>
      <c r="D20" s="7" t="s">
        <v>11</v>
      </c>
      <c r="E20" s="7" t="s">
        <v>12</v>
      </c>
      <c r="F20" s="8">
        <v>338010</v>
      </c>
      <c r="G20" s="9">
        <v>30</v>
      </c>
      <c r="H20" s="10" t="s">
        <v>33</v>
      </c>
      <c r="I20" s="5" t="str">
        <f>CHOOSE(MATCH(B20,{"Январь","Февраль","Март","Апрель","Май","Июнь","Июль","Август","Сентябрь","Октябрь","Ноябрь","Декабрь"},0),
"Jan","Feb","Mar","Apr","May","Jun","Jul","Aug","Sep","Oct","Nov","Dec")</f>
        <v>Feb</v>
      </c>
    </row>
    <row r="21" spans="1:36" x14ac:dyDescent="0.35">
      <c r="A21" s="6">
        <v>2022</v>
      </c>
      <c r="B21" s="7" t="s">
        <v>26</v>
      </c>
      <c r="C21" s="7" t="s">
        <v>10</v>
      </c>
      <c r="D21" s="7" t="s">
        <v>14</v>
      </c>
      <c r="E21" s="7" t="s">
        <v>8</v>
      </c>
      <c r="F21" s="8">
        <v>315690</v>
      </c>
      <c r="G21" s="9">
        <v>12</v>
      </c>
      <c r="H21" s="10" t="s">
        <v>34</v>
      </c>
      <c r="I21" s="5" t="str">
        <f>CHOOSE(MATCH(B21,{"Январь","Февраль","Март","Апрель","Май","Июнь","Июль","Август","Сентябрь","Октябрь","Ноябрь","Декабрь"},0),
"Jan","Feb","Mar","Apr","May","Jun","Jul","Aug","Sep","Oct","Nov","Dec")</f>
        <v>Feb</v>
      </c>
    </row>
    <row r="22" spans="1:36" x14ac:dyDescent="0.35">
      <c r="A22" s="6">
        <v>2022</v>
      </c>
      <c r="B22" s="7" t="s">
        <v>26</v>
      </c>
      <c r="C22" s="7" t="s">
        <v>10</v>
      </c>
      <c r="D22" s="7" t="s">
        <v>7</v>
      </c>
      <c r="E22" s="7" t="s">
        <v>15</v>
      </c>
      <c r="F22" s="8">
        <v>633160</v>
      </c>
      <c r="G22" s="9">
        <v>34</v>
      </c>
      <c r="H22" s="10" t="s">
        <v>35</v>
      </c>
      <c r="I22" s="5" t="str">
        <f>CHOOSE(MATCH(B22,{"Январь","Февраль","Март","Апрель","Май","Июнь","Июль","Август","Сентябрь","Октябрь","Ноябрь","Декабрь"},0),
"Jan","Feb","Mar","Apr","May","Jun","Jul","Aug","Sep","Oct","Nov","Dec")</f>
        <v>Feb</v>
      </c>
    </row>
    <row r="23" spans="1:36" x14ac:dyDescent="0.35">
      <c r="A23" s="6">
        <v>2022</v>
      </c>
      <c r="B23" s="7" t="s">
        <v>26</v>
      </c>
      <c r="C23" s="7" t="s">
        <v>10</v>
      </c>
      <c r="D23" s="7" t="s">
        <v>14</v>
      </c>
      <c r="E23" s="7" t="s">
        <v>15</v>
      </c>
      <c r="F23" s="8">
        <v>415480</v>
      </c>
      <c r="G23" s="9">
        <v>21</v>
      </c>
      <c r="H23" s="10" t="s">
        <v>36</v>
      </c>
      <c r="I23" s="5" t="str">
        <f>CHOOSE(MATCH(B23,{"Январь","Февраль","Март","Апрель","Май","Июнь","Июль","Август","Сентябрь","Октябрь","Ноябрь","Декабрь"},0),
"Jan","Feb","Mar","Apr","May","Jun","Jul","Aug","Sep","Oct","Nov","Dec")</f>
        <v>Feb</v>
      </c>
    </row>
    <row r="24" spans="1:36" x14ac:dyDescent="0.35">
      <c r="A24" s="6">
        <v>2022</v>
      </c>
      <c r="B24" s="7" t="s">
        <v>37</v>
      </c>
      <c r="C24" s="7" t="s">
        <v>17</v>
      </c>
      <c r="D24" s="7" t="s">
        <v>7</v>
      </c>
      <c r="E24" s="7" t="s">
        <v>8</v>
      </c>
      <c r="F24" s="8">
        <v>743870</v>
      </c>
      <c r="G24" s="9">
        <v>37</v>
      </c>
      <c r="H24" s="10" t="s">
        <v>38</v>
      </c>
      <c r="I24" s="5" t="str">
        <f>CHOOSE(MATCH(B24,{"Январь","Февраль","Март","Апрель","Май","Июнь","Июль","Август","Сентябрь","Октябрь","Ноябрь","Декабрь"},0),
"Jan","Feb","Mar","Apr","May","Jun","Jul","Aug","Sep","Oct","Nov","Dec")</f>
        <v>Mar</v>
      </c>
    </row>
    <row r="25" spans="1:36" x14ac:dyDescent="0.35">
      <c r="A25" s="6">
        <v>2022</v>
      </c>
      <c r="B25" s="7" t="s">
        <v>37</v>
      </c>
      <c r="C25" s="7" t="s">
        <v>2</v>
      </c>
      <c r="D25" s="7" t="s">
        <v>11</v>
      </c>
      <c r="E25" s="7" t="s">
        <v>12</v>
      </c>
      <c r="F25" s="8">
        <v>180640</v>
      </c>
      <c r="G25" s="9">
        <v>13</v>
      </c>
      <c r="H25" s="10" t="s">
        <v>39</v>
      </c>
      <c r="I25" s="5" t="str">
        <f>CHOOSE(MATCH(B25,{"Январь","Февраль","Март","Апрель","Май","Июнь","Июль","Август","Сентябрь","Октябрь","Ноябрь","Декабрь"},0),
"Jan","Feb","Mar","Apr","May","Jun","Jul","Aug","Sep","Oct","Nov","Dec")</f>
        <v>Mar</v>
      </c>
    </row>
    <row r="26" spans="1:36" x14ac:dyDescent="0.35">
      <c r="A26" s="6">
        <v>2022</v>
      </c>
      <c r="B26" s="7" t="s">
        <v>37</v>
      </c>
      <c r="C26" s="7" t="s">
        <v>6</v>
      </c>
      <c r="D26" s="7" t="s">
        <v>7</v>
      </c>
      <c r="E26" s="7" t="s">
        <v>12</v>
      </c>
      <c r="F26" s="8">
        <v>368420</v>
      </c>
      <c r="G26" s="9">
        <v>30</v>
      </c>
      <c r="H26" s="10" t="s">
        <v>40</v>
      </c>
      <c r="I26" s="5" t="str">
        <f>CHOOSE(MATCH(B26,{"Январь","Февраль","Март","Апрель","Май","Июнь","Июль","Август","Сентябрь","Октябрь","Ноябрь","Декабрь"},0),
"Jan","Feb","Mar","Apr","May","Jun","Jul","Aug","Sep","Oct","Nov","Dec")</f>
        <v>Mar</v>
      </c>
    </row>
    <row r="27" spans="1:36" x14ac:dyDescent="0.35">
      <c r="A27" s="6">
        <v>2022</v>
      </c>
      <c r="B27" s="7" t="s">
        <v>37</v>
      </c>
      <c r="C27" s="7" t="s">
        <v>6</v>
      </c>
      <c r="D27" s="7" t="s">
        <v>3</v>
      </c>
      <c r="E27" s="7" t="s">
        <v>15</v>
      </c>
      <c r="F27" s="8">
        <v>276270</v>
      </c>
      <c r="G27" s="9">
        <v>20</v>
      </c>
      <c r="H27" s="10" t="s">
        <v>41</v>
      </c>
      <c r="I27" s="5" t="str">
        <f>CHOOSE(MATCH(B27,{"Январь","Февраль","Март","Апрель","Май","Июнь","Июль","Август","Сентябрь","Октябрь","Ноябрь","Декабрь"},0),
"Jan","Feb","Mar","Apr","May","Jun","Jul","Aug","Sep","Oct","Nov","Dec")</f>
        <v>Mar</v>
      </c>
    </row>
    <row r="28" spans="1:36" x14ac:dyDescent="0.35">
      <c r="A28" s="6">
        <v>2022</v>
      </c>
      <c r="B28" s="7" t="s">
        <v>37</v>
      </c>
      <c r="C28" s="7" t="s">
        <v>2</v>
      </c>
      <c r="D28" s="7" t="s">
        <v>18</v>
      </c>
      <c r="E28" s="7" t="s">
        <v>4</v>
      </c>
      <c r="F28" s="8">
        <v>222340</v>
      </c>
      <c r="G28" s="9">
        <v>12</v>
      </c>
      <c r="H28" s="10" t="s">
        <v>42</v>
      </c>
      <c r="I28" s="5" t="str">
        <f>CHOOSE(MATCH(B28,{"Январь","Февраль","Март","Апрель","Май","Июнь","Июль","Август","Сентябрь","Октябрь","Ноябрь","Декабрь"},0),
"Jan","Feb","Mar","Apr","May","Jun","Jul","Aug","Sep","Oct","Nov","Dec")</f>
        <v>Mar</v>
      </c>
    </row>
    <row r="29" spans="1:36" x14ac:dyDescent="0.35">
      <c r="A29" s="6">
        <v>2022</v>
      </c>
      <c r="B29" s="7" t="s">
        <v>37</v>
      </c>
      <c r="C29" s="7" t="s">
        <v>6</v>
      </c>
      <c r="D29" s="7" t="s">
        <v>3</v>
      </c>
      <c r="E29" s="7" t="s">
        <v>15</v>
      </c>
      <c r="F29" s="8">
        <v>242080</v>
      </c>
      <c r="G29" s="9">
        <v>17</v>
      </c>
      <c r="H29" s="10" t="s">
        <v>43</v>
      </c>
      <c r="I29" s="5" t="str">
        <f>CHOOSE(MATCH(B29,{"Январь","Февраль","Март","Апрель","Май","Июнь","Июль","Август","Сентябрь","Октябрь","Ноябрь","Декабрь"},0),
"Jan","Feb","Mar","Apr","May","Jun","Jul","Aug","Sep","Oct","Nov","Dec")</f>
        <v>Mar</v>
      </c>
    </row>
    <row r="30" spans="1:36" x14ac:dyDescent="0.35">
      <c r="A30" s="6">
        <v>2022</v>
      </c>
      <c r="B30" s="7" t="s">
        <v>37</v>
      </c>
      <c r="C30" s="7" t="s">
        <v>17</v>
      </c>
      <c r="D30" s="7" t="s">
        <v>3</v>
      </c>
      <c r="E30" s="7" t="s">
        <v>15</v>
      </c>
      <c r="F30" s="8">
        <v>338470</v>
      </c>
      <c r="G30" s="9">
        <v>21</v>
      </c>
      <c r="H30" s="10" t="s">
        <v>44</v>
      </c>
      <c r="I30" s="5" t="str">
        <f>CHOOSE(MATCH(B30,{"Январь","Февраль","Март","Апрель","Май","Июнь","Июль","Август","Сентябрь","Октябрь","Ноябрь","Декабрь"},0),
"Jan","Feb","Mar","Apr","May","Jun","Jul","Aug","Sep","Oct","Nov","Dec")</f>
        <v>Mar</v>
      </c>
    </row>
    <row r="31" spans="1:36" x14ac:dyDescent="0.35">
      <c r="A31" s="6">
        <v>2022</v>
      </c>
      <c r="B31" s="7" t="s">
        <v>37</v>
      </c>
      <c r="C31" s="7" t="s">
        <v>2</v>
      </c>
      <c r="D31" s="7" t="s">
        <v>3</v>
      </c>
      <c r="E31" s="7" t="s">
        <v>4</v>
      </c>
      <c r="F31" s="8">
        <v>543500</v>
      </c>
      <c r="G31" s="9">
        <v>28</v>
      </c>
      <c r="H31" s="10" t="s">
        <v>45</v>
      </c>
      <c r="I31" s="5" t="str">
        <f>CHOOSE(MATCH(B31,{"Январь","Февраль","Март","Апрель","Май","Июнь","Июль","Август","Сентябрь","Октябрь","Ноябрь","Декабрь"},0),
"Jan","Feb","Mar","Apr","May","Jun","Jul","Aug","Sep","Oct","Nov","Dec")</f>
        <v>Mar</v>
      </c>
    </row>
    <row r="32" spans="1:36" x14ac:dyDescent="0.35">
      <c r="A32" s="6">
        <v>2022</v>
      </c>
      <c r="B32" s="7" t="s">
        <v>37</v>
      </c>
      <c r="C32" s="7" t="s">
        <v>6</v>
      </c>
      <c r="D32" s="7" t="s">
        <v>11</v>
      </c>
      <c r="E32" s="7" t="s">
        <v>8</v>
      </c>
      <c r="F32" s="8">
        <v>369550</v>
      </c>
      <c r="G32" s="9">
        <v>19</v>
      </c>
      <c r="H32" s="10" t="s">
        <v>46</v>
      </c>
      <c r="I32" s="5" t="str">
        <f>CHOOSE(MATCH(B32,{"Январь","Февраль","Март","Апрель","Май","Июнь","Июль","Август","Сентябрь","Октябрь","Ноябрь","Декабрь"},0),
"Jan","Feb","Mar","Apr","May","Jun","Jul","Aug","Sep","Oct","Nov","Dec")</f>
        <v>Mar</v>
      </c>
    </row>
    <row r="33" spans="1:9" x14ac:dyDescent="0.35">
      <c r="A33" s="6">
        <v>2022</v>
      </c>
      <c r="B33" s="7" t="s">
        <v>37</v>
      </c>
      <c r="C33" s="7" t="s">
        <v>22</v>
      </c>
      <c r="D33" s="7" t="s">
        <v>3</v>
      </c>
      <c r="E33" s="7" t="s">
        <v>15</v>
      </c>
      <c r="F33" s="8">
        <v>347900</v>
      </c>
      <c r="G33" s="9">
        <v>27</v>
      </c>
      <c r="H33" s="10" t="s">
        <v>47</v>
      </c>
      <c r="I33" s="5" t="str">
        <f>CHOOSE(MATCH(B33,{"Январь","Февраль","Март","Апрель","Май","Июнь","Июль","Август","Сентябрь","Октябрь","Ноябрь","Декабрь"},0),
"Jan","Feb","Mar","Apr","May","Jun","Jul","Aug","Sep","Oct","Nov","Dec")</f>
        <v>Mar</v>
      </c>
    </row>
    <row r="34" spans="1:9" x14ac:dyDescent="0.35">
      <c r="A34" s="6">
        <v>2022</v>
      </c>
      <c r="B34" s="7" t="s">
        <v>48</v>
      </c>
      <c r="C34" s="7" t="s">
        <v>17</v>
      </c>
      <c r="D34" s="7" t="s">
        <v>11</v>
      </c>
      <c r="E34" s="7" t="s">
        <v>8</v>
      </c>
      <c r="F34" s="8">
        <v>761340</v>
      </c>
      <c r="G34" s="9">
        <v>36</v>
      </c>
      <c r="H34" s="10" t="s">
        <v>49</v>
      </c>
      <c r="I34" s="5" t="str">
        <f>CHOOSE(MATCH(B34,{"Январь","Февраль","Март","Апрель","Май","Июнь","Июль","Август","Сентябрь","Октябрь","Ноябрь","Декабрь"},0),
"Jan","Feb","Mar","Apr","May","Jun","Jul","Aug","Sep","Oct","Nov","Dec")</f>
        <v>Apr</v>
      </c>
    </row>
    <row r="35" spans="1:9" x14ac:dyDescent="0.35">
      <c r="A35" s="6">
        <v>2022</v>
      </c>
      <c r="B35" s="7" t="s">
        <v>48</v>
      </c>
      <c r="C35" s="7" t="s">
        <v>2</v>
      </c>
      <c r="D35" s="7" t="s">
        <v>14</v>
      </c>
      <c r="E35" s="7" t="s">
        <v>12</v>
      </c>
      <c r="F35" s="8">
        <v>220870</v>
      </c>
      <c r="G35" s="9">
        <v>16</v>
      </c>
      <c r="H35" s="10" t="s">
        <v>50</v>
      </c>
      <c r="I35" s="5" t="str">
        <f>CHOOSE(MATCH(B35,{"Январь","Февраль","Март","Апрель","Май","Июнь","Июль","Август","Сентябрь","Октябрь","Ноябрь","Декабрь"},0),
"Jan","Feb","Mar","Apr","May","Jun","Jul","Aug","Sep","Oct","Nov","Dec")</f>
        <v>Apr</v>
      </c>
    </row>
    <row r="36" spans="1:9" x14ac:dyDescent="0.35">
      <c r="A36" s="6">
        <v>2022</v>
      </c>
      <c r="B36" s="7" t="s">
        <v>48</v>
      </c>
      <c r="C36" s="7" t="s">
        <v>2</v>
      </c>
      <c r="D36" s="7" t="s">
        <v>18</v>
      </c>
      <c r="E36" s="7" t="s">
        <v>4</v>
      </c>
      <c r="F36" s="8">
        <v>389350</v>
      </c>
      <c r="G36" s="9">
        <v>20</v>
      </c>
      <c r="H36" s="10" t="s">
        <v>51</v>
      </c>
      <c r="I36" s="5" t="str">
        <f>CHOOSE(MATCH(B36,{"Январь","Февраль","Март","Апрель","Май","Июнь","Июль","Август","Сентябрь","Октябрь","Ноябрь","Декабрь"},0),
"Jan","Feb","Mar","Apr","May","Jun","Jul","Aug","Sep","Oct","Nov","Dec")</f>
        <v>Apr</v>
      </c>
    </row>
    <row r="37" spans="1:9" x14ac:dyDescent="0.35">
      <c r="A37" s="6">
        <v>2022</v>
      </c>
      <c r="B37" s="7" t="s">
        <v>48</v>
      </c>
      <c r="C37" s="7" t="s">
        <v>10</v>
      </c>
      <c r="D37" s="7" t="s">
        <v>18</v>
      </c>
      <c r="E37" s="7" t="s">
        <v>8</v>
      </c>
      <c r="F37" s="8">
        <v>316890</v>
      </c>
      <c r="G37" s="9">
        <v>13</v>
      </c>
      <c r="H37" s="10" t="s">
        <v>52</v>
      </c>
      <c r="I37" s="5" t="str">
        <f>CHOOSE(MATCH(B37,{"Январь","Февраль","Март","Апрель","Май","Июнь","Июль","Август","Сентябрь","Октябрь","Ноябрь","Декабрь"},0),
"Jan","Feb","Mar","Apr","May","Jun","Jul","Aug","Sep","Oct","Nov","Dec")</f>
        <v>Apr</v>
      </c>
    </row>
    <row r="38" spans="1:9" x14ac:dyDescent="0.35">
      <c r="A38" s="6">
        <v>2022</v>
      </c>
      <c r="B38" s="7" t="s">
        <v>48</v>
      </c>
      <c r="C38" s="7" t="s">
        <v>6</v>
      </c>
      <c r="D38" s="7" t="s">
        <v>14</v>
      </c>
      <c r="E38" s="7" t="s">
        <v>8</v>
      </c>
      <c r="F38" s="8">
        <v>460170</v>
      </c>
      <c r="G38" s="9">
        <v>25</v>
      </c>
      <c r="H38" s="10" t="s">
        <v>53</v>
      </c>
      <c r="I38" s="5" t="str">
        <f>CHOOSE(MATCH(B38,{"Январь","Февраль","Март","Апрель","Май","Июнь","Июль","Август","Сентябрь","Октябрь","Ноябрь","Декабрь"},0),
"Jan","Feb","Mar","Apr","May","Jun","Jul","Aug","Sep","Oct","Nov","Dec")</f>
        <v>Apr</v>
      </c>
    </row>
    <row r="39" spans="1:9" x14ac:dyDescent="0.35">
      <c r="A39" s="6">
        <v>2022</v>
      </c>
      <c r="B39" s="7" t="s">
        <v>48</v>
      </c>
      <c r="C39" s="7" t="s">
        <v>10</v>
      </c>
      <c r="D39" s="7" t="s">
        <v>18</v>
      </c>
      <c r="E39" s="7" t="s">
        <v>12</v>
      </c>
      <c r="F39" s="8">
        <v>253650</v>
      </c>
      <c r="G39" s="9">
        <v>16</v>
      </c>
      <c r="H39" s="10" t="s">
        <v>54</v>
      </c>
      <c r="I39" s="5" t="str">
        <f>CHOOSE(MATCH(B39,{"Январь","Февраль","Март","Апрель","Май","Июнь","Июль","Август","Сентябрь","Октябрь","Ноябрь","Декабрь"},0),
"Jan","Feb","Mar","Apr","May","Jun","Jul","Aug","Sep","Oct","Nov","Dec")</f>
        <v>Apr</v>
      </c>
    </row>
    <row r="40" spans="1:9" x14ac:dyDescent="0.35">
      <c r="A40" s="6">
        <v>2022</v>
      </c>
      <c r="B40" s="7" t="s">
        <v>48</v>
      </c>
      <c r="C40" s="7" t="s">
        <v>17</v>
      </c>
      <c r="D40" s="7" t="s">
        <v>7</v>
      </c>
      <c r="E40" s="7" t="s">
        <v>4</v>
      </c>
      <c r="F40" s="8">
        <v>566420</v>
      </c>
      <c r="G40" s="9">
        <v>32</v>
      </c>
      <c r="H40" s="10" t="s">
        <v>55</v>
      </c>
      <c r="I40" s="5" t="str">
        <f>CHOOSE(MATCH(B40,{"Январь","Февраль","Март","Апрель","Май","Июнь","Июль","Август","Сентябрь","Октябрь","Ноябрь","Декабрь"},0),
"Jan","Feb","Mar","Apr","May","Jun","Jul","Aug","Sep","Oct","Nov","Dec")</f>
        <v>Apr</v>
      </c>
    </row>
    <row r="41" spans="1:9" x14ac:dyDescent="0.35">
      <c r="A41" s="6">
        <v>2022</v>
      </c>
      <c r="B41" s="7" t="s">
        <v>48</v>
      </c>
      <c r="C41" s="7" t="s">
        <v>22</v>
      </c>
      <c r="D41" s="7" t="s">
        <v>3</v>
      </c>
      <c r="E41" s="7" t="s">
        <v>12</v>
      </c>
      <c r="F41" s="8">
        <v>360170</v>
      </c>
      <c r="G41" s="9">
        <v>30</v>
      </c>
      <c r="H41" s="10" t="s">
        <v>56</v>
      </c>
      <c r="I41" s="5" t="str">
        <f>CHOOSE(MATCH(B41,{"Январь","Февраль","Март","Апрель","Май","Июнь","Июль","Август","Сентябрь","Октябрь","Ноябрь","Декабрь"},0),
"Jan","Feb","Mar","Apr","May","Jun","Jul","Aug","Sep","Oct","Nov","Dec")</f>
        <v>Apr</v>
      </c>
    </row>
    <row r="42" spans="1:9" x14ac:dyDescent="0.35">
      <c r="A42" s="6">
        <v>2022</v>
      </c>
      <c r="B42" s="7" t="s">
        <v>48</v>
      </c>
      <c r="C42" s="7" t="s">
        <v>10</v>
      </c>
      <c r="D42" s="7" t="s">
        <v>14</v>
      </c>
      <c r="E42" s="7" t="s">
        <v>8</v>
      </c>
      <c r="F42" s="8">
        <v>550050</v>
      </c>
      <c r="G42" s="9">
        <v>22</v>
      </c>
      <c r="H42" s="10" t="s">
        <v>57</v>
      </c>
      <c r="I42" s="5" t="str">
        <f>CHOOSE(MATCH(B42,{"Январь","Февраль","Март","Апрель","Май","Июнь","Июль","Август","Сентябрь","Октябрь","Ноябрь","Декабрь"},0),
"Jan","Feb","Mar","Apr","May","Jun","Jul","Aug","Sep","Oct","Nov","Dec")</f>
        <v>Apr</v>
      </c>
    </row>
    <row r="43" spans="1:9" x14ac:dyDescent="0.35">
      <c r="A43" s="6">
        <v>2022</v>
      </c>
      <c r="B43" s="7" t="s">
        <v>48</v>
      </c>
      <c r="C43" s="7" t="s">
        <v>6</v>
      </c>
      <c r="D43" s="7" t="s">
        <v>7</v>
      </c>
      <c r="E43" s="7" t="s">
        <v>12</v>
      </c>
      <c r="F43" s="8">
        <v>469230</v>
      </c>
      <c r="G43" s="9">
        <v>41</v>
      </c>
      <c r="H43" s="10" t="s">
        <v>58</v>
      </c>
      <c r="I43" s="5" t="str">
        <f>CHOOSE(MATCH(B43,{"Январь","Февраль","Март","Апрель","Май","Июнь","Июль","Август","Сентябрь","Октябрь","Ноябрь","Декабрь"},0),
"Jan","Feb","Mar","Apr","May","Jun","Jul","Aug","Sep","Oct","Nov","Dec")</f>
        <v>Apr</v>
      </c>
    </row>
    <row r="44" spans="1:9" x14ac:dyDescent="0.35">
      <c r="A44" s="6">
        <v>2022</v>
      </c>
      <c r="B44" s="7" t="s">
        <v>59</v>
      </c>
      <c r="C44" s="7" t="s">
        <v>10</v>
      </c>
      <c r="D44" s="7" t="s">
        <v>7</v>
      </c>
      <c r="E44" s="7" t="s">
        <v>12</v>
      </c>
      <c r="F44" s="8">
        <v>602600</v>
      </c>
      <c r="G44" s="9">
        <v>38</v>
      </c>
      <c r="H44" s="10" t="s">
        <v>60</v>
      </c>
      <c r="I44" s="5" t="str">
        <f>CHOOSE(MATCH(B44,{"Январь","Февраль","Март","Апрель","Май","Июнь","Июль","Август","Сентябрь","Октябрь","Ноябрь","Декабрь"},0),
"Jan","Feb","Mar","Apr","May","Jun","Jul","Aug","Sep","Oct","Nov","Dec")</f>
        <v>May</v>
      </c>
    </row>
    <row r="45" spans="1:9" x14ac:dyDescent="0.35">
      <c r="A45" s="6">
        <v>2022</v>
      </c>
      <c r="B45" s="7" t="s">
        <v>59</v>
      </c>
      <c r="C45" s="7" t="s">
        <v>2</v>
      </c>
      <c r="D45" s="7" t="s">
        <v>7</v>
      </c>
      <c r="E45" s="7" t="s">
        <v>15</v>
      </c>
      <c r="F45" s="8">
        <v>195710</v>
      </c>
      <c r="G45" s="9">
        <v>13</v>
      </c>
      <c r="H45" s="10" t="s">
        <v>61</v>
      </c>
      <c r="I45" s="5" t="str">
        <f>CHOOSE(MATCH(B45,{"Январь","Февраль","Март","Апрель","Май","Июнь","Июль","Август","Сентябрь","Октябрь","Ноябрь","Декабрь"},0),
"Jan","Feb","Mar","Apr","May","Jun","Jul","Aug","Sep","Oct","Nov","Dec")</f>
        <v>May</v>
      </c>
    </row>
    <row r="46" spans="1:9" x14ac:dyDescent="0.35">
      <c r="A46" s="6">
        <v>2022</v>
      </c>
      <c r="B46" s="7" t="s">
        <v>59</v>
      </c>
      <c r="C46" s="7" t="s">
        <v>10</v>
      </c>
      <c r="D46" s="7" t="s">
        <v>3</v>
      </c>
      <c r="E46" s="7" t="s">
        <v>4</v>
      </c>
      <c r="F46" s="8">
        <v>286620</v>
      </c>
      <c r="G46" s="9">
        <v>12</v>
      </c>
      <c r="H46" s="10" t="s">
        <v>62</v>
      </c>
      <c r="I46" s="5" t="str">
        <f>CHOOSE(MATCH(B46,{"Январь","Февраль","Март","Апрель","Май","Июнь","Июль","Август","Сентябрь","Октябрь","Ноябрь","Декабрь"},0),
"Jan","Feb","Mar","Apr","May","Jun","Jul","Aug","Sep","Oct","Nov","Dec")</f>
        <v>May</v>
      </c>
    </row>
    <row r="47" spans="1:9" x14ac:dyDescent="0.35">
      <c r="A47" s="6">
        <v>2022</v>
      </c>
      <c r="B47" s="7" t="s">
        <v>59</v>
      </c>
      <c r="C47" s="7" t="s">
        <v>10</v>
      </c>
      <c r="D47" s="7" t="s">
        <v>11</v>
      </c>
      <c r="E47" s="7" t="s">
        <v>12</v>
      </c>
      <c r="F47" s="8">
        <v>339030</v>
      </c>
      <c r="G47" s="9">
        <v>21</v>
      </c>
      <c r="H47" s="10" t="s">
        <v>63</v>
      </c>
      <c r="I47" s="5" t="str">
        <f>CHOOSE(MATCH(B47,{"Январь","Февраль","Март","Апрель","Май","Июнь","Июль","Август","Сентябрь","Октябрь","Ноябрь","Декабрь"},0),
"Jan","Feb","Mar","Apr","May","Jun","Jul","Aug","Sep","Oct","Nov","Dec")</f>
        <v>May</v>
      </c>
    </row>
    <row r="48" spans="1:9" x14ac:dyDescent="0.35">
      <c r="A48" s="6">
        <v>2022</v>
      </c>
      <c r="B48" s="7" t="s">
        <v>59</v>
      </c>
      <c r="C48" s="7" t="s">
        <v>6</v>
      </c>
      <c r="D48" s="7" t="s">
        <v>18</v>
      </c>
      <c r="E48" s="7" t="s">
        <v>15</v>
      </c>
      <c r="F48" s="8">
        <v>468720</v>
      </c>
      <c r="G48" s="9">
        <v>33</v>
      </c>
      <c r="H48" s="10" t="s">
        <v>64</v>
      </c>
      <c r="I48" s="5" t="str">
        <f>CHOOSE(MATCH(B48,{"Январь","Февраль","Март","Апрель","Май","Июнь","Июль","Август","Сентябрь","Октябрь","Ноябрь","Декабрь"},0),
"Jan","Feb","Mar","Apr","May","Jun","Jul","Aug","Sep","Oct","Nov","Dec")</f>
        <v>May</v>
      </c>
    </row>
    <row r="49" spans="1:9" x14ac:dyDescent="0.35">
      <c r="A49" s="6">
        <v>2022</v>
      </c>
      <c r="B49" s="7" t="s">
        <v>59</v>
      </c>
      <c r="C49" s="7" t="s">
        <v>2</v>
      </c>
      <c r="D49" s="7" t="s">
        <v>3</v>
      </c>
      <c r="E49" s="7" t="s">
        <v>4</v>
      </c>
      <c r="F49" s="8">
        <v>668220</v>
      </c>
      <c r="G49" s="9">
        <v>35</v>
      </c>
      <c r="H49" s="10" t="s">
        <v>65</v>
      </c>
      <c r="I49" s="5" t="str">
        <f>CHOOSE(MATCH(B49,{"Январь","Февраль","Март","Апрель","Май","Июнь","Июль","Август","Сентябрь","Октябрь","Ноябрь","Декабрь"},0),
"Jan","Feb","Mar","Apr","May","Jun","Jul","Aug","Sep","Oct","Nov","Dec")</f>
        <v>May</v>
      </c>
    </row>
    <row r="50" spans="1:9" x14ac:dyDescent="0.35">
      <c r="A50" s="6">
        <v>2022</v>
      </c>
      <c r="B50" s="7" t="s">
        <v>59</v>
      </c>
      <c r="C50" s="7" t="s">
        <v>6</v>
      </c>
      <c r="D50" s="7" t="s">
        <v>7</v>
      </c>
      <c r="E50" s="7" t="s">
        <v>12</v>
      </c>
      <c r="F50" s="8">
        <v>289640</v>
      </c>
      <c r="G50" s="9">
        <v>24</v>
      </c>
      <c r="H50" s="10" t="s">
        <v>66</v>
      </c>
      <c r="I50" s="5" t="str">
        <f>CHOOSE(MATCH(B50,{"Январь","Февраль","Март","Апрель","Май","Июнь","Июль","Август","Сентябрь","Октябрь","Ноябрь","Декабрь"},0),
"Jan","Feb","Mar","Apr","May","Jun","Jul","Aug","Sep","Oct","Nov","Dec")</f>
        <v>May</v>
      </c>
    </row>
    <row r="51" spans="1:9" x14ac:dyDescent="0.35">
      <c r="A51" s="6">
        <v>2022</v>
      </c>
      <c r="B51" s="7" t="s">
        <v>59</v>
      </c>
      <c r="C51" s="7" t="s">
        <v>10</v>
      </c>
      <c r="D51" s="7" t="s">
        <v>14</v>
      </c>
      <c r="E51" s="7" t="s">
        <v>15</v>
      </c>
      <c r="F51" s="8">
        <v>668420</v>
      </c>
      <c r="G51" s="9">
        <v>35</v>
      </c>
      <c r="H51" s="10" t="s">
        <v>67</v>
      </c>
      <c r="I51" s="5" t="str">
        <f>CHOOSE(MATCH(B51,{"Январь","Февраль","Март","Апрель","Май","Июнь","Июль","Август","Сентябрь","Октябрь","Ноябрь","Декабрь"},0),
"Jan","Feb","Mar","Apr","May","Jun","Jul","Aug","Sep","Oct","Nov","Dec")</f>
        <v>May</v>
      </c>
    </row>
    <row r="52" spans="1:9" x14ac:dyDescent="0.35">
      <c r="A52" s="6">
        <v>2022</v>
      </c>
      <c r="B52" s="7" t="s">
        <v>59</v>
      </c>
      <c r="C52" s="7" t="s">
        <v>2</v>
      </c>
      <c r="D52" s="7" t="s">
        <v>14</v>
      </c>
      <c r="E52" s="7" t="s">
        <v>4</v>
      </c>
      <c r="F52" s="8">
        <v>402320</v>
      </c>
      <c r="G52" s="9">
        <v>21</v>
      </c>
      <c r="H52" s="10" t="s">
        <v>68</v>
      </c>
      <c r="I52" s="5" t="str">
        <f>CHOOSE(MATCH(B52,{"Январь","Февраль","Март","Апрель","Май","Июнь","Июль","Август","Сентябрь","Октябрь","Ноябрь","Декабрь"},0),
"Jan","Feb","Mar","Apr","May","Jun","Jul","Aug","Sep","Oct","Nov","Dec")</f>
        <v>May</v>
      </c>
    </row>
    <row r="53" spans="1:9" x14ac:dyDescent="0.35">
      <c r="A53" s="6">
        <v>2022</v>
      </c>
      <c r="B53" s="7" t="s">
        <v>59</v>
      </c>
      <c r="C53" s="7" t="s">
        <v>17</v>
      </c>
      <c r="D53" s="7" t="s">
        <v>3</v>
      </c>
      <c r="E53" s="7" t="s">
        <v>8</v>
      </c>
      <c r="F53" s="8">
        <v>242500</v>
      </c>
      <c r="G53" s="9">
        <v>12</v>
      </c>
      <c r="H53" s="10" t="s">
        <v>69</v>
      </c>
      <c r="I53" s="5" t="str">
        <f>CHOOSE(MATCH(B53,{"Январь","Февраль","Март","Апрель","Май","Июнь","Июль","Август","Сентябрь","Октябрь","Ноябрь","Декабрь"},0),
"Jan","Feb","Mar","Apr","May","Jun","Jul","Aug","Sep","Oct","Nov","Dec")</f>
        <v>May</v>
      </c>
    </row>
    <row r="54" spans="1:9" x14ac:dyDescent="0.35">
      <c r="A54" s="6">
        <v>2022</v>
      </c>
      <c r="B54" s="7" t="s">
        <v>70</v>
      </c>
      <c r="C54" s="7" t="s">
        <v>10</v>
      </c>
      <c r="D54" s="7" t="s">
        <v>14</v>
      </c>
      <c r="E54" s="7" t="s">
        <v>8</v>
      </c>
      <c r="F54" s="8">
        <v>956590</v>
      </c>
      <c r="G54" s="9">
        <v>37</v>
      </c>
      <c r="H54" s="10" t="s">
        <v>71</v>
      </c>
      <c r="I54" s="5" t="str">
        <f>CHOOSE(MATCH(B54,{"Январь","Февраль","Март","Апрель","Май","Июнь","Июль","Август","Сентябрь","Октябрь","Ноябрь","Декабрь"},0),
"Jan","Feb","Mar","Apr","May","Jun","Jul","Aug","Sep","Oct","Nov","Dec")</f>
        <v>Jun</v>
      </c>
    </row>
    <row r="55" spans="1:9" x14ac:dyDescent="0.35">
      <c r="A55" s="6">
        <v>2022</v>
      </c>
      <c r="B55" s="7" t="s">
        <v>70</v>
      </c>
      <c r="C55" s="7" t="s">
        <v>6</v>
      </c>
      <c r="D55" s="7" t="s">
        <v>11</v>
      </c>
      <c r="E55" s="7" t="s">
        <v>4</v>
      </c>
      <c r="F55" s="8">
        <v>598170</v>
      </c>
      <c r="G55" s="9">
        <v>37</v>
      </c>
      <c r="H55" s="10" t="s">
        <v>72</v>
      </c>
      <c r="I55" s="5" t="str">
        <f>CHOOSE(MATCH(B55,{"Январь","Февраль","Март","Апрель","Май","Июнь","Июль","Август","Сентябрь","Октябрь","Ноябрь","Декабрь"},0),
"Jan","Feb","Mar","Apr","May","Jun","Jul","Aug","Sep","Oct","Nov","Dec")</f>
        <v>Jun</v>
      </c>
    </row>
    <row r="56" spans="1:9" x14ac:dyDescent="0.35">
      <c r="A56" s="6">
        <v>2022</v>
      </c>
      <c r="B56" s="7" t="s">
        <v>70</v>
      </c>
      <c r="C56" s="7" t="s">
        <v>10</v>
      </c>
      <c r="D56" s="7" t="s">
        <v>11</v>
      </c>
      <c r="E56" s="7" t="s">
        <v>4</v>
      </c>
      <c r="F56" s="8">
        <v>558690</v>
      </c>
      <c r="G56" s="9">
        <v>24</v>
      </c>
      <c r="H56" s="10" t="s">
        <v>73</v>
      </c>
      <c r="I56" s="5" t="str">
        <f>CHOOSE(MATCH(B56,{"Январь","Февраль","Март","Апрель","Май","Июнь","Июль","Август","Сентябрь","Октябрь","Ноябрь","Декабрь"},0),
"Jan","Feb","Mar","Apr","May","Jun","Jul","Aug","Sep","Oct","Nov","Dec")</f>
        <v>Jun</v>
      </c>
    </row>
    <row r="57" spans="1:9" x14ac:dyDescent="0.35">
      <c r="A57" s="6">
        <v>2022</v>
      </c>
      <c r="B57" s="7" t="s">
        <v>70</v>
      </c>
      <c r="C57" s="7" t="s">
        <v>2</v>
      </c>
      <c r="D57" s="7" t="s">
        <v>18</v>
      </c>
      <c r="E57" s="7" t="s">
        <v>4</v>
      </c>
      <c r="F57" s="8">
        <v>336610</v>
      </c>
      <c r="G57" s="9">
        <v>18</v>
      </c>
      <c r="H57" s="10" t="s">
        <v>74</v>
      </c>
      <c r="I57" s="5" t="str">
        <f>CHOOSE(MATCH(B57,{"Январь","Февраль","Март","Апрель","Май","Июнь","Июль","Август","Сентябрь","Октябрь","Ноябрь","Декабрь"},0),
"Jan","Feb","Mar","Apr","May","Jun","Jul","Aug","Sep","Oct","Nov","Dec")</f>
        <v>Jun</v>
      </c>
    </row>
    <row r="58" spans="1:9" x14ac:dyDescent="0.35">
      <c r="A58" s="6">
        <v>2022</v>
      </c>
      <c r="B58" s="7" t="s">
        <v>70</v>
      </c>
      <c r="C58" s="7" t="s">
        <v>2</v>
      </c>
      <c r="D58" s="7" t="s">
        <v>18</v>
      </c>
      <c r="E58" s="7" t="s">
        <v>12</v>
      </c>
      <c r="F58" s="8">
        <v>346820</v>
      </c>
      <c r="G58" s="9">
        <v>26</v>
      </c>
      <c r="H58" s="10" t="s">
        <v>75</v>
      </c>
      <c r="I58" s="5" t="str">
        <f>CHOOSE(MATCH(B58,{"Январь","Февраль","Март","Апрель","Май","Июнь","Июль","Август","Сентябрь","Октябрь","Ноябрь","Декабрь"},0),
"Jan","Feb","Mar","Apr","May","Jun","Jul","Aug","Sep","Oct","Nov","Dec")</f>
        <v>Jun</v>
      </c>
    </row>
    <row r="59" spans="1:9" x14ac:dyDescent="0.35">
      <c r="A59" s="6">
        <v>2022</v>
      </c>
      <c r="B59" s="7" t="s">
        <v>70</v>
      </c>
      <c r="C59" s="7" t="s">
        <v>2</v>
      </c>
      <c r="D59" s="7" t="s">
        <v>18</v>
      </c>
      <c r="E59" s="7" t="s">
        <v>15</v>
      </c>
      <c r="F59" s="8">
        <v>585450</v>
      </c>
      <c r="G59" s="9">
        <v>36</v>
      </c>
      <c r="H59" s="10" t="s">
        <v>76</v>
      </c>
      <c r="I59" s="5" t="str">
        <f>CHOOSE(MATCH(B59,{"Январь","Февраль","Март","Апрель","Май","Июнь","Июль","Август","Сентябрь","Октябрь","Ноябрь","Декабрь"},0),
"Jan","Feb","Mar","Apr","May","Jun","Jul","Aug","Sep","Oct","Nov","Dec")</f>
        <v>Jun</v>
      </c>
    </row>
    <row r="60" spans="1:9" x14ac:dyDescent="0.35">
      <c r="A60" s="6">
        <v>2022</v>
      </c>
      <c r="B60" s="7" t="s">
        <v>70</v>
      </c>
      <c r="C60" s="7" t="s">
        <v>10</v>
      </c>
      <c r="D60" s="7" t="s">
        <v>18</v>
      </c>
      <c r="E60" s="7" t="s">
        <v>12</v>
      </c>
      <c r="F60" s="8">
        <v>507640</v>
      </c>
      <c r="G60" s="9">
        <v>32</v>
      </c>
      <c r="H60" s="10" t="s">
        <v>77</v>
      </c>
      <c r="I60" s="5" t="str">
        <f>CHOOSE(MATCH(B60,{"Январь","Февраль","Март","Апрель","Май","Июнь","Июль","Август","Сентябрь","Октябрь","Ноябрь","Декабрь"},0),
"Jan","Feb","Mar","Apr","May","Jun","Jul","Aug","Sep","Oct","Nov","Dec")</f>
        <v>Jun</v>
      </c>
    </row>
    <row r="61" spans="1:9" x14ac:dyDescent="0.35">
      <c r="A61" s="6">
        <v>2022</v>
      </c>
      <c r="B61" s="7" t="s">
        <v>70</v>
      </c>
      <c r="C61" s="7" t="s">
        <v>17</v>
      </c>
      <c r="D61" s="7" t="s">
        <v>14</v>
      </c>
      <c r="E61" s="7" t="s">
        <v>8</v>
      </c>
      <c r="F61" s="8">
        <v>700190</v>
      </c>
      <c r="G61" s="9">
        <v>34</v>
      </c>
      <c r="H61" s="10" t="s">
        <v>78</v>
      </c>
      <c r="I61" s="5" t="str">
        <f>CHOOSE(MATCH(B61,{"Январь","Февраль","Март","Апрель","Май","Июнь","Июль","Август","Сентябрь","Октябрь","Ноябрь","Декабрь"},0),
"Jan","Feb","Mar","Apr","May","Jun","Jul","Aug","Sep","Oct","Nov","Dec")</f>
        <v>Jun</v>
      </c>
    </row>
    <row r="62" spans="1:9" x14ac:dyDescent="0.35">
      <c r="A62" s="6">
        <v>2022</v>
      </c>
      <c r="B62" s="7" t="s">
        <v>70</v>
      </c>
      <c r="C62" s="7" t="s">
        <v>10</v>
      </c>
      <c r="D62" s="7" t="s">
        <v>7</v>
      </c>
      <c r="E62" s="7" t="s">
        <v>15</v>
      </c>
      <c r="F62" s="8">
        <v>494240</v>
      </c>
      <c r="G62" s="9">
        <v>27</v>
      </c>
      <c r="H62" s="10" t="s">
        <v>79</v>
      </c>
      <c r="I62" s="5" t="str">
        <f>CHOOSE(MATCH(B62,{"Январь","Февраль","Март","Апрель","Май","Июнь","Июль","Август","Сентябрь","Октябрь","Ноябрь","Декабрь"},0),
"Jan","Feb","Mar","Apr","May","Jun","Jul","Aug","Sep","Oct","Nov","Dec")</f>
        <v>Jun</v>
      </c>
    </row>
    <row r="63" spans="1:9" x14ac:dyDescent="0.35">
      <c r="A63" s="6">
        <v>2022</v>
      </c>
      <c r="B63" s="7" t="s">
        <v>70</v>
      </c>
      <c r="C63" s="7" t="s">
        <v>6</v>
      </c>
      <c r="D63" s="7" t="s">
        <v>14</v>
      </c>
      <c r="E63" s="7" t="s">
        <v>8</v>
      </c>
      <c r="F63" s="8">
        <v>547240</v>
      </c>
      <c r="G63" s="9">
        <v>29</v>
      </c>
      <c r="H63" s="10" t="s">
        <v>80</v>
      </c>
      <c r="I63" s="5" t="str">
        <f>CHOOSE(MATCH(B63,{"Январь","Февраль","Март","Апрель","Май","Июнь","Июль","Август","Сентябрь","Октябрь","Ноябрь","Декабрь"},0),
"Jan","Feb","Mar","Apr","May","Jun","Jul","Aug","Sep","Oct","Nov","Dec")</f>
        <v>Jun</v>
      </c>
    </row>
    <row r="64" spans="1:9" x14ac:dyDescent="0.35">
      <c r="A64" s="6">
        <v>2022</v>
      </c>
      <c r="B64" s="7" t="s">
        <v>81</v>
      </c>
      <c r="C64" s="7" t="s">
        <v>2</v>
      </c>
      <c r="D64" s="7" t="s">
        <v>18</v>
      </c>
      <c r="E64" s="7" t="s">
        <v>8</v>
      </c>
      <c r="F64" s="8">
        <v>344860</v>
      </c>
      <c r="G64" s="9">
        <v>16</v>
      </c>
      <c r="H64" s="10" t="s">
        <v>82</v>
      </c>
      <c r="I64" s="5" t="str">
        <f>CHOOSE(MATCH(B64,{"Январь","Февраль","Март","Апрель","Май","Июнь","Июль","Август","Сентябрь","Октябрь","Ноябрь","Декабрь"},0),
"Jan","Feb","Mar","Apr","May","Jun","Jul","Aug","Sep","Oct","Nov","Dec")</f>
        <v>Jul</v>
      </c>
    </row>
    <row r="65" spans="1:9" x14ac:dyDescent="0.35">
      <c r="A65" s="6">
        <v>2022</v>
      </c>
      <c r="B65" s="7" t="s">
        <v>81</v>
      </c>
      <c r="C65" s="7" t="s">
        <v>10</v>
      </c>
      <c r="D65" s="7" t="s">
        <v>14</v>
      </c>
      <c r="E65" s="7" t="s">
        <v>12</v>
      </c>
      <c r="F65" s="8">
        <v>249820</v>
      </c>
      <c r="G65" s="9">
        <v>16</v>
      </c>
      <c r="H65" s="10" t="s">
        <v>83</v>
      </c>
      <c r="I65" s="5" t="str">
        <f>CHOOSE(MATCH(B65,{"Январь","Февраль","Март","Апрель","Май","Июнь","Июль","Август","Сентябрь","Октябрь","Ноябрь","Декабрь"},0),
"Jan","Feb","Mar","Apr","May","Jun","Jul","Aug","Sep","Oct","Nov","Dec")</f>
        <v>Jul</v>
      </c>
    </row>
    <row r="66" spans="1:9" x14ac:dyDescent="0.35">
      <c r="A66" s="6">
        <v>2022</v>
      </c>
      <c r="B66" s="7" t="s">
        <v>81</v>
      </c>
      <c r="C66" s="7" t="s">
        <v>22</v>
      </c>
      <c r="D66" s="7" t="s">
        <v>7</v>
      </c>
      <c r="E66" s="7" t="s">
        <v>15</v>
      </c>
      <c r="F66" s="8">
        <v>349440</v>
      </c>
      <c r="G66" s="9">
        <v>27</v>
      </c>
      <c r="H66" s="10" t="s">
        <v>84</v>
      </c>
      <c r="I66" s="5" t="str">
        <f>CHOOSE(MATCH(B66,{"Январь","Февраль","Март","Апрель","Май","Июнь","Июль","Август","Сентябрь","Октябрь","Ноябрь","Декабрь"},0),
"Jan","Feb","Mar","Apr","May","Jun","Jul","Aug","Sep","Oct","Nov","Dec")</f>
        <v>Jul</v>
      </c>
    </row>
    <row r="67" spans="1:9" x14ac:dyDescent="0.35">
      <c r="A67" s="6">
        <v>2022</v>
      </c>
      <c r="B67" s="7" t="s">
        <v>81</v>
      </c>
      <c r="C67" s="7" t="s">
        <v>6</v>
      </c>
      <c r="D67" s="7" t="s">
        <v>14</v>
      </c>
      <c r="E67" s="7" t="s">
        <v>4</v>
      </c>
      <c r="F67" s="8">
        <v>245390</v>
      </c>
      <c r="G67" s="9">
        <v>16</v>
      </c>
      <c r="H67" s="10" t="s">
        <v>85</v>
      </c>
      <c r="I67" s="5" t="str">
        <f>CHOOSE(MATCH(B67,{"Январь","Февраль","Март","Апрель","Май","Июнь","Июль","Август","Сентябрь","Октябрь","Ноябрь","Декабрь"},0),
"Jan","Feb","Mar","Apr","May","Jun","Jul","Aug","Sep","Oct","Nov","Dec")</f>
        <v>Jul</v>
      </c>
    </row>
    <row r="68" spans="1:9" x14ac:dyDescent="0.35">
      <c r="A68" s="6">
        <v>2022</v>
      </c>
      <c r="B68" s="7" t="s">
        <v>81</v>
      </c>
      <c r="C68" s="7" t="s">
        <v>17</v>
      </c>
      <c r="D68" s="7" t="s">
        <v>3</v>
      </c>
      <c r="E68" s="7" t="s">
        <v>12</v>
      </c>
      <c r="F68" s="8">
        <v>217110</v>
      </c>
      <c r="G68" s="9">
        <v>16</v>
      </c>
      <c r="H68" s="10" t="s">
        <v>86</v>
      </c>
      <c r="I68" s="5" t="str">
        <f>CHOOSE(MATCH(B68,{"Январь","Февраль","Март","Апрель","Май","Июнь","Июль","Август","Сентябрь","Октябрь","Ноябрь","Декабрь"},0),
"Jan","Feb","Mar","Apr","May","Jun","Jul","Aug","Sep","Oct","Nov","Dec")</f>
        <v>Jul</v>
      </c>
    </row>
    <row r="69" spans="1:9" x14ac:dyDescent="0.35">
      <c r="A69" s="6">
        <v>2022</v>
      </c>
      <c r="B69" s="7" t="s">
        <v>81</v>
      </c>
      <c r="C69" s="7" t="s">
        <v>6</v>
      </c>
      <c r="D69" s="7" t="s">
        <v>11</v>
      </c>
      <c r="E69" s="7" t="s">
        <v>8</v>
      </c>
      <c r="F69" s="8">
        <v>729190</v>
      </c>
      <c r="G69" s="9">
        <v>38</v>
      </c>
      <c r="H69" s="10" t="s">
        <v>87</v>
      </c>
      <c r="I69" s="5" t="str">
        <f>CHOOSE(MATCH(B69,{"Январь","Февраль","Март","Апрель","Май","Июнь","Июль","Август","Сентябрь","Октябрь","Ноябрь","Декабрь"},0),
"Jan","Feb","Mar","Apr","May","Jun","Jul","Aug","Sep","Oct","Nov","Dec")</f>
        <v>Jul</v>
      </c>
    </row>
    <row r="70" spans="1:9" x14ac:dyDescent="0.35">
      <c r="A70" s="6">
        <v>2022</v>
      </c>
      <c r="B70" s="7" t="s">
        <v>81</v>
      </c>
      <c r="C70" s="7" t="s">
        <v>17</v>
      </c>
      <c r="D70" s="7" t="s">
        <v>14</v>
      </c>
      <c r="E70" s="7" t="s">
        <v>4</v>
      </c>
      <c r="F70" s="8">
        <v>709350</v>
      </c>
      <c r="G70" s="9">
        <v>39</v>
      </c>
      <c r="H70" s="10" t="s">
        <v>88</v>
      </c>
      <c r="I70" s="5" t="str">
        <f>CHOOSE(MATCH(B70,{"Январь","Февраль","Март","Апрель","Май","Июнь","Июль","Август","Сентябрь","Октябрь","Ноябрь","Декабрь"},0),
"Jan","Feb","Mar","Apr","May","Jun","Jul","Aug","Sep","Oct","Nov","Dec")</f>
        <v>Jul</v>
      </c>
    </row>
    <row r="71" spans="1:9" x14ac:dyDescent="0.35">
      <c r="A71" s="6">
        <v>2022</v>
      </c>
      <c r="B71" s="7" t="s">
        <v>81</v>
      </c>
      <c r="C71" s="7" t="s">
        <v>6</v>
      </c>
      <c r="D71" s="7" t="s">
        <v>3</v>
      </c>
      <c r="E71" s="7" t="s">
        <v>8</v>
      </c>
      <c r="F71" s="8">
        <v>272920</v>
      </c>
      <c r="G71" s="9">
        <v>15</v>
      </c>
      <c r="H71" s="10" t="s">
        <v>89</v>
      </c>
      <c r="I71" s="5" t="str">
        <f>CHOOSE(MATCH(B71,{"Январь","Февраль","Март","Апрель","Май","Июнь","Июль","Август","Сентябрь","Октябрь","Ноябрь","Декабрь"},0),
"Jan","Feb","Mar","Apr","May","Jun","Jul","Aug","Sep","Oct","Nov","Dec")</f>
        <v>Jul</v>
      </c>
    </row>
    <row r="72" spans="1:9" x14ac:dyDescent="0.35">
      <c r="A72" s="6">
        <v>2022</v>
      </c>
      <c r="B72" s="7" t="s">
        <v>81</v>
      </c>
      <c r="C72" s="7" t="s">
        <v>2</v>
      </c>
      <c r="D72" s="7" t="s">
        <v>14</v>
      </c>
      <c r="E72" s="7" t="s">
        <v>15</v>
      </c>
      <c r="F72" s="8">
        <v>277500</v>
      </c>
      <c r="G72" s="9">
        <v>17</v>
      </c>
      <c r="H72" s="10" t="s">
        <v>90</v>
      </c>
      <c r="I72" s="5" t="str">
        <f>CHOOSE(MATCH(B72,{"Январь","Февраль","Март","Апрель","Май","Июнь","Июль","Август","Сентябрь","Октябрь","Ноябрь","Декабрь"},0),
"Jan","Feb","Mar","Apr","May","Jun","Jul","Aug","Sep","Oct","Nov","Dec")</f>
        <v>Jul</v>
      </c>
    </row>
    <row r="73" spans="1:9" x14ac:dyDescent="0.35">
      <c r="A73" s="6">
        <v>2022</v>
      </c>
      <c r="B73" s="7" t="s">
        <v>81</v>
      </c>
      <c r="C73" s="7" t="s">
        <v>17</v>
      </c>
      <c r="D73" s="7" t="s">
        <v>18</v>
      </c>
      <c r="E73" s="7" t="s">
        <v>12</v>
      </c>
      <c r="F73" s="8">
        <v>365980</v>
      </c>
      <c r="G73" s="9">
        <v>28</v>
      </c>
      <c r="H73" s="10" t="s">
        <v>91</v>
      </c>
      <c r="I73" s="5" t="str">
        <f>CHOOSE(MATCH(B73,{"Январь","Февраль","Март","Апрель","Май","Июнь","Июль","Август","Сентябрь","Октябрь","Ноябрь","Декабрь"},0),
"Jan","Feb","Mar","Apr","May","Jun","Jul","Aug","Sep","Oct","Nov","Dec")</f>
        <v>Jul</v>
      </c>
    </row>
    <row r="74" spans="1:9" x14ac:dyDescent="0.35">
      <c r="A74" s="6">
        <v>2022</v>
      </c>
      <c r="B74" s="7" t="s">
        <v>92</v>
      </c>
      <c r="C74" s="7" t="s">
        <v>10</v>
      </c>
      <c r="D74" s="7" t="s">
        <v>14</v>
      </c>
      <c r="E74" s="7" t="s">
        <v>8</v>
      </c>
      <c r="F74" s="8">
        <v>391170</v>
      </c>
      <c r="G74" s="9">
        <v>15</v>
      </c>
      <c r="H74" s="10" t="s">
        <v>93</v>
      </c>
      <c r="I74" s="5" t="str">
        <f>CHOOSE(MATCH(B74,{"Январь","Февраль","Март","Апрель","Май","Июнь","Июль","Август","Сентябрь","Октябрь","Ноябрь","Декабрь"},0),
"Jan","Feb","Mar","Apr","May","Jun","Jul","Aug","Sep","Oct","Nov","Dec")</f>
        <v>Aug</v>
      </c>
    </row>
    <row r="75" spans="1:9" x14ac:dyDescent="0.35">
      <c r="A75" s="6">
        <v>2022</v>
      </c>
      <c r="B75" s="7" t="s">
        <v>92</v>
      </c>
      <c r="C75" s="7" t="s">
        <v>2</v>
      </c>
      <c r="D75" s="7" t="s">
        <v>11</v>
      </c>
      <c r="E75" s="7" t="s">
        <v>12</v>
      </c>
      <c r="F75" s="8">
        <v>504280</v>
      </c>
      <c r="G75" s="9">
        <v>34</v>
      </c>
      <c r="H75" s="10" t="s">
        <v>94</v>
      </c>
      <c r="I75" s="5" t="str">
        <f>CHOOSE(MATCH(B75,{"Январь","Февраль","Март","Апрель","Май","Июнь","Июль","Август","Сентябрь","Октябрь","Ноябрь","Декабрь"},0),
"Jan","Feb","Mar","Apr","May","Jun","Jul","Aug","Sep","Oct","Nov","Dec")</f>
        <v>Aug</v>
      </c>
    </row>
    <row r="76" spans="1:9" x14ac:dyDescent="0.35">
      <c r="A76" s="6">
        <v>2022</v>
      </c>
      <c r="B76" s="7" t="s">
        <v>92</v>
      </c>
      <c r="C76" s="7" t="s">
        <v>17</v>
      </c>
      <c r="D76" s="7" t="s">
        <v>7</v>
      </c>
      <c r="E76" s="7" t="s">
        <v>4</v>
      </c>
      <c r="F76" s="8">
        <v>525930</v>
      </c>
      <c r="G76" s="9">
        <v>29</v>
      </c>
      <c r="H76" s="10" t="s">
        <v>95</v>
      </c>
      <c r="I76" s="5" t="str">
        <f>CHOOSE(MATCH(B76,{"Январь","Февраль","Март","Апрель","Май","Июнь","Июль","Август","Сентябрь","Октябрь","Ноябрь","Декабрь"},0),
"Jan","Feb","Mar","Apr","May","Jun","Jul","Aug","Sep","Oct","Nov","Dec")</f>
        <v>Aug</v>
      </c>
    </row>
    <row r="77" spans="1:9" x14ac:dyDescent="0.35">
      <c r="A77" s="6">
        <v>2022</v>
      </c>
      <c r="B77" s="7" t="s">
        <v>92</v>
      </c>
      <c r="C77" s="7" t="s">
        <v>22</v>
      </c>
      <c r="D77" s="7" t="s">
        <v>11</v>
      </c>
      <c r="E77" s="7" t="s">
        <v>4</v>
      </c>
      <c r="F77" s="8">
        <v>439620</v>
      </c>
      <c r="G77" s="9">
        <v>29</v>
      </c>
      <c r="H77" s="10" t="s">
        <v>96</v>
      </c>
      <c r="I77" s="5" t="str">
        <f>CHOOSE(MATCH(B77,{"Январь","Февраль","Март","Апрель","Май","Июнь","Июль","Август","Сентябрь","Октябрь","Ноябрь","Декабрь"},0),
"Jan","Feb","Mar","Apr","May","Jun","Jul","Aug","Sep","Oct","Nov","Dec")</f>
        <v>Aug</v>
      </c>
    </row>
    <row r="78" spans="1:9" x14ac:dyDescent="0.35">
      <c r="A78" s="6">
        <v>2022</v>
      </c>
      <c r="B78" s="7" t="s">
        <v>92</v>
      </c>
      <c r="C78" s="7" t="s">
        <v>17</v>
      </c>
      <c r="D78" s="7" t="s">
        <v>14</v>
      </c>
      <c r="E78" s="7" t="s">
        <v>8</v>
      </c>
      <c r="F78" s="8">
        <v>777640</v>
      </c>
      <c r="G78" s="9">
        <v>38</v>
      </c>
      <c r="H78" s="10" t="s">
        <v>97</v>
      </c>
      <c r="I78" s="5" t="str">
        <f>CHOOSE(MATCH(B78,{"Январь","Февраль","Март","Апрель","Май","Июнь","Июль","Август","Сентябрь","Октябрь","Ноябрь","Декабрь"},0),
"Jan","Feb","Mar","Apr","May","Jun","Jul","Aug","Sep","Oct","Nov","Dec")</f>
        <v>Aug</v>
      </c>
    </row>
    <row r="79" spans="1:9" x14ac:dyDescent="0.35">
      <c r="A79" s="6">
        <v>2022</v>
      </c>
      <c r="B79" s="7" t="s">
        <v>92</v>
      </c>
      <c r="C79" s="7" t="s">
        <v>2</v>
      </c>
      <c r="D79" s="7" t="s">
        <v>7</v>
      </c>
      <c r="E79" s="7" t="s">
        <v>4</v>
      </c>
      <c r="F79" s="8">
        <v>340430</v>
      </c>
      <c r="G79" s="9">
        <v>19</v>
      </c>
      <c r="H79" s="10" t="s">
        <v>98</v>
      </c>
      <c r="I79" s="5" t="str">
        <f>CHOOSE(MATCH(B79,{"Январь","Февраль","Март","Апрель","Май","Июнь","Июль","Август","Сентябрь","Октябрь","Ноябрь","Декабрь"},0),
"Jan","Feb","Mar","Apr","May","Jun","Jul","Aug","Sep","Oct","Nov","Dec")</f>
        <v>Aug</v>
      </c>
    </row>
    <row r="80" spans="1:9" x14ac:dyDescent="0.35">
      <c r="A80" s="6">
        <v>2022</v>
      </c>
      <c r="B80" s="7" t="s">
        <v>92</v>
      </c>
      <c r="C80" s="7" t="s">
        <v>17</v>
      </c>
      <c r="D80" s="7" t="s">
        <v>11</v>
      </c>
      <c r="E80" s="7" t="s">
        <v>8</v>
      </c>
      <c r="F80" s="8">
        <v>469960</v>
      </c>
      <c r="G80" s="9">
        <v>22</v>
      </c>
      <c r="H80" s="10" t="s">
        <v>99</v>
      </c>
      <c r="I80" s="5" t="str">
        <f>CHOOSE(MATCH(B80,{"Январь","Февраль","Март","Апрель","Май","Июнь","Июль","Август","Сентябрь","Октябрь","Ноябрь","Декабрь"},0),
"Jan","Feb","Mar","Apr","May","Jun","Jul","Aug","Sep","Oct","Nov","Dec")</f>
        <v>Aug</v>
      </c>
    </row>
    <row r="81" spans="1:9" x14ac:dyDescent="0.35">
      <c r="A81" s="6">
        <v>2022</v>
      </c>
      <c r="B81" s="7" t="s">
        <v>92</v>
      </c>
      <c r="C81" s="7" t="s">
        <v>22</v>
      </c>
      <c r="D81" s="7" t="s">
        <v>7</v>
      </c>
      <c r="E81" s="7" t="s">
        <v>15</v>
      </c>
      <c r="F81" s="8">
        <v>205960</v>
      </c>
      <c r="G81" s="9">
        <v>15</v>
      </c>
      <c r="H81" s="10" t="s">
        <v>100</v>
      </c>
      <c r="I81" s="5" t="str">
        <f>CHOOSE(MATCH(B81,{"Январь","Февраль","Март","Апрель","Май","Июнь","Июль","Август","Сентябрь","Октябрь","Ноябрь","Декабрь"},0),
"Jan","Feb","Mar","Apr","May","Jun","Jul","Aug","Sep","Oct","Nov","Dec")</f>
        <v>Aug</v>
      </c>
    </row>
    <row r="82" spans="1:9" x14ac:dyDescent="0.35">
      <c r="A82" s="6">
        <v>2022</v>
      </c>
      <c r="B82" s="7" t="s">
        <v>92</v>
      </c>
      <c r="C82" s="7" t="s">
        <v>6</v>
      </c>
      <c r="D82" s="7" t="s">
        <v>14</v>
      </c>
      <c r="E82" s="7" t="s">
        <v>4</v>
      </c>
      <c r="F82" s="8">
        <v>439200</v>
      </c>
      <c r="G82" s="9">
        <v>26</v>
      </c>
      <c r="H82" s="10" t="s">
        <v>101</v>
      </c>
      <c r="I82" s="5" t="str">
        <f>CHOOSE(MATCH(B82,{"Январь","Февраль","Март","Апрель","Май","Июнь","Июль","Август","Сентябрь","Октябрь","Ноябрь","Декабрь"},0),
"Jan","Feb","Mar","Apr","May","Jun","Jul","Aug","Sep","Oct","Nov","Dec")</f>
        <v>Aug</v>
      </c>
    </row>
    <row r="83" spans="1:9" x14ac:dyDescent="0.35">
      <c r="A83" s="6">
        <v>2022</v>
      </c>
      <c r="B83" s="7" t="s">
        <v>92</v>
      </c>
      <c r="C83" s="7" t="s">
        <v>2</v>
      </c>
      <c r="D83" s="7" t="s">
        <v>14</v>
      </c>
      <c r="E83" s="7" t="s">
        <v>12</v>
      </c>
      <c r="F83" s="8">
        <v>420700</v>
      </c>
      <c r="G83" s="9">
        <v>29</v>
      </c>
      <c r="H83" s="10" t="s">
        <v>102</v>
      </c>
      <c r="I83" s="5" t="str">
        <f>CHOOSE(MATCH(B83,{"Январь","Февраль","Март","Апрель","Май","Июнь","Июль","Август","Сентябрь","Октябрь","Ноябрь","Декабрь"},0),
"Jan","Feb","Mar","Apr","May","Jun","Jul","Aug","Sep","Oct","Nov","Dec")</f>
        <v>Aug</v>
      </c>
    </row>
    <row r="84" spans="1:9" x14ac:dyDescent="0.35">
      <c r="A84" s="6">
        <v>2022</v>
      </c>
      <c r="B84" s="7" t="s">
        <v>103</v>
      </c>
      <c r="C84" s="7" t="s">
        <v>6</v>
      </c>
      <c r="D84" s="7" t="s">
        <v>7</v>
      </c>
      <c r="E84" s="7" t="s">
        <v>12</v>
      </c>
      <c r="F84" s="8">
        <v>348110</v>
      </c>
      <c r="G84" s="9">
        <v>29</v>
      </c>
      <c r="H84" s="10" t="s">
        <v>104</v>
      </c>
      <c r="I84" s="5" t="str">
        <f>CHOOSE(MATCH(B84,{"Январь","Февраль","Март","Апрель","Май","Июнь","Июль","Август","Сентябрь","Октябрь","Ноябрь","Декабрь"},0),
"Jan","Feb","Mar","Apr","May","Jun","Jul","Aug","Sep","Oct","Nov","Dec")</f>
        <v>Sep</v>
      </c>
    </row>
    <row r="85" spans="1:9" x14ac:dyDescent="0.35">
      <c r="A85" s="6">
        <v>2022</v>
      </c>
      <c r="B85" s="7" t="s">
        <v>103</v>
      </c>
      <c r="C85" s="7" t="s">
        <v>17</v>
      </c>
      <c r="D85" s="7" t="s">
        <v>18</v>
      </c>
      <c r="E85" s="7" t="s">
        <v>12</v>
      </c>
      <c r="F85" s="8">
        <v>318760</v>
      </c>
      <c r="G85" s="9">
        <v>23</v>
      </c>
      <c r="H85" s="10" t="s">
        <v>105</v>
      </c>
      <c r="I85" s="5" t="str">
        <f>CHOOSE(MATCH(B85,{"Январь","Февраль","Март","Апрель","Май","Июнь","Июль","Август","Сентябрь","Октябрь","Ноябрь","Декабрь"},0),
"Jan","Feb","Mar","Apr","May","Jun","Jul","Aug","Sep","Oct","Nov","Dec")</f>
        <v>Sep</v>
      </c>
    </row>
    <row r="86" spans="1:9" x14ac:dyDescent="0.35">
      <c r="A86" s="6">
        <v>2022</v>
      </c>
      <c r="B86" s="7" t="s">
        <v>103</v>
      </c>
      <c r="C86" s="7" t="s">
        <v>17</v>
      </c>
      <c r="D86" s="7" t="s">
        <v>14</v>
      </c>
      <c r="E86" s="7" t="s">
        <v>8</v>
      </c>
      <c r="F86" s="8">
        <v>263220</v>
      </c>
      <c r="G86" s="9">
        <v>13</v>
      </c>
      <c r="H86" s="10" t="s">
        <v>106</v>
      </c>
      <c r="I86" s="5" t="str">
        <f>CHOOSE(MATCH(B86,{"Январь","Февраль","Март","Апрель","Май","Июнь","Июль","Август","Сентябрь","Октябрь","Ноябрь","Декабрь"},0),
"Jan","Feb","Mar","Apr","May","Jun","Jul","Aug","Sep","Oct","Nov","Dec")</f>
        <v>Sep</v>
      </c>
    </row>
    <row r="87" spans="1:9" x14ac:dyDescent="0.35">
      <c r="A87" s="6">
        <v>2022</v>
      </c>
      <c r="B87" s="7" t="s">
        <v>103</v>
      </c>
      <c r="C87" s="7" t="s">
        <v>2</v>
      </c>
      <c r="D87" s="7" t="s">
        <v>11</v>
      </c>
      <c r="E87" s="7" t="s">
        <v>15</v>
      </c>
      <c r="F87" s="8">
        <v>438740</v>
      </c>
      <c r="G87" s="9">
        <v>27</v>
      </c>
      <c r="H87" s="10" t="s">
        <v>107</v>
      </c>
      <c r="I87" s="5" t="str">
        <f>CHOOSE(MATCH(B87,{"Январь","Февраль","Март","Апрель","Май","Июнь","Июль","Август","Сентябрь","Октябрь","Ноябрь","Декабрь"},0),
"Jan","Feb","Mar","Apr","May","Jun","Jul","Aug","Sep","Oct","Nov","Dec")</f>
        <v>Sep</v>
      </c>
    </row>
    <row r="88" spans="1:9" x14ac:dyDescent="0.35">
      <c r="A88" s="6">
        <v>2022</v>
      </c>
      <c r="B88" s="7" t="s">
        <v>103</v>
      </c>
      <c r="C88" s="7" t="s">
        <v>22</v>
      </c>
      <c r="D88" s="7" t="s">
        <v>11</v>
      </c>
      <c r="E88" s="7" t="s">
        <v>4</v>
      </c>
      <c r="F88" s="8">
        <v>579020</v>
      </c>
      <c r="G88" s="9">
        <v>36</v>
      </c>
      <c r="H88" s="10" t="s">
        <v>108</v>
      </c>
      <c r="I88" s="5" t="str">
        <f>CHOOSE(MATCH(B88,{"Январь","Февраль","Март","Апрель","Май","Июнь","Июль","Август","Сентябрь","Октябрь","Ноябрь","Декабрь"},0),
"Jan","Feb","Mar","Apr","May","Jun","Jul","Aug","Sep","Oct","Nov","Dec")</f>
        <v>Sep</v>
      </c>
    </row>
    <row r="89" spans="1:9" x14ac:dyDescent="0.35">
      <c r="A89" s="6">
        <v>2022</v>
      </c>
      <c r="B89" s="7" t="s">
        <v>103</v>
      </c>
      <c r="C89" s="7" t="s">
        <v>10</v>
      </c>
      <c r="D89" s="7" t="s">
        <v>14</v>
      </c>
      <c r="E89" s="7" t="s">
        <v>4</v>
      </c>
      <c r="F89" s="8">
        <v>826170</v>
      </c>
      <c r="G89" s="9">
        <v>37</v>
      </c>
      <c r="H89" s="10" t="s">
        <v>109</v>
      </c>
      <c r="I89" s="5" t="str">
        <f>CHOOSE(MATCH(B89,{"Январь","Февраль","Март","Апрель","Май","Июнь","Июль","Август","Сентябрь","Октябрь","Ноябрь","Декабрь"},0),
"Jan","Feb","Mar","Apr","May","Jun","Jul","Aug","Sep","Oct","Nov","Dec")</f>
        <v>Sep</v>
      </c>
    </row>
    <row r="90" spans="1:9" x14ac:dyDescent="0.35">
      <c r="A90" s="6">
        <v>2022</v>
      </c>
      <c r="B90" s="7" t="s">
        <v>103</v>
      </c>
      <c r="C90" s="7" t="s">
        <v>17</v>
      </c>
      <c r="D90" s="7" t="s">
        <v>18</v>
      </c>
      <c r="E90" s="7" t="s">
        <v>12</v>
      </c>
      <c r="F90" s="8">
        <v>261580</v>
      </c>
      <c r="G90" s="9">
        <v>20</v>
      </c>
      <c r="H90" s="10" t="s">
        <v>110</v>
      </c>
      <c r="I90" s="5" t="str">
        <f>CHOOSE(MATCH(B90,{"Январь","Февраль","Март","Апрель","Май","Июнь","Июль","Август","Сентябрь","Октябрь","Ноябрь","Декабрь"},0),
"Jan","Feb","Mar","Apr","May","Jun","Jul","Aug","Sep","Oct","Nov","Dec")</f>
        <v>Sep</v>
      </c>
    </row>
    <row r="91" spans="1:9" x14ac:dyDescent="0.35">
      <c r="A91" s="6">
        <v>2022</v>
      </c>
      <c r="B91" s="7" t="s">
        <v>103</v>
      </c>
      <c r="C91" s="7" t="s">
        <v>22</v>
      </c>
      <c r="D91" s="7" t="s">
        <v>7</v>
      </c>
      <c r="E91" s="7" t="s">
        <v>4</v>
      </c>
      <c r="F91" s="8">
        <v>234970</v>
      </c>
      <c r="G91" s="9">
        <v>16</v>
      </c>
      <c r="H91" s="10" t="s">
        <v>111</v>
      </c>
      <c r="I91" s="5" t="str">
        <f>CHOOSE(MATCH(B91,{"Январь","Февраль","Март","Апрель","Май","Июнь","Июль","Август","Сентябрь","Октябрь","Ноябрь","Декабрь"},0),
"Jan","Feb","Mar","Apr","May","Jun","Jul","Aug","Sep","Oct","Nov","Dec")</f>
        <v>Sep</v>
      </c>
    </row>
    <row r="92" spans="1:9" x14ac:dyDescent="0.35">
      <c r="A92" s="6">
        <v>2022</v>
      </c>
      <c r="B92" s="7" t="s">
        <v>103</v>
      </c>
      <c r="C92" s="7" t="s">
        <v>10</v>
      </c>
      <c r="D92" s="7" t="s">
        <v>14</v>
      </c>
      <c r="E92" s="7" t="s">
        <v>12</v>
      </c>
      <c r="F92" s="8">
        <v>310700</v>
      </c>
      <c r="G92" s="9">
        <v>19</v>
      </c>
      <c r="H92" s="10" t="s">
        <v>112</v>
      </c>
      <c r="I92" s="5" t="str">
        <f>CHOOSE(MATCH(B92,{"Январь","Февраль","Март","Апрель","Май","Июнь","Июль","Август","Сентябрь","Октябрь","Ноябрь","Декабрь"},0),
"Jan","Feb","Mar","Apr","May","Jun","Jul","Aug","Sep","Oct","Nov","Dec")</f>
        <v>Sep</v>
      </c>
    </row>
    <row r="93" spans="1:9" x14ac:dyDescent="0.35">
      <c r="A93" s="6">
        <v>2022</v>
      </c>
      <c r="B93" s="7" t="s">
        <v>103</v>
      </c>
      <c r="C93" s="7" t="s">
        <v>2</v>
      </c>
      <c r="D93" s="7" t="s">
        <v>18</v>
      </c>
      <c r="E93" s="7" t="s">
        <v>15</v>
      </c>
      <c r="F93" s="8">
        <v>207950</v>
      </c>
      <c r="G93" s="9">
        <v>13</v>
      </c>
      <c r="H93" s="10" t="s">
        <v>113</v>
      </c>
      <c r="I93" s="5" t="str">
        <f>CHOOSE(MATCH(B93,{"Январь","Февраль","Март","Апрель","Май","Июнь","Июль","Август","Сентябрь","Октябрь","Ноябрь","Декабрь"},0),
"Jan","Feb","Mar","Apr","May","Jun","Jul","Aug","Sep","Oct","Nov","Dec")</f>
        <v>Sep</v>
      </c>
    </row>
    <row r="94" spans="1:9" x14ac:dyDescent="0.35">
      <c r="A94" s="6">
        <v>2022</v>
      </c>
      <c r="B94" s="7" t="s">
        <v>114</v>
      </c>
      <c r="C94" s="7" t="s">
        <v>22</v>
      </c>
      <c r="D94" s="7" t="s">
        <v>18</v>
      </c>
      <c r="E94" s="7" t="s">
        <v>4</v>
      </c>
      <c r="F94" s="8">
        <v>324280</v>
      </c>
      <c r="G94" s="9">
        <v>22</v>
      </c>
      <c r="H94" s="10" t="s">
        <v>115</v>
      </c>
      <c r="I94" s="5" t="str">
        <f>CHOOSE(MATCH(B94,{"Январь","Февраль","Март","Апрель","Май","Июнь","Июль","Август","Сентябрь","Октябрь","Ноябрь","Декабрь"},0),
"Jan","Feb","Mar","Apr","May","Jun","Jul","Aug","Sep","Oct","Nov","Dec")</f>
        <v>Oct</v>
      </c>
    </row>
    <row r="95" spans="1:9" x14ac:dyDescent="0.35">
      <c r="A95" s="6">
        <v>2022</v>
      </c>
      <c r="B95" s="7" t="s">
        <v>114</v>
      </c>
      <c r="C95" s="7" t="s">
        <v>17</v>
      </c>
      <c r="D95" s="7" t="s">
        <v>7</v>
      </c>
      <c r="E95" s="7" t="s">
        <v>15</v>
      </c>
      <c r="F95" s="8">
        <v>561590</v>
      </c>
      <c r="G95" s="9">
        <v>38</v>
      </c>
      <c r="H95" s="10" t="s">
        <v>116</v>
      </c>
      <c r="I95" s="5" t="str">
        <f>CHOOSE(MATCH(B95,{"Январь","Февраль","Март","Апрель","Май","Июнь","Июль","Август","Сентябрь","Октябрь","Ноябрь","Декабрь"},0),
"Jan","Feb","Mar","Apr","May","Jun","Jul","Aug","Sep","Oct","Nov","Dec")</f>
        <v>Oct</v>
      </c>
    </row>
    <row r="96" spans="1:9" x14ac:dyDescent="0.35">
      <c r="A96" s="6">
        <v>2022</v>
      </c>
      <c r="B96" s="7" t="s">
        <v>114</v>
      </c>
      <c r="C96" s="7" t="s">
        <v>2</v>
      </c>
      <c r="D96" s="7" t="s">
        <v>3</v>
      </c>
      <c r="E96" s="7" t="s">
        <v>8</v>
      </c>
      <c r="F96" s="8">
        <v>734730</v>
      </c>
      <c r="G96" s="9">
        <v>32</v>
      </c>
      <c r="H96" s="10" t="s">
        <v>117</v>
      </c>
      <c r="I96" s="5" t="str">
        <f>CHOOSE(MATCH(B96,{"Январь","Февраль","Март","Апрель","Май","Июнь","Июль","Август","Сентябрь","Октябрь","Ноябрь","Декабрь"},0),
"Jan","Feb","Mar","Apr","May","Jun","Jul","Aug","Sep","Oct","Nov","Dec")</f>
        <v>Oct</v>
      </c>
    </row>
    <row r="97" spans="1:9" x14ac:dyDescent="0.35">
      <c r="A97" s="6">
        <v>2022</v>
      </c>
      <c r="B97" s="7" t="s">
        <v>114</v>
      </c>
      <c r="C97" s="7" t="s">
        <v>6</v>
      </c>
      <c r="D97" s="7" t="s">
        <v>11</v>
      </c>
      <c r="E97" s="7" t="s">
        <v>8</v>
      </c>
      <c r="F97" s="8">
        <v>683950</v>
      </c>
      <c r="G97" s="9">
        <v>36</v>
      </c>
      <c r="H97" s="10" t="s">
        <v>118</v>
      </c>
      <c r="I97" s="5" t="str">
        <f>CHOOSE(MATCH(B97,{"Январь","Февраль","Март","Апрель","Май","Июнь","Июль","Август","Сентябрь","Октябрь","Ноябрь","Декабрь"},0),
"Jan","Feb","Mar","Apr","May","Jun","Jul","Aug","Sep","Oct","Nov","Dec")</f>
        <v>Oct</v>
      </c>
    </row>
    <row r="98" spans="1:9" x14ac:dyDescent="0.35">
      <c r="A98" s="6">
        <v>2022</v>
      </c>
      <c r="B98" s="7" t="s">
        <v>114</v>
      </c>
      <c r="C98" s="7" t="s">
        <v>2</v>
      </c>
      <c r="D98" s="7" t="s">
        <v>11</v>
      </c>
      <c r="E98" s="7" t="s">
        <v>4</v>
      </c>
      <c r="F98" s="8">
        <v>498040</v>
      </c>
      <c r="G98" s="9">
        <v>26</v>
      </c>
      <c r="H98" s="10" t="s">
        <v>119</v>
      </c>
      <c r="I98" s="5" t="str">
        <f>CHOOSE(MATCH(B98,{"Январь","Февраль","Март","Апрель","Май","Июнь","Июль","Август","Сентябрь","Октябрь","Ноябрь","Декабрь"},0),
"Jan","Feb","Mar","Apr","May","Jun","Jul","Aug","Sep","Oct","Nov","Dec")</f>
        <v>Oct</v>
      </c>
    </row>
    <row r="99" spans="1:9" x14ac:dyDescent="0.35">
      <c r="A99" s="6">
        <v>2022</v>
      </c>
      <c r="B99" s="7" t="s">
        <v>114</v>
      </c>
      <c r="C99" s="7" t="s">
        <v>6</v>
      </c>
      <c r="D99" s="7" t="s">
        <v>18</v>
      </c>
      <c r="E99" s="7" t="s">
        <v>15</v>
      </c>
      <c r="F99" s="8">
        <v>553490</v>
      </c>
      <c r="G99" s="9">
        <v>41</v>
      </c>
      <c r="H99" s="10" t="s">
        <v>120</v>
      </c>
      <c r="I99" s="5" t="str">
        <f>CHOOSE(MATCH(B99,{"Январь","Февраль","Март","Апрель","Май","Июнь","Июль","Август","Сентябрь","Октябрь","Ноябрь","Декабрь"},0),
"Jan","Feb","Mar","Apr","May","Jun","Jul","Aug","Sep","Oct","Nov","Dec")</f>
        <v>Oct</v>
      </c>
    </row>
    <row r="100" spans="1:9" x14ac:dyDescent="0.35">
      <c r="A100" s="6">
        <v>2022</v>
      </c>
      <c r="B100" s="7" t="s">
        <v>114</v>
      </c>
      <c r="C100" s="7" t="s">
        <v>10</v>
      </c>
      <c r="D100" s="7" t="s">
        <v>11</v>
      </c>
      <c r="E100" s="7" t="s">
        <v>12</v>
      </c>
      <c r="F100" s="8">
        <v>469050</v>
      </c>
      <c r="G100" s="9">
        <v>27</v>
      </c>
      <c r="H100" s="10" t="s">
        <v>121</v>
      </c>
      <c r="I100" s="5" t="str">
        <f>CHOOSE(MATCH(B100,{"Январь","Февраль","Март","Апрель","Май","Июнь","Июль","Август","Сентябрь","Октябрь","Ноябрь","Декабрь"},0),
"Jan","Feb","Mar","Apr","May","Jun","Jul","Aug","Sep","Oct","Nov","Dec")</f>
        <v>Oct</v>
      </c>
    </row>
    <row r="101" spans="1:9" x14ac:dyDescent="0.35">
      <c r="A101" s="6">
        <v>2022</v>
      </c>
      <c r="B101" s="7" t="s">
        <v>114</v>
      </c>
      <c r="C101" s="7" t="s">
        <v>6</v>
      </c>
      <c r="D101" s="7" t="s">
        <v>11</v>
      </c>
      <c r="E101" s="7" t="s">
        <v>15</v>
      </c>
      <c r="F101" s="8">
        <v>314410</v>
      </c>
      <c r="G101" s="9">
        <v>21</v>
      </c>
      <c r="H101" s="10" t="s">
        <v>122</v>
      </c>
      <c r="I101" s="5" t="str">
        <f>CHOOSE(MATCH(B101,{"Январь","Февраль","Март","Апрель","Май","Июнь","Июль","Август","Сентябрь","Октябрь","Ноябрь","Декабрь"},0),
"Jan","Feb","Mar","Apr","May","Jun","Jul","Aug","Sep","Oct","Nov","Dec")</f>
        <v>Oct</v>
      </c>
    </row>
    <row r="102" spans="1:9" x14ac:dyDescent="0.35">
      <c r="A102" s="6">
        <v>2022</v>
      </c>
      <c r="B102" s="7" t="s">
        <v>114</v>
      </c>
      <c r="C102" s="7" t="s">
        <v>6</v>
      </c>
      <c r="D102" s="7" t="s">
        <v>3</v>
      </c>
      <c r="E102" s="7" t="s">
        <v>12</v>
      </c>
      <c r="F102" s="8">
        <v>444330</v>
      </c>
      <c r="G102" s="9">
        <v>37</v>
      </c>
      <c r="H102" s="10" t="s">
        <v>123</v>
      </c>
      <c r="I102" s="5" t="str">
        <f>CHOOSE(MATCH(B102,{"Январь","Февраль","Март","Апрель","Май","Июнь","Июль","Август","Сентябрь","Октябрь","Ноябрь","Декабрь"},0),
"Jan","Feb","Mar","Apr","May","Jun","Jul","Aug","Sep","Oct","Nov","Dec")</f>
        <v>Oct</v>
      </c>
    </row>
    <row r="103" spans="1:9" x14ac:dyDescent="0.35">
      <c r="A103" s="6">
        <v>2022</v>
      </c>
      <c r="B103" s="7" t="s">
        <v>114</v>
      </c>
      <c r="C103" s="7" t="s">
        <v>6</v>
      </c>
      <c r="D103" s="7" t="s">
        <v>7</v>
      </c>
      <c r="E103" s="7" t="s">
        <v>4</v>
      </c>
      <c r="F103" s="8">
        <v>264590</v>
      </c>
      <c r="G103" s="9">
        <v>17</v>
      </c>
      <c r="H103" s="10" t="s">
        <v>124</v>
      </c>
      <c r="I103" s="5" t="str">
        <f>CHOOSE(MATCH(B103,{"Январь","Февраль","Март","Апрель","Май","Июнь","Июль","Август","Сентябрь","Октябрь","Ноябрь","Декабрь"},0),
"Jan","Feb","Mar","Apr","May","Jun","Jul","Aug","Sep","Oct","Nov","Dec")</f>
        <v>Oct</v>
      </c>
    </row>
    <row r="104" spans="1:9" x14ac:dyDescent="0.35">
      <c r="A104" s="6">
        <v>2022</v>
      </c>
      <c r="B104" s="7" t="s">
        <v>125</v>
      </c>
      <c r="C104" s="7" t="s">
        <v>10</v>
      </c>
      <c r="D104" s="7" t="s">
        <v>14</v>
      </c>
      <c r="E104" s="7" t="s">
        <v>8</v>
      </c>
      <c r="F104" s="8">
        <v>698350</v>
      </c>
      <c r="G104" s="9">
        <v>27</v>
      </c>
      <c r="H104" s="10" t="s">
        <v>126</v>
      </c>
      <c r="I104" s="5" t="str">
        <f>CHOOSE(MATCH(B104,{"Январь","Февраль","Март","Апрель","Май","Июнь","Июль","Август","Сентябрь","Октябрь","Ноябрь","Декабрь"},0),
"Jan","Feb","Mar","Apr","May","Jun","Jul","Aug","Sep","Oct","Nov","Dec")</f>
        <v>Nov</v>
      </c>
    </row>
    <row r="105" spans="1:9" x14ac:dyDescent="0.35">
      <c r="A105" s="6">
        <v>2022</v>
      </c>
      <c r="B105" s="7" t="s">
        <v>125</v>
      </c>
      <c r="C105" s="7" t="s">
        <v>10</v>
      </c>
      <c r="D105" s="7" t="s">
        <v>7</v>
      </c>
      <c r="E105" s="7" t="s">
        <v>8</v>
      </c>
      <c r="F105" s="8">
        <v>743230</v>
      </c>
      <c r="G105" s="9">
        <v>30</v>
      </c>
      <c r="H105" s="10" t="s">
        <v>127</v>
      </c>
      <c r="I105" s="5" t="str">
        <f>CHOOSE(MATCH(B105,{"Январь","Февраль","Март","Апрель","Май","Июнь","Июль","Август","Сентябрь","Октябрь","Ноябрь","Декабрь"},0),
"Jan","Feb","Mar","Apr","May","Jun","Jul","Aug","Sep","Oct","Nov","Dec")</f>
        <v>Nov</v>
      </c>
    </row>
    <row r="106" spans="1:9" x14ac:dyDescent="0.35">
      <c r="A106" s="6">
        <v>2022</v>
      </c>
      <c r="B106" s="7" t="s">
        <v>125</v>
      </c>
      <c r="C106" s="7" t="s">
        <v>2</v>
      </c>
      <c r="D106" s="7" t="s">
        <v>14</v>
      </c>
      <c r="E106" s="7" t="s">
        <v>12</v>
      </c>
      <c r="F106" s="8">
        <v>390590</v>
      </c>
      <c r="G106" s="9">
        <v>28</v>
      </c>
      <c r="H106" s="10" t="s">
        <v>128</v>
      </c>
      <c r="I106" s="5" t="str">
        <f>CHOOSE(MATCH(B106,{"Январь","Февраль","Март","Апрель","Май","Июнь","Июль","Август","Сентябрь","Октябрь","Ноябрь","Декабрь"},0),
"Jan","Feb","Mar","Apr","May","Jun","Jul","Aug","Sep","Oct","Nov","Dec")</f>
        <v>Nov</v>
      </c>
    </row>
    <row r="107" spans="1:9" x14ac:dyDescent="0.35">
      <c r="A107" s="6">
        <v>2022</v>
      </c>
      <c r="B107" s="7" t="s">
        <v>125</v>
      </c>
      <c r="C107" s="7" t="s">
        <v>22</v>
      </c>
      <c r="D107" s="7" t="s">
        <v>11</v>
      </c>
      <c r="E107" s="7" t="s">
        <v>8</v>
      </c>
      <c r="F107" s="8">
        <v>620670</v>
      </c>
      <c r="G107" s="9">
        <v>34</v>
      </c>
      <c r="H107" s="10" t="s">
        <v>129</v>
      </c>
      <c r="I107" s="5" t="str">
        <f>CHOOSE(MATCH(B107,{"Январь","Февраль","Март","Апрель","Май","Июнь","Июль","Август","Сентябрь","Октябрь","Ноябрь","Декабрь"},0),
"Jan","Feb","Mar","Apr","May","Jun","Jul","Aug","Sep","Oct","Nov","Dec")</f>
        <v>Nov</v>
      </c>
    </row>
    <row r="108" spans="1:9" x14ac:dyDescent="0.35">
      <c r="A108" s="6">
        <v>2022</v>
      </c>
      <c r="B108" s="7" t="s">
        <v>125</v>
      </c>
      <c r="C108" s="7" t="s">
        <v>6</v>
      </c>
      <c r="D108" s="7" t="s">
        <v>14</v>
      </c>
      <c r="E108" s="7" t="s">
        <v>8</v>
      </c>
      <c r="F108" s="8">
        <v>745810</v>
      </c>
      <c r="G108" s="9">
        <v>39</v>
      </c>
      <c r="H108" s="10" t="s">
        <v>130</v>
      </c>
      <c r="I108" s="5" t="str">
        <f>CHOOSE(MATCH(B108,{"Январь","Февраль","Март","Апрель","Май","Июнь","Июль","Август","Сентябрь","Октябрь","Ноябрь","Декабрь"},0),
"Jan","Feb","Mar","Apr","May","Jun","Jul","Aug","Sep","Oct","Nov","Dec")</f>
        <v>Nov</v>
      </c>
    </row>
    <row r="109" spans="1:9" x14ac:dyDescent="0.35">
      <c r="A109" s="6">
        <v>2022</v>
      </c>
      <c r="B109" s="7" t="s">
        <v>125</v>
      </c>
      <c r="C109" s="7" t="s">
        <v>6</v>
      </c>
      <c r="D109" s="7" t="s">
        <v>11</v>
      </c>
      <c r="E109" s="7" t="s">
        <v>15</v>
      </c>
      <c r="F109" s="8">
        <v>319370</v>
      </c>
      <c r="G109" s="9">
        <v>23</v>
      </c>
      <c r="H109" s="10" t="s">
        <v>131</v>
      </c>
      <c r="I109" s="5" t="str">
        <f>CHOOSE(MATCH(B109,{"Январь","Февраль","Март","Апрель","Май","Июнь","Июль","Август","Сентябрь","Октябрь","Ноябрь","Декабрь"},0),
"Jan","Feb","Mar","Apr","May","Jun","Jul","Aug","Sep","Oct","Nov","Dec")</f>
        <v>Nov</v>
      </c>
    </row>
    <row r="110" spans="1:9" x14ac:dyDescent="0.35">
      <c r="A110" s="6">
        <v>2022</v>
      </c>
      <c r="B110" s="7" t="s">
        <v>125</v>
      </c>
      <c r="C110" s="7" t="s">
        <v>2</v>
      </c>
      <c r="D110" s="7" t="s">
        <v>18</v>
      </c>
      <c r="E110" s="7" t="s">
        <v>15</v>
      </c>
      <c r="F110" s="8">
        <v>254240</v>
      </c>
      <c r="G110" s="9">
        <v>15</v>
      </c>
      <c r="H110" s="10" t="s">
        <v>132</v>
      </c>
      <c r="I110" s="5" t="str">
        <f>CHOOSE(MATCH(B110,{"Январь","Февраль","Март","Апрель","Май","Июнь","Июль","Август","Сентябрь","Октябрь","Ноябрь","Декабрь"},0),
"Jan","Feb","Mar","Apr","May","Jun","Jul","Aug","Sep","Oct","Nov","Dec")</f>
        <v>Nov</v>
      </c>
    </row>
    <row r="111" spans="1:9" x14ac:dyDescent="0.35">
      <c r="A111" s="6">
        <v>2022</v>
      </c>
      <c r="B111" s="7" t="s">
        <v>125</v>
      </c>
      <c r="C111" s="7" t="s">
        <v>10</v>
      </c>
      <c r="D111" s="7" t="s">
        <v>7</v>
      </c>
      <c r="E111" s="7" t="s">
        <v>4</v>
      </c>
      <c r="F111" s="8">
        <v>568030</v>
      </c>
      <c r="G111" s="9">
        <v>27</v>
      </c>
      <c r="H111" s="10" t="s">
        <v>133</v>
      </c>
      <c r="I111" s="5" t="str">
        <f>CHOOSE(MATCH(B111,{"Январь","Февраль","Март","Апрель","Май","Июнь","Июль","Август","Сентябрь","Октябрь","Ноябрь","Декабрь"},0),
"Jan","Feb","Mar","Apr","May","Jun","Jul","Aug","Sep","Oct","Nov","Dec")</f>
        <v>Nov</v>
      </c>
    </row>
    <row r="112" spans="1:9" x14ac:dyDescent="0.35">
      <c r="A112" s="6">
        <v>2022</v>
      </c>
      <c r="B112" s="7" t="s">
        <v>125</v>
      </c>
      <c r="C112" s="7" t="s">
        <v>2</v>
      </c>
      <c r="D112" s="7" t="s">
        <v>18</v>
      </c>
      <c r="E112" s="7" t="s">
        <v>8</v>
      </c>
      <c r="F112" s="8">
        <v>683130</v>
      </c>
      <c r="G112" s="9">
        <v>32</v>
      </c>
      <c r="H112" s="10" t="s">
        <v>134</v>
      </c>
      <c r="I112" s="5" t="str">
        <f>CHOOSE(MATCH(B112,{"Январь","Февраль","Март","Апрель","Май","Июнь","Июль","Август","Сентябрь","Октябрь","Ноябрь","Декабрь"},0),
"Jan","Feb","Mar","Apr","May","Jun","Jul","Aug","Sep","Oct","Nov","Dec")</f>
        <v>Nov</v>
      </c>
    </row>
    <row r="113" spans="1:9" x14ac:dyDescent="0.35">
      <c r="A113" s="6">
        <v>2022</v>
      </c>
      <c r="B113" s="7" t="s">
        <v>125</v>
      </c>
      <c r="C113" s="7" t="s">
        <v>22</v>
      </c>
      <c r="D113" s="7" t="s">
        <v>18</v>
      </c>
      <c r="E113" s="7" t="s">
        <v>4</v>
      </c>
      <c r="F113" s="8">
        <v>348330</v>
      </c>
      <c r="G113" s="9">
        <v>24</v>
      </c>
      <c r="H113" s="10" t="s">
        <v>135</v>
      </c>
      <c r="I113" s="5" t="str">
        <f>CHOOSE(MATCH(B113,{"Январь","Февраль","Март","Апрель","Май","Июнь","Июль","Август","Сентябрь","Октябрь","Ноябрь","Декабрь"},0),
"Jan","Feb","Mar","Apr","May","Jun","Jul","Aug","Sep","Oct","Nov","Dec")</f>
        <v>Nov</v>
      </c>
    </row>
    <row r="114" spans="1:9" x14ac:dyDescent="0.35">
      <c r="A114" s="6">
        <v>2022</v>
      </c>
      <c r="B114" s="7" t="s">
        <v>136</v>
      </c>
      <c r="C114" s="7" t="s">
        <v>17</v>
      </c>
      <c r="D114" s="7" t="s">
        <v>14</v>
      </c>
      <c r="E114" s="7" t="s">
        <v>4</v>
      </c>
      <c r="F114" s="8">
        <v>724970</v>
      </c>
      <c r="G114" s="9">
        <v>41</v>
      </c>
      <c r="H114" s="10" t="s">
        <v>137</v>
      </c>
      <c r="I114" s="5" t="str">
        <f>CHOOSE(MATCH(B114,{"Январь","Февраль","Март","Апрель","Май","Июнь","Июль","Август","Сентябрь","Октябрь","Ноябрь","Декабрь"},0),
"Jan","Feb","Mar","Apr","May","Jun","Jul","Aug","Sep","Oct","Nov","Dec")</f>
        <v>Dec</v>
      </c>
    </row>
    <row r="115" spans="1:9" x14ac:dyDescent="0.35">
      <c r="A115" s="6">
        <v>2022</v>
      </c>
      <c r="B115" s="7" t="s">
        <v>136</v>
      </c>
      <c r="C115" s="7" t="s">
        <v>6</v>
      </c>
      <c r="D115" s="7" t="s">
        <v>14</v>
      </c>
      <c r="E115" s="7" t="s">
        <v>12</v>
      </c>
      <c r="F115" s="8">
        <v>334910</v>
      </c>
      <c r="G115" s="9">
        <v>28</v>
      </c>
      <c r="H115" s="10" t="s">
        <v>138</v>
      </c>
      <c r="I115" s="5" t="str">
        <f>CHOOSE(MATCH(B115,{"Январь","Февраль","Март","Апрель","Май","Июнь","Июль","Август","Сентябрь","Октябрь","Ноябрь","Декабрь"},0),
"Jan","Feb","Mar","Apr","May","Jun","Jul","Aug","Sep","Oct","Nov","Dec")</f>
        <v>Dec</v>
      </c>
    </row>
    <row r="116" spans="1:9" x14ac:dyDescent="0.35">
      <c r="A116" s="6">
        <v>2022</v>
      </c>
      <c r="B116" s="7" t="s">
        <v>136</v>
      </c>
      <c r="C116" s="7" t="s">
        <v>2</v>
      </c>
      <c r="D116" s="7" t="s">
        <v>7</v>
      </c>
      <c r="E116" s="7" t="s">
        <v>12</v>
      </c>
      <c r="F116" s="8">
        <v>380170</v>
      </c>
      <c r="G116" s="9">
        <v>29</v>
      </c>
      <c r="H116" s="10" t="s">
        <v>139</v>
      </c>
      <c r="I116" s="5" t="str">
        <f>CHOOSE(MATCH(B116,{"Январь","Февраль","Март","Апрель","Май","Июнь","Июль","Август","Сентябрь","Октябрь","Ноябрь","Декабрь"},0),
"Jan","Feb","Mar","Apr","May","Jun","Jul","Aug","Sep","Oct","Nov","Dec")</f>
        <v>Dec</v>
      </c>
    </row>
    <row r="117" spans="1:9" x14ac:dyDescent="0.35">
      <c r="A117" s="6">
        <v>2022</v>
      </c>
      <c r="B117" s="7" t="s">
        <v>136</v>
      </c>
      <c r="C117" s="7" t="s">
        <v>17</v>
      </c>
      <c r="D117" s="7" t="s">
        <v>3</v>
      </c>
      <c r="E117" s="7" t="s">
        <v>8</v>
      </c>
      <c r="F117" s="8">
        <v>326620</v>
      </c>
      <c r="G117" s="9">
        <v>16</v>
      </c>
      <c r="H117" s="10" t="s">
        <v>140</v>
      </c>
      <c r="I117" s="5" t="str">
        <f>CHOOSE(MATCH(B117,{"Январь","Февраль","Март","Апрель","Май","Июнь","Июль","Август","Сентябрь","Октябрь","Ноябрь","Декабрь"},0),
"Jan","Feb","Mar","Apr","May","Jun","Jul","Aug","Sep","Oct","Nov","Dec")</f>
        <v>Dec</v>
      </c>
    </row>
    <row r="118" spans="1:9" x14ac:dyDescent="0.35">
      <c r="A118" s="6">
        <v>2022</v>
      </c>
      <c r="B118" s="7" t="s">
        <v>136</v>
      </c>
      <c r="C118" s="7" t="s">
        <v>6</v>
      </c>
      <c r="D118" s="7" t="s">
        <v>14</v>
      </c>
      <c r="E118" s="7" t="s">
        <v>8</v>
      </c>
      <c r="F118" s="8">
        <v>591640</v>
      </c>
      <c r="G118" s="9">
        <v>31</v>
      </c>
      <c r="H118" s="10" t="s">
        <v>141</v>
      </c>
      <c r="I118" s="5" t="str">
        <f>CHOOSE(MATCH(B118,{"Январь","Февраль","Март","Апрель","Май","Июнь","Июль","Август","Сентябрь","Октябрь","Ноябрь","Декабрь"},0),
"Jan","Feb","Mar","Apr","May","Jun","Jul","Aug","Sep","Oct","Nov","Dec")</f>
        <v>Dec</v>
      </c>
    </row>
    <row r="119" spans="1:9" x14ac:dyDescent="0.35">
      <c r="A119" s="6">
        <v>2022</v>
      </c>
      <c r="B119" s="7" t="s">
        <v>136</v>
      </c>
      <c r="C119" s="7" t="s">
        <v>22</v>
      </c>
      <c r="D119" s="7" t="s">
        <v>7</v>
      </c>
      <c r="E119" s="7" t="s">
        <v>8</v>
      </c>
      <c r="F119" s="8">
        <v>191220</v>
      </c>
      <c r="G119" s="9">
        <v>12</v>
      </c>
      <c r="H119" s="10" t="s">
        <v>142</v>
      </c>
      <c r="I119" s="5" t="str">
        <f>CHOOSE(MATCH(B119,{"Январь","Февраль","Март","Апрель","Май","Июнь","Июль","Август","Сентябрь","Октябрь","Ноябрь","Декабрь"},0),
"Jan","Feb","Mar","Apr","May","Jun","Jul","Aug","Sep","Oct","Nov","Dec")</f>
        <v>Dec</v>
      </c>
    </row>
    <row r="120" spans="1:9" x14ac:dyDescent="0.35">
      <c r="A120" s="6">
        <v>2022</v>
      </c>
      <c r="B120" s="7" t="s">
        <v>136</v>
      </c>
      <c r="C120" s="7" t="s">
        <v>2</v>
      </c>
      <c r="D120" s="7" t="s">
        <v>7</v>
      </c>
      <c r="E120" s="7" t="s">
        <v>8</v>
      </c>
      <c r="F120" s="8">
        <v>365210</v>
      </c>
      <c r="G120" s="9">
        <v>18</v>
      </c>
      <c r="H120" s="10" t="s">
        <v>143</v>
      </c>
      <c r="I120" s="5" t="str">
        <f>CHOOSE(MATCH(B120,{"Январь","Февраль","Март","Апрель","Май","Июнь","Июль","Август","Сентябрь","Октябрь","Ноябрь","Декабрь"},0),
"Jan","Feb","Mar","Apr","May","Jun","Jul","Aug","Sep","Oct","Nov","Dec")</f>
        <v>Dec</v>
      </c>
    </row>
    <row r="121" spans="1:9" x14ac:dyDescent="0.35">
      <c r="A121" s="6">
        <v>2022</v>
      </c>
      <c r="B121" s="7" t="s">
        <v>136</v>
      </c>
      <c r="C121" s="7" t="s">
        <v>17</v>
      </c>
      <c r="D121" s="7" t="s">
        <v>7</v>
      </c>
      <c r="E121" s="7" t="s">
        <v>15</v>
      </c>
      <c r="F121" s="8">
        <v>312000</v>
      </c>
      <c r="G121" s="9">
        <v>22</v>
      </c>
      <c r="H121" s="10" t="s">
        <v>144</v>
      </c>
      <c r="I121" s="5" t="str">
        <f>CHOOSE(MATCH(B121,{"Январь","Февраль","Март","Апрель","Май","Июнь","Июль","Август","Сентябрь","Октябрь","Ноябрь","Декабрь"},0),
"Jan","Feb","Mar","Apr","May","Jun","Jul","Aug","Sep","Oct","Nov","Dec")</f>
        <v>Dec</v>
      </c>
    </row>
    <row r="122" spans="1:9" x14ac:dyDescent="0.35">
      <c r="A122" s="6">
        <v>2022</v>
      </c>
      <c r="B122" s="7" t="s">
        <v>136</v>
      </c>
      <c r="C122" s="7" t="s">
        <v>2</v>
      </c>
      <c r="D122" s="7" t="s">
        <v>3</v>
      </c>
      <c r="E122" s="7" t="s">
        <v>4</v>
      </c>
      <c r="F122" s="8">
        <v>757120</v>
      </c>
      <c r="G122" s="9">
        <v>38</v>
      </c>
      <c r="H122" s="10" t="s">
        <v>145</v>
      </c>
      <c r="I122" s="5" t="str">
        <f>CHOOSE(MATCH(B122,{"Январь","Февраль","Март","Апрель","Май","Июнь","Июль","Август","Сентябрь","Октябрь","Ноябрь","Декабрь"},0),
"Jan","Feb","Mar","Apr","May","Jun","Jul","Aug","Sep","Oct","Nov","Dec")</f>
        <v>Dec</v>
      </c>
    </row>
    <row r="123" spans="1:9" x14ac:dyDescent="0.35">
      <c r="A123" s="6">
        <v>2022</v>
      </c>
      <c r="B123" s="7" t="s">
        <v>136</v>
      </c>
      <c r="C123" s="7" t="s">
        <v>6</v>
      </c>
      <c r="D123" s="7" t="s">
        <v>18</v>
      </c>
      <c r="E123" s="7" t="s">
        <v>4</v>
      </c>
      <c r="F123" s="8">
        <v>338630</v>
      </c>
      <c r="G123" s="9">
        <v>21</v>
      </c>
      <c r="H123" s="10" t="s">
        <v>146</v>
      </c>
      <c r="I123" s="5" t="str">
        <f>CHOOSE(MATCH(B123,{"Январь","Февраль","Март","Апрель","Май","Июнь","Июль","Август","Сентябрь","Октябрь","Ноябрь","Декабрь"},0),
"Jan","Feb","Mar","Apr","May","Jun","Jul","Aug","Sep","Oct","Nov","Dec")</f>
        <v>Dec</v>
      </c>
    </row>
    <row r="124" spans="1:9" x14ac:dyDescent="0.35">
      <c r="A124" s="6">
        <v>2023</v>
      </c>
      <c r="B124" s="7" t="s">
        <v>1</v>
      </c>
      <c r="C124" s="7" t="s">
        <v>10</v>
      </c>
      <c r="D124" s="7" t="s">
        <v>11</v>
      </c>
      <c r="E124" s="7" t="s">
        <v>4</v>
      </c>
      <c r="F124" s="8">
        <v>918250</v>
      </c>
      <c r="G124" s="9">
        <v>40</v>
      </c>
      <c r="H124" s="10" t="s">
        <v>147</v>
      </c>
      <c r="I124" s="5" t="str">
        <f>CHOOSE(MATCH(B124,{"Январь","Февраль","Март","Апрель","Май","Июнь","Июль","Август","Сентябрь","Октябрь","Ноябрь","Декабрь"},0),
"Jan","Feb","Mar","Apr","May","Jun","Jul","Aug","Sep","Oct","Nov","Dec")</f>
        <v>Jan</v>
      </c>
    </row>
    <row r="125" spans="1:9" x14ac:dyDescent="0.35">
      <c r="A125" s="6">
        <v>2023</v>
      </c>
      <c r="B125" s="7" t="s">
        <v>1</v>
      </c>
      <c r="C125" s="7" t="s">
        <v>17</v>
      </c>
      <c r="D125" s="7" t="s">
        <v>3</v>
      </c>
      <c r="E125" s="7" t="s">
        <v>4</v>
      </c>
      <c r="F125" s="8">
        <v>701990</v>
      </c>
      <c r="G125" s="9">
        <v>37</v>
      </c>
      <c r="H125" s="10" t="s">
        <v>148</v>
      </c>
      <c r="I125" s="5" t="str">
        <f>CHOOSE(MATCH(B125,{"Январь","Февраль","Март","Апрель","Май","Июнь","Июль","Август","Сентябрь","Октябрь","Ноябрь","Декабрь"},0),
"Jan","Feb","Mar","Apr","May","Jun","Jul","Aug","Sep","Oct","Nov","Dec")</f>
        <v>Jan</v>
      </c>
    </row>
    <row r="126" spans="1:9" x14ac:dyDescent="0.35">
      <c r="A126" s="6">
        <v>2023</v>
      </c>
      <c r="B126" s="7" t="s">
        <v>1</v>
      </c>
      <c r="C126" s="7" t="s">
        <v>17</v>
      </c>
      <c r="D126" s="7" t="s">
        <v>14</v>
      </c>
      <c r="E126" s="7" t="s">
        <v>8</v>
      </c>
      <c r="F126" s="8">
        <v>337150</v>
      </c>
      <c r="G126" s="9">
        <v>17</v>
      </c>
      <c r="H126" s="10" t="s">
        <v>149</v>
      </c>
      <c r="I126" s="5" t="str">
        <f>CHOOSE(MATCH(B126,{"Январь","Февраль","Март","Апрель","Май","Июнь","Июль","Август","Сентябрь","Октябрь","Ноябрь","Декабрь"},0),
"Jan","Feb","Mar","Apr","May","Jun","Jul","Aug","Sep","Oct","Nov","Dec")</f>
        <v>Jan</v>
      </c>
    </row>
    <row r="127" spans="1:9" x14ac:dyDescent="0.35">
      <c r="A127" s="6">
        <v>2023</v>
      </c>
      <c r="B127" s="7" t="s">
        <v>1</v>
      </c>
      <c r="C127" s="7" t="s">
        <v>2</v>
      </c>
      <c r="D127" s="7" t="s">
        <v>11</v>
      </c>
      <c r="E127" s="7" t="s">
        <v>15</v>
      </c>
      <c r="F127" s="8">
        <v>438160</v>
      </c>
      <c r="G127" s="9">
        <v>27</v>
      </c>
      <c r="H127" s="10" t="s">
        <v>150</v>
      </c>
      <c r="I127" s="5" t="str">
        <f>CHOOSE(MATCH(B127,{"Январь","Февраль","Март","Апрель","Май","Июнь","Июль","Август","Сентябрь","Октябрь","Ноябрь","Декабрь"},0),
"Jan","Feb","Mar","Apr","May","Jun","Jul","Aug","Sep","Oct","Nov","Dec")</f>
        <v>Jan</v>
      </c>
    </row>
    <row r="128" spans="1:9" x14ac:dyDescent="0.35">
      <c r="A128" s="6">
        <v>2023</v>
      </c>
      <c r="B128" s="7" t="s">
        <v>1</v>
      </c>
      <c r="C128" s="7" t="s">
        <v>17</v>
      </c>
      <c r="D128" s="7" t="s">
        <v>3</v>
      </c>
      <c r="E128" s="7" t="s">
        <v>8</v>
      </c>
      <c r="F128" s="8">
        <v>469810</v>
      </c>
      <c r="G128" s="9">
        <v>22</v>
      </c>
      <c r="H128" s="10" t="s">
        <v>151</v>
      </c>
      <c r="I128" s="5" t="str">
        <f>CHOOSE(MATCH(B128,{"Январь","Февраль","Март","Апрель","Май","Июнь","Июль","Август","Сентябрь","Октябрь","Ноябрь","Декабрь"},0),
"Jan","Feb","Mar","Apr","May","Jun","Jul","Aug","Sep","Oct","Nov","Dec")</f>
        <v>Jan</v>
      </c>
    </row>
    <row r="129" spans="1:9" x14ac:dyDescent="0.35">
      <c r="A129" s="6">
        <v>2023</v>
      </c>
      <c r="B129" s="7" t="s">
        <v>1</v>
      </c>
      <c r="C129" s="7" t="s">
        <v>10</v>
      </c>
      <c r="D129" s="7" t="s">
        <v>3</v>
      </c>
      <c r="E129" s="7" t="s">
        <v>15</v>
      </c>
      <c r="F129" s="8">
        <v>219680</v>
      </c>
      <c r="G129" s="9">
        <v>12</v>
      </c>
      <c r="H129" s="10" t="s">
        <v>152</v>
      </c>
      <c r="I129" s="5" t="str">
        <f>CHOOSE(MATCH(B129,{"Январь","Февраль","Март","Апрель","Май","Июнь","Июль","Август","Сентябрь","Октябрь","Ноябрь","Декабрь"},0),
"Jan","Feb","Mar","Apr","May","Jun","Jul","Aug","Sep","Oct","Nov","Dec")</f>
        <v>Jan</v>
      </c>
    </row>
    <row r="130" spans="1:9" x14ac:dyDescent="0.35">
      <c r="A130" s="6">
        <v>2023</v>
      </c>
      <c r="B130" s="7" t="s">
        <v>1</v>
      </c>
      <c r="C130" s="7" t="s">
        <v>6</v>
      </c>
      <c r="D130" s="7" t="s">
        <v>7</v>
      </c>
      <c r="E130" s="7" t="s">
        <v>4</v>
      </c>
      <c r="F130" s="8">
        <v>208620</v>
      </c>
      <c r="G130" s="9">
        <v>12</v>
      </c>
      <c r="H130" s="10" t="s">
        <v>153</v>
      </c>
      <c r="I130" s="5" t="str">
        <f>CHOOSE(MATCH(B130,{"Январь","Февраль","Март","Апрель","Май","Июнь","Июль","Август","Сентябрь","Октябрь","Ноябрь","Декабрь"},0),
"Jan","Feb","Mar","Apr","May","Jun","Jul","Aug","Sep","Oct","Nov","Dec")</f>
        <v>Jan</v>
      </c>
    </row>
    <row r="131" spans="1:9" x14ac:dyDescent="0.35">
      <c r="A131" s="6">
        <v>2023</v>
      </c>
      <c r="B131" s="7" t="s">
        <v>1</v>
      </c>
      <c r="C131" s="7" t="s">
        <v>2</v>
      </c>
      <c r="D131" s="7" t="s">
        <v>7</v>
      </c>
      <c r="E131" s="7" t="s">
        <v>15</v>
      </c>
      <c r="F131" s="8">
        <v>237350</v>
      </c>
      <c r="G131" s="9">
        <v>14</v>
      </c>
      <c r="H131" s="10" t="s">
        <v>154</v>
      </c>
      <c r="I131" s="5" t="str">
        <f>CHOOSE(MATCH(B131,{"Январь","Февраль","Март","Апрель","Май","Июнь","Июль","Август","Сентябрь","Октябрь","Ноябрь","Декабрь"},0),
"Jan","Feb","Mar","Apr","May","Jun","Jul","Aug","Sep","Oct","Nov","Dec")</f>
        <v>Jan</v>
      </c>
    </row>
    <row r="132" spans="1:9" x14ac:dyDescent="0.35">
      <c r="A132" s="6">
        <v>2023</v>
      </c>
      <c r="B132" s="7" t="s">
        <v>1</v>
      </c>
      <c r="C132" s="7" t="s">
        <v>17</v>
      </c>
      <c r="D132" s="7" t="s">
        <v>14</v>
      </c>
      <c r="E132" s="7" t="s">
        <v>8</v>
      </c>
      <c r="F132" s="8">
        <v>504610</v>
      </c>
      <c r="G132" s="9">
        <v>24</v>
      </c>
      <c r="H132" s="10" t="s">
        <v>155</v>
      </c>
      <c r="I132" s="5" t="str">
        <f>CHOOSE(MATCH(B132,{"Январь","Февраль","Март","Апрель","Май","Июнь","Июль","Август","Сентябрь","Октябрь","Ноябрь","Декабрь"},0),
"Jan","Feb","Mar","Apr","May","Jun","Jul","Aug","Sep","Oct","Nov","Dec")</f>
        <v>Jan</v>
      </c>
    </row>
    <row r="133" spans="1:9" x14ac:dyDescent="0.35">
      <c r="A133" s="6">
        <v>2023</v>
      </c>
      <c r="B133" s="7" t="s">
        <v>1</v>
      </c>
      <c r="C133" s="7" t="s">
        <v>22</v>
      </c>
      <c r="D133" s="7" t="s">
        <v>18</v>
      </c>
      <c r="E133" s="7" t="s">
        <v>15</v>
      </c>
      <c r="F133" s="8">
        <v>304410</v>
      </c>
      <c r="G133" s="9">
        <v>24</v>
      </c>
      <c r="H133" s="10" t="s">
        <v>156</v>
      </c>
      <c r="I133" s="5" t="str">
        <f>CHOOSE(MATCH(B133,{"Январь","Февраль","Март","Апрель","Май","Июнь","Июль","Август","Сентябрь","Октябрь","Ноябрь","Декабрь"},0),
"Jan","Feb","Mar","Apr","May","Jun","Jul","Aug","Sep","Oct","Nov","Dec")</f>
        <v>Jan</v>
      </c>
    </row>
    <row r="134" spans="1:9" x14ac:dyDescent="0.35">
      <c r="A134" s="6">
        <v>2023</v>
      </c>
      <c r="B134" s="7" t="s">
        <v>26</v>
      </c>
      <c r="C134" s="7" t="s">
        <v>2</v>
      </c>
      <c r="D134" s="7" t="s">
        <v>18</v>
      </c>
      <c r="E134" s="7" t="s">
        <v>8</v>
      </c>
      <c r="F134" s="8">
        <v>512150</v>
      </c>
      <c r="G134" s="9">
        <v>24</v>
      </c>
      <c r="H134" s="10" t="s">
        <v>157</v>
      </c>
      <c r="I134" s="5" t="str">
        <f>CHOOSE(MATCH(B134,{"Январь","Февраль","Март","Апрель","Май","Июнь","Июль","Август","Сентябрь","Октябрь","Ноябрь","Декабрь"},0),
"Jan","Feb","Mar","Apr","May","Jun","Jul","Aug","Sep","Oct","Nov","Dec")</f>
        <v>Feb</v>
      </c>
    </row>
    <row r="135" spans="1:9" x14ac:dyDescent="0.35">
      <c r="A135" s="6">
        <v>2023</v>
      </c>
      <c r="B135" s="7" t="s">
        <v>26</v>
      </c>
      <c r="C135" s="7" t="s">
        <v>6</v>
      </c>
      <c r="D135" s="7" t="s">
        <v>7</v>
      </c>
      <c r="E135" s="7" t="s">
        <v>15</v>
      </c>
      <c r="F135" s="8">
        <v>419660</v>
      </c>
      <c r="G135" s="9">
        <v>32</v>
      </c>
      <c r="H135" s="10" t="s">
        <v>158</v>
      </c>
      <c r="I135" s="5" t="str">
        <f>CHOOSE(MATCH(B135,{"Январь","Февраль","Март","Апрель","Май","Июнь","Июль","Август","Сентябрь","Октябрь","Ноябрь","Декабрь"},0),
"Jan","Feb","Mar","Apr","May","Jun","Jul","Aug","Sep","Oct","Nov","Dec")</f>
        <v>Feb</v>
      </c>
    </row>
    <row r="136" spans="1:9" x14ac:dyDescent="0.35">
      <c r="A136" s="6">
        <v>2023</v>
      </c>
      <c r="B136" s="7" t="s">
        <v>26</v>
      </c>
      <c r="C136" s="7" t="s">
        <v>22</v>
      </c>
      <c r="D136" s="7" t="s">
        <v>14</v>
      </c>
      <c r="E136" s="7" t="s">
        <v>15</v>
      </c>
      <c r="F136" s="8">
        <v>433030</v>
      </c>
      <c r="G136" s="9">
        <v>33</v>
      </c>
      <c r="H136" s="10" t="s">
        <v>159</v>
      </c>
      <c r="I136" s="5" t="str">
        <f>CHOOSE(MATCH(B136,{"Январь","Февраль","Март","Апрель","Май","Июнь","Июль","Август","Сентябрь","Октябрь","Ноябрь","Декабрь"},0),
"Jan","Feb","Mar","Apr","May","Jun","Jul","Aug","Sep","Oct","Nov","Dec")</f>
        <v>Feb</v>
      </c>
    </row>
    <row r="137" spans="1:9" x14ac:dyDescent="0.35">
      <c r="A137" s="6">
        <v>2023</v>
      </c>
      <c r="B137" s="7" t="s">
        <v>26</v>
      </c>
      <c r="C137" s="7" t="s">
        <v>10</v>
      </c>
      <c r="D137" s="7" t="s">
        <v>18</v>
      </c>
      <c r="E137" s="7" t="s">
        <v>12</v>
      </c>
      <c r="F137" s="8">
        <v>678440</v>
      </c>
      <c r="G137" s="9">
        <v>41</v>
      </c>
      <c r="H137" s="10" t="s">
        <v>160</v>
      </c>
      <c r="I137" s="5" t="str">
        <f>CHOOSE(MATCH(B137,{"Январь","Февраль","Март","Апрель","Май","Июнь","Июль","Август","Сентябрь","Октябрь","Ноябрь","Декабрь"},0),
"Jan","Feb","Mar","Apr","May","Jun","Jul","Aug","Sep","Oct","Nov","Dec")</f>
        <v>Feb</v>
      </c>
    </row>
    <row r="138" spans="1:9" x14ac:dyDescent="0.35">
      <c r="A138" s="6">
        <v>2023</v>
      </c>
      <c r="B138" s="7" t="s">
        <v>26</v>
      </c>
      <c r="C138" s="7" t="s">
        <v>2</v>
      </c>
      <c r="D138" s="7" t="s">
        <v>11</v>
      </c>
      <c r="E138" s="7" t="s">
        <v>12</v>
      </c>
      <c r="F138" s="8">
        <v>350970</v>
      </c>
      <c r="G138" s="9">
        <v>24</v>
      </c>
      <c r="H138" s="10" t="s">
        <v>161</v>
      </c>
      <c r="I138" s="5" t="str">
        <f>CHOOSE(MATCH(B138,{"Январь","Февраль","Март","Апрель","Май","Июнь","Июль","Август","Сентябрь","Октябрь","Ноябрь","Декабрь"},0),
"Jan","Feb","Mar","Apr","May","Jun","Jul","Aug","Sep","Oct","Nov","Dec")</f>
        <v>Feb</v>
      </c>
    </row>
    <row r="139" spans="1:9" x14ac:dyDescent="0.35">
      <c r="A139" s="6">
        <v>2023</v>
      </c>
      <c r="B139" s="7" t="s">
        <v>26</v>
      </c>
      <c r="C139" s="7" t="s">
        <v>6</v>
      </c>
      <c r="D139" s="7" t="s">
        <v>7</v>
      </c>
      <c r="E139" s="7" t="s">
        <v>15</v>
      </c>
      <c r="F139" s="8">
        <v>190830</v>
      </c>
      <c r="G139" s="9">
        <v>14</v>
      </c>
      <c r="H139" s="10" t="s">
        <v>162</v>
      </c>
      <c r="I139" s="5" t="str">
        <f>CHOOSE(MATCH(B139,{"Январь","Февраль","Март","Апрель","Май","Июнь","Июль","Август","Сентябрь","Октябрь","Ноябрь","Декабрь"},0),
"Jan","Feb","Mar","Apr","May","Jun","Jul","Aug","Sep","Oct","Nov","Dec")</f>
        <v>Feb</v>
      </c>
    </row>
    <row r="140" spans="1:9" x14ac:dyDescent="0.35">
      <c r="A140" s="6">
        <v>2023</v>
      </c>
      <c r="B140" s="7" t="s">
        <v>26</v>
      </c>
      <c r="C140" s="7" t="s">
        <v>17</v>
      </c>
      <c r="D140" s="7" t="s">
        <v>14</v>
      </c>
      <c r="E140" s="7" t="s">
        <v>4</v>
      </c>
      <c r="F140" s="8">
        <v>675160</v>
      </c>
      <c r="G140" s="9">
        <v>38</v>
      </c>
      <c r="H140" s="10" t="s">
        <v>163</v>
      </c>
      <c r="I140" s="5" t="str">
        <f>CHOOSE(MATCH(B140,{"Январь","Февраль","Март","Апрель","Май","Июнь","Июль","Август","Сентябрь","Октябрь","Ноябрь","Декабрь"},0),
"Jan","Feb","Mar","Apr","May","Jun","Jul","Aug","Sep","Oct","Nov","Dec")</f>
        <v>Feb</v>
      </c>
    </row>
    <row r="141" spans="1:9" x14ac:dyDescent="0.35">
      <c r="A141" s="6">
        <v>2023</v>
      </c>
      <c r="B141" s="7" t="s">
        <v>26</v>
      </c>
      <c r="C141" s="7" t="s">
        <v>6</v>
      </c>
      <c r="D141" s="7" t="s">
        <v>11</v>
      </c>
      <c r="E141" s="7" t="s">
        <v>8</v>
      </c>
      <c r="F141" s="8">
        <v>767100</v>
      </c>
      <c r="G141" s="9">
        <v>41</v>
      </c>
      <c r="H141" s="10" t="s">
        <v>164</v>
      </c>
      <c r="I141" s="5" t="str">
        <f>CHOOSE(MATCH(B141,{"Январь","Февраль","Март","Апрель","Май","Июнь","Июль","Август","Сентябрь","Октябрь","Ноябрь","Декабрь"},0),
"Jan","Feb","Mar","Apr","May","Jun","Jul","Aug","Sep","Oct","Nov","Dec")</f>
        <v>Feb</v>
      </c>
    </row>
    <row r="142" spans="1:9" x14ac:dyDescent="0.35">
      <c r="A142" s="6">
        <v>2023</v>
      </c>
      <c r="B142" s="7" t="s">
        <v>26</v>
      </c>
      <c r="C142" s="7" t="s">
        <v>6</v>
      </c>
      <c r="D142" s="7" t="s">
        <v>3</v>
      </c>
      <c r="E142" s="7" t="s">
        <v>15</v>
      </c>
      <c r="F142" s="8">
        <v>417130</v>
      </c>
      <c r="G142" s="9">
        <v>29</v>
      </c>
      <c r="H142" s="10" t="s">
        <v>165</v>
      </c>
      <c r="I142" s="5" t="str">
        <f>CHOOSE(MATCH(B142,{"Январь","Февраль","Март","Апрель","Май","Июнь","Июль","Август","Сентябрь","Октябрь","Ноябрь","Декабрь"},0),
"Jan","Feb","Mar","Apr","May","Jun","Jul","Aug","Sep","Oct","Nov","Dec")</f>
        <v>Feb</v>
      </c>
    </row>
    <row r="143" spans="1:9" x14ac:dyDescent="0.35">
      <c r="A143" s="6">
        <v>2023</v>
      </c>
      <c r="B143" s="7" t="s">
        <v>26</v>
      </c>
      <c r="C143" s="7" t="s">
        <v>22</v>
      </c>
      <c r="D143" s="7" t="s">
        <v>18</v>
      </c>
      <c r="E143" s="7" t="s">
        <v>15</v>
      </c>
      <c r="F143" s="8">
        <v>376540</v>
      </c>
      <c r="G143" s="9">
        <v>29</v>
      </c>
      <c r="H143" s="10" t="s">
        <v>166</v>
      </c>
      <c r="I143" s="5" t="str">
        <f>CHOOSE(MATCH(B143,{"Январь","Февраль","Март","Апрель","Май","Июнь","Июль","Август","Сентябрь","Октябрь","Ноябрь","Декабрь"},0),
"Jan","Feb","Mar","Apr","May","Jun","Jul","Aug","Sep","Oct","Nov","Dec")</f>
        <v>Feb</v>
      </c>
    </row>
    <row r="144" spans="1:9" x14ac:dyDescent="0.35">
      <c r="A144" s="6">
        <v>2023</v>
      </c>
      <c r="B144" s="7" t="s">
        <v>37</v>
      </c>
      <c r="C144" s="7" t="s">
        <v>6</v>
      </c>
      <c r="D144" s="7" t="s">
        <v>11</v>
      </c>
      <c r="E144" s="7" t="s">
        <v>12</v>
      </c>
      <c r="F144" s="8">
        <v>195860</v>
      </c>
      <c r="G144" s="9">
        <v>15</v>
      </c>
      <c r="H144" s="10" t="s">
        <v>167</v>
      </c>
      <c r="I144" s="5" t="str">
        <f>CHOOSE(MATCH(B144,{"Январь","Февраль","Март","Апрель","Май","Июнь","Июль","Август","Сентябрь","Октябрь","Ноябрь","Декабрь"},0),
"Jan","Feb","Mar","Apr","May","Jun","Jul","Aug","Sep","Oct","Nov","Dec")</f>
        <v>Mar</v>
      </c>
    </row>
    <row r="145" spans="1:9" x14ac:dyDescent="0.35">
      <c r="A145" s="6">
        <v>2023</v>
      </c>
      <c r="B145" s="7" t="s">
        <v>37</v>
      </c>
      <c r="C145" s="7" t="s">
        <v>10</v>
      </c>
      <c r="D145" s="7" t="s">
        <v>14</v>
      </c>
      <c r="E145" s="7" t="s">
        <v>12</v>
      </c>
      <c r="F145" s="8">
        <v>353700</v>
      </c>
      <c r="G145" s="9">
        <v>21</v>
      </c>
      <c r="H145" s="10" t="s">
        <v>168</v>
      </c>
      <c r="I145" s="5" t="str">
        <f>CHOOSE(MATCH(B145,{"Январь","Февраль","Март","Апрель","Май","Июнь","Июль","Август","Сентябрь","Октябрь","Ноябрь","Декабрь"},0),
"Jan","Feb","Mar","Apr","May","Jun","Jul","Aug","Sep","Oct","Nov","Dec")</f>
        <v>Mar</v>
      </c>
    </row>
    <row r="146" spans="1:9" x14ac:dyDescent="0.35">
      <c r="A146" s="6">
        <v>2023</v>
      </c>
      <c r="B146" s="7" t="s">
        <v>37</v>
      </c>
      <c r="C146" s="7" t="s">
        <v>6</v>
      </c>
      <c r="D146" s="7" t="s">
        <v>14</v>
      </c>
      <c r="E146" s="7" t="s">
        <v>4</v>
      </c>
      <c r="F146" s="8">
        <v>249440</v>
      </c>
      <c r="G146" s="9">
        <v>16</v>
      </c>
      <c r="H146" s="10" t="s">
        <v>169</v>
      </c>
      <c r="I146" s="5" t="str">
        <f>CHOOSE(MATCH(B146,{"Январь","Февраль","Март","Апрель","Май","Июнь","Июль","Август","Сентябрь","Октябрь","Ноябрь","Декабрь"},0),
"Jan","Feb","Mar","Apr","May","Jun","Jul","Aug","Sep","Oct","Nov","Dec")</f>
        <v>Mar</v>
      </c>
    </row>
    <row r="147" spans="1:9" x14ac:dyDescent="0.35">
      <c r="A147" s="6">
        <v>2023</v>
      </c>
      <c r="B147" s="7" t="s">
        <v>37</v>
      </c>
      <c r="C147" s="7" t="s">
        <v>6</v>
      </c>
      <c r="D147" s="7" t="s">
        <v>3</v>
      </c>
      <c r="E147" s="7" t="s">
        <v>4</v>
      </c>
      <c r="F147" s="8">
        <v>685210</v>
      </c>
      <c r="G147" s="9">
        <v>41</v>
      </c>
      <c r="H147" s="10" t="s">
        <v>170</v>
      </c>
      <c r="I147" s="5" t="str">
        <f>CHOOSE(MATCH(B147,{"Январь","Февраль","Март","Апрель","Май","Июнь","Июль","Август","Сентябрь","Октябрь","Ноябрь","Декабрь"},0),
"Jan","Feb","Mar","Apr","May","Jun","Jul","Aug","Sep","Oct","Nov","Dec")</f>
        <v>Mar</v>
      </c>
    </row>
    <row r="148" spans="1:9" x14ac:dyDescent="0.35">
      <c r="A148" s="6">
        <v>2023</v>
      </c>
      <c r="B148" s="7" t="s">
        <v>37</v>
      </c>
      <c r="C148" s="7" t="s">
        <v>10</v>
      </c>
      <c r="D148" s="7" t="s">
        <v>3</v>
      </c>
      <c r="E148" s="7" t="s">
        <v>4</v>
      </c>
      <c r="F148" s="8">
        <v>796430</v>
      </c>
      <c r="G148" s="9">
        <v>34</v>
      </c>
      <c r="H148" s="10" t="s">
        <v>171</v>
      </c>
      <c r="I148" s="5" t="str">
        <f>CHOOSE(MATCH(B148,{"Январь","Февраль","Март","Апрель","Май","Июнь","Июль","Август","Сентябрь","Октябрь","Ноябрь","Декабрь"},0),
"Jan","Feb","Mar","Apr","May","Jun","Jul","Aug","Sep","Oct","Nov","Dec")</f>
        <v>Mar</v>
      </c>
    </row>
    <row r="149" spans="1:9" x14ac:dyDescent="0.35">
      <c r="A149" s="6">
        <v>2023</v>
      </c>
      <c r="B149" s="7" t="s">
        <v>37</v>
      </c>
      <c r="C149" s="7" t="s">
        <v>10</v>
      </c>
      <c r="D149" s="7" t="s">
        <v>14</v>
      </c>
      <c r="E149" s="7" t="s">
        <v>8</v>
      </c>
      <c r="F149" s="8">
        <v>642290</v>
      </c>
      <c r="G149" s="9">
        <v>25</v>
      </c>
      <c r="H149" s="10" t="s">
        <v>172</v>
      </c>
      <c r="I149" s="5" t="str">
        <f>CHOOSE(MATCH(B149,{"Январь","Февраль","Март","Апрель","Май","Июнь","Июль","Август","Сентябрь","Октябрь","Ноябрь","Декабрь"},0),
"Jan","Feb","Mar","Apr","May","Jun","Jul","Aug","Sep","Oct","Nov","Dec")</f>
        <v>Mar</v>
      </c>
    </row>
    <row r="150" spans="1:9" x14ac:dyDescent="0.35">
      <c r="A150" s="6">
        <v>2023</v>
      </c>
      <c r="B150" s="7" t="s">
        <v>37</v>
      </c>
      <c r="C150" s="7" t="s">
        <v>2</v>
      </c>
      <c r="D150" s="7" t="s">
        <v>7</v>
      </c>
      <c r="E150" s="7" t="s">
        <v>8</v>
      </c>
      <c r="F150" s="8">
        <v>456480</v>
      </c>
      <c r="G150" s="9">
        <v>22</v>
      </c>
      <c r="H150" s="10" t="s">
        <v>173</v>
      </c>
      <c r="I150" s="5" t="str">
        <f>CHOOSE(MATCH(B150,{"Январь","Февраль","Март","Апрель","Май","Июнь","Июль","Август","Сентябрь","Октябрь","Ноябрь","Декабрь"},0),
"Jan","Feb","Mar","Apr","May","Jun","Jul","Aug","Sep","Oct","Nov","Dec")</f>
        <v>Mar</v>
      </c>
    </row>
    <row r="151" spans="1:9" x14ac:dyDescent="0.35">
      <c r="A151" s="6">
        <v>2023</v>
      </c>
      <c r="B151" s="7" t="s">
        <v>37</v>
      </c>
      <c r="C151" s="7" t="s">
        <v>17</v>
      </c>
      <c r="D151" s="7" t="s">
        <v>11</v>
      </c>
      <c r="E151" s="7" t="s">
        <v>4</v>
      </c>
      <c r="F151" s="8">
        <v>741130</v>
      </c>
      <c r="G151" s="9">
        <v>40</v>
      </c>
      <c r="H151" s="10" t="s">
        <v>174</v>
      </c>
      <c r="I151" s="5" t="str">
        <f>CHOOSE(MATCH(B151,{"Январь","Февраль","Март","Апрель","Май","Июнь","Июль","Август","Сентябрь","Октябрь","Ноябрь","Декабрь"},0),
"Jan","Feb","Mar","Apr","May","Jun","Jul","Aug","Sep","Oct","Nov","Dec")</f>
        <v>Mar</v>
      </c>
    </row>
    <row r="152" spans="1:9" x14ac:dyDescent="0.35">
      <c r="A152" s="6">
        <v>2023</v>
      </c>
      <c r="B152" s="7" t="s">
        <v>37</v>
      </c>
      <c r="C152" s="7" t="s">
        <v>10</v>
      </c>
      <c r="D152" s="7" t="s">
        <v>7</v>
      </c>
      <c r="E152" s="7" t="s">
        <v>15</v>
      </c>
      <c r="F152" s="8">
        <v>724740</v>
      </c>
      <c r="G152" s="9">
        <v>39</v>
      </c>
      <c r="H152" s="10" t="s">
        <v>175</v>
      </c>
      <c r="I152" s="5" t="str">
        <f>CHOOSE(MATCH(B152,{"Январь","Февраль","Март","Апрель","Май","Июнь","Июль","Август","Сентябрь","Октябрь","Ноябрь","Декабрь"},0),
"Jan","Feb","Mar","Apr","May","Jun","Jul","Aug","Sep","Oct","Nov","Dec")</f>
        <v>Mar</v>
      </c>
    </row>
    <row r="153" spans="1:9" x14ac:dyDescent="0.35">
      <c r="A153" s="6">
        <v>2023</v>
      </c>
      <c r="B153" s="7" t="s">
        <v>37</v>
      </c>
      <c r="C153" s="7" t="s">
        <v>22</v>
      </c>
      <c r="D153" s="7" t="s">
        <v>14</v>
      </c>
      <c r="E153" s="7" t="s">
        <v>8</v>
      </c>
      <c r="F153" s="8">
        <v>449600</v>
      </c>
      <c r="G153" s="9">
        <v>25</v>
      </c>
      <c r="H153" s="10" t="s">
        <v>176</v>
      </c>
      <c r="I153" s="5" t="str">
        <f>CHOOSE(MATCH(B153,{"Январь","Февраль","Март","Апрель","Май","Июнь","Июль","Август","Сентябрь","Октябрь","Ноябрь","Декабрь"},0),
"Jan","Feb","Mar","Apr","May","Jun","Jul","Aug","Sep","Oct","Nov","Dec")</f>
        <v>Mar</v>
      </c>
    </row>
    <row r="154" spans="1:9" x14ac:dyDescent="0.35">
      <c r="A154" s="6">
        <v>2023</v>
      </c>
      <c r="B154" s="7" t="s">
        <v>48</v>
      </c>
      <c r="C154" s="7" t="s">
        <v>6</v>
      </c>
      <c r="D154" s="7" t="s">
        <v>14</v>
      </c>
      <c r="E154" s="7" t="s">
        <v>8</v>
      </c>
      <c r="F154" s="8">
        <v>721860</v>
      </c>
      <c r="G154" s="9">
        <v>38</v>
      </c>
      <c r="H154" s="10" t="s">
        <v>177</v>
      </c>
      <c r="I154" s="5" t="str">
        <f>CHOOSE(MATCH(B154,{"Январь","Февраль","Март","Апрель","Май","Июнь","Июль","Август","Сентябрь","Октябрь","Ноябрь","Декабрь"},0),
"Jan","Feb","Mar","Apr","May","Jun","Jul","Aug","Sep","Oct","Nov","Dec")</f>
        <v>Apr</v>
      </c>
    </row>
    <row r="155" spans="1:9" x14ac:dyDescent="0.35">
      <c r="A155" s="6">
        <v>2023</v>
      </c>
      <c r="B155" s="7" t="s">
        <v>48</v>
      </c>
      <c r="C155" s="7" t="s">
        <v>17</v>
      </c>
      <c r="D155" s="7" t="s">
        <v>14</v>
      </c>
      <c r="E155" s="7" t="s">
        <v>4</v>
      </c>
      <c r="F155" s="8">
        <v>478270</v>
      </c>
      <c r="G155" s="9">
        <v>26</v>
      </c>
      <c r="H155" s="10" t="s">
        <v>178</v>
      </c>
      <c r="I155" s="5" t="str">
        <f>CHOOSE(MATCH(B155,{"Январь","Февраль","Март","Апрель","Май","Июнь","Июль","Август","Сентябрь","Октябрь","Ноябрь","Декабрь"},0),
"Jan","Feb","Mar","Apr","May","Jun","Jul","Aug","Sep","Oct","Nov","Dec")</f>
        <v>Apr</v>
      </c>
    </row>
    <row r="156" spans="1:9" x14ac:dyDescent="0.35">
      <c r="A156" s="6">
        <v>2023</v>
      </c>
      <c r="B156" s="7" t="s">
        <v>48</v>
      </c>
      <c r="C156" s="7" t="s">
        <v>10</v>
      </c>
      <c r="D156" s="7" t="s">
        <v>3</v>
      </c>
      <c r="E156" s="7" t="s">
        <v>8</v>
      </c>
      <c r="F156" s="8">
        <v>520780</v>
      </c>
      <c r="G156" s="9">
        <v>20</v>
      </c>
      <c r="H156" s="10" t="s">
        <v>179</v>
      </c>
      <c r="I156" s="5" t="str">
        <f>CHOOSE(MATCH(B156,{"Январь","Февраль","Март","Апрель","Май","Июнь","Июль","Август","Сентябрь","Октябрь","Ноябрь","Декабрь"},0),
"Jan","Feb","Mar","Apr","May","Jun","Jul","Aug","Sep","Oct","Nov","Dec")</f>
        <v>Apr</v>
      </c>
    </row>
    <row r="157" spans="1:9" x14ac:dyDescent="0.35">
      <c r="A157" s="6">
        <v>2023</v>
      </c>
      <c r="B157" s="7" t="s">
        <v>48</v>
      </c>
      <c r="C157" s="7" t="s">
        <v>2</v>
      </c>
      <c r="D157" s="7" t="s">
        <v>11</v>
      </c>
      <c r="E157" s="7" t="s">
        <v>15</v>
      </c>
      <c r="F157" s="8">
        <v>252410</v>
      </c>
      <c r="G157" s="9">
        <v>16</v>
      </c>
      <c r="H157" s="10" t="s">
        <v>180</v>
      </c>
      <c r="I157" s="5" t="str">
        <f>CHOOSE(MATCH(B157,{"Январь","Февраль","Март","Апрель","Май","Июнь","Июль","Август","Сентябрь","Октябрь","Ноябрь","Декабрь"},0),
"Jan","Feb","Mar","Apr","May","Jun","Jul","Aug","Sep","Oct","Nov","Dec")</f>
        <v>Apr</v>
      </c>
    </row>
    <row r="158" spans="1:9" x14ac:dyDescent="0.35">
      <c r="A158" s="6">
        <v>2023</v>
      </c>
      <c r="B158" s="7" t="s">
        <v>48</v>
      </c>
      <c r="C158" s="7" t="s">
        <v>22</v>
      </c>
      <c r="D158" s="7" t="s">
        <v>18</v>
      </c>
      <c r="E158" s="7" t="s">
        <v>12</v>
      </c>
      <c r="F158" s="8">
        <v>454970</v>
      </c>
      <c r="G158" s="9">
        <v>42</v>
      </c>
      <c r="H158" s="10" t="s">
        <v>181</v>
      </c>
      <c r="I158" s="5" t="str">
        <f>CHOOSE(MATCH(B158,{"Январь","Февраль","Март","Апрель","Май","Июнь","Июль","Август","Сентябрь","Октябрь","Ноябрь","Декабрь"},0),
"Jan","Feb","Mar","Apr","May","Jun","Jul","Aug","Sep","Oct","Nov","Dec")</f>
        <v>Apr</v>
      </c>
    </row>
    <row r="159" spans="1:9" x14ac:dyDescent="0.35">
      <c r="A159" s="6">
        <v>2023</v>
      </c>
      <c r="B159" s="7" t="s">
        <v>48</v>
      </c>
      <c r="C159" s="7" t="s">
        <v>17</v>
      </c>
      <c r="D159" s="7" t="s">
        <v>3</v>
      </c>
      <c r="E159" s="7" t="s">
        <v>12</v>
      </c>
      <c r="F159" s="8">
        <v>404100</v>
      </c>
      <c r="G159" s="9">
        <v>30</v>
      </c>
      <c r="H159" s="10" t="s">
        <v>182</v>
      </c>
      <c r="I159" s="5" t="str">
        <f>CHOOSE(MATCH(B159,{"Январь","Февраль","Март","Апрель","Май","Июнь","Июль","Август","Сентябрь","Октябрь","Ноябрь","Декабрь"},0),
"Jan","Feb","Mar","Apr","May","Jun","Jul","Aug","Sep","Oct","Nov","Dec")</f>
        <v>Apr</v>
      </c>
    </row>
    <row r="160" spans="1:9" x14ac:dyDescent="0.35">
      <c r="A160" s="6">
        <v>2023</v>
      </c>
      <c r="B160" s="7" t="s">
        <v>48</v>
      </c>
      <c r="C160" s="7" t="s">
        <v>2</v>
      </c>
      <c r="D160" s="7" t="s">
        <v>3</v>
      </c>
      <c r="E160" s="7" t="s">
        <v>4</v>
      </c>
      <c r="F160" s="8">
        <v>524630</v>
      </c>
      <c r="G160" s="9">
        <v>27</v>
      </c>
      <c r="H160" s="10" t="s">
        <v>183</v>
      </c>
      <c r="I160" s="5" t="str">
        <f>CHOOSE(MATCH(B160,{"Январь","Февраль","Март","Апрель","Май","Июнь","Июль","Август","Сентябрь","Октябрь","Ноябрь","Декабрь"},0),
"Jan","Feb","Mar","Apr","May","Jun","Jul","Aug","Sep","Oct","Nov","Dec")</f>
        <v>Apr</v>
      </c>
    </row>
    <row r="161" spans="1:9" x14ac:dyDescent="0.35">
      <c r="A161" s="6">
        <v>2023</v>
      </c>
      <c r="B161" s="7" t="s">
        <v>48</v>
      </c>
      <c r="C161" s="7" t="s">
        <v>22</v>
      </c>
      <c r="D161" s="7" t="s">
        <v>18</v>
      </c>
      <c r="E161" s="7" t="s">
        <v>4</v>
      </c>
      <c r="F161" s="8">
        <v>210160</v>
      </c>
      <c r="G161" s="9">
        <v>13</v>
      </c>
      <c r="H161" s="10" t="s">
        <v>184</v>
      </c>
      <c r="I161" s="5" t="str">
        <f>CHOOSE(MATCH(B161,{"Январь","Февраль","Март","Апрель","Май","Июнь","Июль","Август","Сентябрь","Октябрь","Ноябрь","Декабрь"},0),
"Jan","Feb","Mar","Apr","May","Jun","Jul","Aug","Sep","Oct","Nov","Dec")</f>
        <v>Apr</v>
      </c>
    </row>
    <row r="162" spans="1:9" x14ac:dyDescent="0.35">
      <c r="A162" s="6">
        <v>2023</v>
      </c>
      <c r="B162" s="7" t="s">
        <v>48</v>
      </c>
      <c r="C162" s="7" t="s">
        <v>6</v>
      </c>
      <c r="D162" s="7" t="s">
        <v>18</v>
      </c>
      <c r="E162" s="7" t="s">
        <v>12</v>
      </c>
      <c r="F162" s="8">
        <v>367470</v>
      </c>
      <c r="G162" s="9">
        <v>30</v>
      </c>
      <c r="H162" s="10" t="s">
        <v>185</v>
      </c>
      <c r="I162" s="5" t="str">
        <f>CHOOSE(MATCH(B162,{"Январь","Февраль","Март","Апрель","Май","Июнь","Июль","Август","Сентябрь","Октябрь","Ноябрь","Декабрь"},0),
"Jan","Feb","Mar","Apr","May","Jun","Jul","Aug","Sep","Oct","Nov","Dec")</f>
        <v>Apr</v>
      </c>
    </row>
    <row r="163" spans="1:9" x14ac:dyDescent="0.35">
      <c r="A163" s="6">
        <v>2023</v>
      </c>
      <c r="B163" s="7" t="s">
        <v>48</v>
      </c>
      <c r="C163" s="7" t="s">
        <v>10</v>
      </c>
      <c r="D163" s="7" t="s">
        <v>3</v>
      </c>
      <c r="E163" s="7" t="s">
        <v>12</v>
      </c>
      <c r="F163" s="8">
        <v>277070</v>
      </c>
      <c r="G163" s="9">
        <v>17</v>
      </c>
      <c r="H163" s="10" t="s">
        <v>186</v>
      </c>
      <c r="I163" s="5" t="str">
        <f>CHOOSE(MATCH(B163,{"Январь","Февраль","Март","Апрель","Май","Июнь","Июль","Август","Сентябрь","Октябрь","Ноябрь","Декабрь"},0),
"Jan","Feb","Mar","Apr","May","Jun","Jul","Aug","Sep","Oct","Nov","Dec")</f>
        <v>Apr</v>
      </c>
    </row>
    <row r="164" spans="1:9" x14ac:dyDescent="0.35">
      <c r="A164" s="6">
        <v>2023</v>
      </c>
      <c r="B164" s="7" t="s">
        <v>59</v>
      </c>
      <c r="C164" s="7" t="s">
        <v>10</v>
      </c>
      <c r="D164" s="7" t="s">
        <v>18</v>
      </c>
      <c r="E164" s="7" t="s">
        <v>4</v>
      </c>
      <c r="F164" s="8">
        <v>764240</v>
      </c>
      <c r="G164" s="9">
        <v>35</v>
      </c>
      <c r="H164" s="10" t="s">
        <v>187</v>
      </c>
      <c r="I164" s="5" t="str">
        <f>CHOOSE(MATCH(B164,{"Январь","Февраль","Март","Апрель","Май","Июнь","Июль","Август","Сентябрь","Октябрь","Ноябрь","Декабрь"},0),
"Jan","Feb","Mar","Apr","May","Jun","Jul","Aug","Sep","Oct","Nov","Dec")</f>
        <v>May</v>
      </c>
    </row>
    <row r="165" spans="1:9" x14ac:dyDescent="0.35">
      <c r="A165" s="6">
        <v>2023</v>
      </c>
      <c r="B165" s="7" t="s">
        <v>59</v>
      </c>
      <c r="C165" s="7" t="s">
        <v>6</v>
      </c>
      <c r="D165" s="7" t="s">
        <v>11</v>
      </c>
      <c r="E165" s="7" t="s">
        <v>15</v>
      </c>
      <c r="F165" s="8">
        <v>231050</v>
      </c>
      <c r="G165" s="9">
        <v>17</v>
      </c>
      <c r="H165" s="10" t="s">
        <v>188</v>
      </c>
      <c r="I165" s="5" t="str">
        <f>CHOOSE(MATCH(B165,{"Январь","Февраль","Март","Апрель","Май","Июнь","Июль","Август","Сентябрь","Октябрь","Ноябрь","Декабрь"},0),
"Jan","Feb","Mar","Apr","May","Jun","Jul","Aug","Sep","Oct","Nov","Dec")</f>
        <v>May</v>
      </c>
    </row>
    <row r="166" spans="1:9" x14ac:dyDescent="0.35">
      <c r="A166" s="6">
        <v>2023</v>
      </c>
      <c r="B166" s="7" t="s">
        <v>59</v>
      </c>
      <c r="C166" s="7" t="s">
        <v>6</v>
      </c>
      <c r="D166" s="7" t="s">
        <v>14</v>
      </c>
      <c r="E166" s="7" t="s">
        <v>8</v>
      </c>
      <c r="F166" s="8">
        <v>391250</v>
      </c>
      <c r="G166" s="9">
        <v>20</v>
      </c>
      <c r="H166" s="10" t="s">
        <v>189</v>
      </c>
      <c r="I166" s="5" t="str">
        <f>CHOOSE(MATCH(B166,{"Январь","Февраль","Март","Апрель","Май","Июнь","Июль","Август","Сентябрь","Октябрь","Ноябрь","Декабрь"},0),
"Jan","Feb","Mar","Apr","May","Jun","Jul","Aug","Sep","Oct","Nov","Dec")</f>
        <v>May</v>
      </c>
    </row>
    <row r="167" spans="1:9" x14ac:dyDescent="0.35">
      <c r="A167" s="6">
        <v>2023</v>
      </c>
      <c r="B167" s="7" t="s">
        <v>59</v>
      </c>
      <c r="C167" s="7" t="s">
        <v>17</v>
      </c>
      <c r="D167" s="7" t="s">
        <v>11</v>
      </c>
      <c r="E167" s="7" t="s">
        <v>15</v>
      </c>
      <c r="F167" s="8">
        <v>559360</v>
      </c>
      <c r="G167" s="9">
        <v>36</v>
      </c>
      <c r="H167" s="10" t="s">
        <v>190</v>
      </c>
      <c r="I167" s="5" t="str">
        <f>CHOOSE(MATCH(B167,{"Январь","Февраль","Март","Апрель","Май","Июнь","Июль","Август","Сентябрь","Октябрь","Ноябрь","Декабрь"},0),
"Jan","Feb","Mar","Apr","May","Jun","Jul","Aug","Sep","Oct","Nov","Dec")</f>
        <v>May</v>
      </c>
    </row>
    <row r="168" spans="1:9" x14ac:dyDescent="0.35">
      <c r="A168" s="6">
        <v>2023</v>
      </c>
      <c r="B168" s="7" t="s">
        <v>59</v>
      </c>
      <c r="C168" s="7" t="s">
        <v>6</v>
      </c>
      <c r="D168" s="7" t="s">
        <v>14</v>
      </c>
      <c r="E168" s="7" t="s">
        <v>12</v>
      </c>
      <c r="F168" s="8">
        <v>152080</v>
      </c>
      <c r="G168" s="9">
        <v>13</v>
      </c>
      <c r="H168" s="10" t="s">
        <v>191</v>
      </c>
      <c r="I168" s="5" t="str">
        <f>CHOOSE(MATCH(B168,{"Январь","Февраль","Март","Апрель","Май","Июнь","Июль","Август","Сентябрь","Октябрь","Ноябрь","Декабрь"},0),
"Jan","Feb","Mar","Apr","May","Jun","Jul","Aug","Sep","Oct","Nov","Dec")</f>
        <v>May</v>
      </c>
    </row>
    <row r="169" spans="1:9" x14ac:dyDescent="0.35">
      <c r="A169" s="6">
        <v>2023</v>
      </c>
      <c r="B169" s="7" t="s">
        <v>59</v>
      </c>
      <c r="C169" s="7" t="s">
        <v>10</v>
      </c>
      <c r="D169" s="7" t="s">
        <v>11</v>
      </c>
      <c r="E169" s="7" t="s">
        <v>15</v>
      </c>
      <c r="F169" s="8">
        <v>253050</v>
      </c>
      <c r="G169" s="9">
        <v>14</v>
      </c>
      <c r="H169" s="10" t="s">
        <v>192</v>
      </c>
      <c r="I169" s="5" t="str">
        <f>CHOOSE(MATCH(B169,{"Январь","Февраль","Март","Апрель","Май","Июнь","Июль","Август","Сентябрь","Октябрь","Ноябрь","Декабрь"},0),
"Jan","Feb","Mar","Apr","May","Jun","Jul","Aug","Sep","Oct","Nov","Dec")</f>
        <v>May</v>
      </c>
    </row>
    <row r="170" spans="1:9" x14ac:dyDescent="0.35">
      <c r="A170" s="6">
        <v>2023</v>
      </c>
      <c r="B170" s="7" t="s">
        <v>59</v>
      </c>
      <c r="C170" s="7" t="s">
        <v>22</v>
      </c>
      <c r="D170" s="7" t="s">
        <v>7</v>
      </c>
      <c r="E170" s="7" t="s">
        <v>8</v>
      </c>
      <c r="F170" s="8">
        <v>476680</v>
      </c>
      <c r="G170" s="9">
        <v>27</v>
      </c>
      <c r="H170" s="10" t="s">
        <v>193</v>
      </c>
      <c r="I170" s="5" t="str">
        <f>CHOOSE(MATCH(B170,{"Январь","Февраль","Март","Апрель","Май","Июнь","Июль","Август","Сентябрь","Октябрь","Ноябрь","Декабрь"},0),
"Jan","Feb","Mar","Apr","May","Jun","Jul","Aug","Sep","Oct","Nov","Dec")</f>
        <v>May</v>
      </c>
    </row>
    <row r="171" spans="1:9" x14ac:dyDescent="0.35">
      <c r="A171" s="6">
        <v>2023</v>
      </c>
      <c r="B171" s="7" t="s">
        <v>59</v>
      </c>
      <c r="C171" s="7" t="s">
        <v>17</v>
      </c>
      <c r="D171" s="7" t="s">
        <v>18</v>
      </c>
      <c r="E171" s="7" t="s">
        <v>12</v>
      </c>
      <c r="F171" s="8">
        <v>312570</v>
      </c>
      <c r="G171" s="9">
        <v>23</v>
      </c>
      <c r="H171" s="10" t="s">
        <v>194</v>
      </c>
      <c r="I171" s="5" t="str">
        <f>CHOOSE(MATCH(B171,{"Январь","Февраль","Март","Апрель","Май","Июнь","Июль","Август","Сентябрь","Октябрь","Ноябрь","Декабрь"},0),
"Jan","Feb","Mar","Apr","May","Jun","Jul","Aug","Sep","Oct","Nov","Dec")</f>
        <v>May</v>
      </c>
    </row>
    <row r="172" spans="1:9" x14ac:dyDescent="0.35">
      <c r="A172" s="6">
        <v>2023</v>
      </c>
      <c r="B172" s="7" t="s">
        <v>59</v>
      </c>
      <c r="C172" s="7" t="s">
        <v>22</v>
      </c>
      <c r="D172" s="7" t="s">
        <v>7</v>
      </c>
      <c r="E172" s="7" t="s">
        <v>4</v>
      </c>
      <c r="F172" s="8">
        <v>336920</v>
      </c>
      <c r="G172" s="9">
        <v>22</v>
      </c>
      <c r="H172" s="10" t="s">
        <v>195</v>
      </c>
      <c r="I172" s="5" t="str">
        <f>CHOOSE(MATCH(B172,{"Январь","Февраль","Март","Апрель","Май","Июнь","Июль","Август","Сентябрь","Октябрь","Ноябрь","Декабрь"},0),
"Jan","Feb","Mar","Apr","May","Jun","Jul","Aug","Sep","Oct","Nov","Dec")</f>
        <v>May</v>
      </c>
    </row>
    <row r="173" spans="1:9" x14ac:dyDescent="0.35">
      <c r="A173" s="6">
        <v>2023</v>
      </c>
      <c r="B173" s="7" t="s">
        <v>59</v>
      </c>
      <c r="C173" s="7" t="s">
        <v>6</v>
      </c>
      <c r="D173" s="7" t="s">
        <v>3</v>
      </c>
      <c r="E173" s="7" t="s">
        <v>15</v>
      </c>
      <c r="F173" s="8">
        <v>540920</v>
      </c>
      <c r="G173" s="9">
        <v>37</v>
      </c>
      <c r="H173" s="10" t="s">
        <v>196</v>
      </c>
      <c r="I173" s="5" t="str">
        <f>CHOOSE(MATCH(B173,{"Январь","Февраль","Март","Апрель","Май","Июнь","Июль","Август","Сентябрь","Октябрь","Ноябрь","Декабрь"},0),
"Jan","Feb","Mar","Apr","May","Jun","Jul","Aug","Sep","Oct","Nov","Dec")</f>
        <v>May</v>
      </c>
    </row>
    <row r="174" spans="1:9" x14ac:dyDescent="0.35">
      <c r="A174" s="6">
        <v>2023</v>
      </c>
      <c r="B174" s="7" t="s">
        <v>70</v>
      </c>
      <c r="C174" s="7" t="s">
        <v>2</v>
      </c>
      <c r="D174" s="7" t="s">
        <v>7</v>
      </c>
      <c r="E174" s="7" t="s">
        <v>12</v>
      </c>
      <c r="F174" s="8">
        <v>312990</v>
      </c>
      <c r="G174" s="9">
        <v>24</v>
      </c>
      <c r="H174" s="10" t="s">
        <v>197</v>
      </c>
      <c r="I174" s="5" t="str">
        <f>CHOOSE(MATCH(B174,{"Январь","Февраль","Март","Апрель","Май","Июнь","Июль","Август","Сентябрь","Октябрь","Ноябрь","Декабрь"},0),
"Jan","Feb","Mar","Apr","May","Jun","Jul","Aug","Sep","Oct","Nov","Dec")</f>
        <v>Jun</v>
      </c>
    </row>
    <row r="175" spans="1:9" x14ac:dyDescent="0.35">
      <c r="A175" s="6">
        <v>2023</v>
      </c>
      <c r="B175" s="7" t="s">
        <v>70</v>
      </c>
      <c r="C175" s="7" t="s">
        <v>2</v>
      </c>
      <c r="D175" s="7" t="s">
        <v>11</v>
      </c>
      <c r="E175" s="7" t="s">
        <v>4</v>
      </c>
      <c r="F175" s="8">
        <v>269050</v>
      </c>
      <c r="G175" s="9">
        <v>13</v>
      </c>
      <c r="H175" s="10" t="s">
        <v>198</v>
      </c>
      <c r="I175" s="5" t="str">
        <f>CHOOSE(MATCH(B175,{"Январь","Февраль","Март","Апрель","Май","Июнь","Июль","Август","Сентябрь","Октябрь","Ноябрь","Декабрь"},0),
"Jan","Feb","Mar","Apr","May","Jun","Jul","Aug","Sep","Oct","Nov","Dec")</f>
        <v>Jun</v>
      </c>
    </row>
    <row r="176" spans="1:9" x14ac:dyDescent="0.35">
      <c r="A176" s="6">
        <v>2023</v>
      </c>
      <c r="B176" s="7" t="s">
        <v>70</v>
      </c>
      <c r="C176" s="7" t="s">
        <v>17</v>
      </c>
      <c r="D176" s="7" t="s">
        <v>7</v>
      </c>
      <c r="E176" s="7" t="s">
        <v>15</v>
      </c>
      <c r="F176" s="8">
        <v>380090</v>
      </c>
      <c r="G176" s="9">
        <v>26</v>
      </c>
      <c r="H176" s="10" t="s">
        <v>199</v>
      </c>
      <c r="I176" s="5" t="str">
        <f>CHOOSE(MATCH(B176,{"Январь","Февраль","Март","Апрель","Май","Июнь","Июль","Август","Сентябрь","Октябрь","Ноябрь","Декабрь"},0),
"Jan","Feb","Mar","Apr","May","Jun","Jul","Aug","Sep","Oct","Nov","Dec")</f>
        <v>Jun</v>
      </c>
    </row>
    <row r="177" spans="1:9" x14ac:dyDescent="0.35">
      <c r="A177" s="6">
        <v>2023</v>
      </c>
      <c r="B177" s="7" t="s">
        <v>70</v>
      </c>
      <c r="C177" s="7" t="s">
        <v>6</v>
      </c>
      <c r="D177" s="7" t="s">
        <v>7</v>
      </c>
      <c r="E177" s="7" t="s">
        <v>4</v>
      </c>
      <c r="F177" s="8">
        <v>524860</v>
      </c>
      <c r="G177" s="9">
        <v>33</v>
      </c>
      <c r="H177" s="10" t="s">
        <v>200</v>
      </c>
      <c r="I177" s="5" t="str">
        <f>CHOOSE(MATCH(B177,{"Январь","Февраль","Март","Апрель","Май","Июнь","Июль","Август","Сентябрь","Октябрь","Ноябрь","Декабрь"},0),
"Jan","Feb","Mar","Apr","May","Jun","Jul","Aug","Sep","Oct","Nov","Dec")</f>
        <v>Jun</v>
      </c>
    </row>
    <row r="178" spans="1:9" x14ac:dyDescent="0.35">
      <c r="A178" s="6">
        <v>2023</v>
      </c>
      <c r="B178" s="7" t="s">
        <v>70</v>
      </c>
      <c r="C178" s="7" t="s">
        <v>22</v>
      </c>
      <c r="D178" s="7" t="s">
        <v>7</v>
      </c>
      <c r="E178" s="7" t="s">
        <v>15</v>
      </c>
      <c r="F178" s="8">
        <v>468110</v>
      </c>
      <c r="G178" s="9">
        <v>37</v>
      </c>
      <c r="H178" s="10" t="s">
        <v>201</v>
      </c>
      <c r="I178" s="5" t="str">
        <f>CHOOSE(MATCH(B178,{"Январь","Февраль","Март","Апрель","Май","Июнь","Июль","Август","Сентябрь","Октябрь","Ноябрь","Декабрь"},0),
"Jan","Feb","Mar","Apr","May","Jun","Jul","Aug","Sep","Oct","Nov","Dec")</f>
        <v>Jun</v>
      </c>
    </row>
    <row r="179" spans="1:9" x14ac:dyDescent="0.35">
      <c r="A179" s="6">
        <v>2023</v>
      </c>
      <c r="B179" s="7" t="s">
        <v>70</v>
      </c>
      <c r="C179" s="7" t="s">
        <v>6</v>
      </c>
      <c r="D179" s="7" t="s">
        <v>7</v>
      </c>
      <c r="E179" s="7" t="s">
        <v>4</v>
      </c>
      <c r="F179" s="8">
        <v>501960</v>
      </c>
      <c r="G179" s="9">
        <v>31</v>
      </c>
      <c r="H179" s="10" t="s">
        <v>202</v>
      </c>
      <c r="I179" s="5" t="str">
        <f>CHOOSE(MATCH(B179,{"Январь","Февраль","Март","Апрель","Май","Июнь","Июль","Август","Сентябрь","Октябрь","Ноябрь","Декабрь"},0),
"Jan","Feb","Mar","Apr","May","Jun","Jul","Aug","Sep","Oct","Nov","Dec")</f>
        <v>Jun</v>
      </c>
    </row>
    <row r="180" spans="1:9" x14ac:dyDescent="0.35">
      <c r="A180" s="6">
        <v>2023</v>
      </c>
      <c r="B180" s="7" t="s">
        <v>70</v>
      </c>
      <c r="C180" s="7" t="s">
        <v>10</v>
      </c>
      <c r="D180" s="7" t="s">
        <v>3</v>
      </c>
      <c r="E180" s="7" t="s">
        <v>8</v>
      </c>
      <c r="F180" s="8">
        <v>317120</v>
      </c>
      <c r="G180" s="9">
        <v>12</v>
      </c>
      <c r="H180" s="10" t="s">
        <v>203</v>
      </c>
      <c r="I180" s="5" t="str">
        <f>CHOOSE(MATCH(B180,{"Январь","Февраль","Март","Апрель","Май","Июнь","Июль","Август","Сентябрь","Октябрь","Ноябрь","Декабрь"},0),
"Jan","Feb","Mar","Apr","May","Jun","Jul","Aug","Sep","Oct","Nov","Dec")</f>
        <v>Jun</v>
      </c>
    </row>
    <row r="181" spans="1:9" x14ac:dyDescent="0.35">
      <c r="A181" s="6">
        <v>2023</v>
      </c>
      <c r="B181" s="7" t="s">
        <v>70</v>
      </c>
      <c r="C181" s="7" t="s">
        <v>22</v>
      </c>
      <c r="D181" s="7" t="s">
        <v>3</v>
      </c>
      <c r="E181" s="7" t="s">
        <v>8</v>
      </c>
      <c r="F181" s="8">
        <v>587920</v>
      </c>
      <c r="G181" s="9">
        <v>33</v>
      </c>
      <c r="H181" s="10" t="s">
        <v>204</v>
      </c>
      <c r="I181" s="5" t="str">
        <f>CHOOSE(MATCH(B181,{"Январь","Февраль","Март","Апрель","Май","Июнь","Июль","Август","Сентябрь","Октябрь","Ноябрь","Декабрь"},0),
"Jan","Feb","Mar","Apr","May","Jun","Jul","Aug","Sep","Oct","Nov","Dec")</f>
        <v>Jun</v>
      </c>
    </row>
    <row r="182" spans="1:9" x14ac:dyDescent="0.35">
      <c r="A182" s="6">
        <v>2023</v>
      </c>
      <c r="B182" s="7" t="s">
        <v>70</v>
      </c>
      <c r="C182" s="7" t="s">
        <v>22</v>
      </c>
      <c r="D182" s="7" t="s">
        <v>3</v>
      </c>
      <c r="E182" s="7" t="s">
        <v>15</v>
      </c>
      <c r="F182" s="8">
        <v>172580</v>
      </c>
      <c r="G182" s="9">
        <v>14</v>
      </c>
      <c r="H182" s="10" t="s">
        <v>205</v>
      </c>
      <c r="I182" s="5" t="str">
        <f>CHOOSE(MATCH(B182,{"Январь","Февраль","Март","Апрель","Май","Июнь","Июль","Август","Сентябрь","Октябрь","Ноябрь","Декабрь"},0),
"Jan","Feb","Mar","Apr","May","Jun","Jul","Aug","Sep","Oct","Nov","Dec")</f>
        <v>Jun</v>
      </c>
    </row>
    <row r="183" spans="1:9" x14ac:dyDescent="0.35">
      <c r="A183" s="6">
        <v>2023</v>
      </c>
      <c r="B183" s="7" t="s">
        <v>70</v>
      </c>
      <c r="C183" s="7" t="s">
        <v>17</v>
      </c>
      <c r="D183" s="7" t="s">
        <v>3</v>
      </c>
      <c r="E183" s="7" t="s">
        <v>15</v>
      </c>
      <c r="F183" s="8">
        <v>523340</v>
      </c>
      <c r="G183" s="9">
        <v>34</v>
      </c>
      <c r="H183" s="10" t="s">
        <v>206</v>
      </c>
      <c r="I183" s="5" t="str">
        <f>CHOOSE(MATCH(B183,{"Январь","Февраль","Март","Апрель","Май","Июнь","Июль","Август","Сентябрь","Октябрь","Ноябрь","Декабрь"},0),
"Jan","Feb","Mar","Apr","May","Jun","Jul","Aug","Sep","Oct","Nov","Dec")</f>
        <v>Jun</v>
      </c>
    </row>
    <row r="184" spans="1:9" x14ac:dyDescent="0.35">
      <c r="A184" s="6">
        <v>2023</v>
      </c>
      <c r="B184" s="7" t="s">
        <v>81</v>
      </c>
      <c r="C184" s="7" t="s">
        <v>10</v>
      </c>
      <c r="D184" s="7" t="s">
        <v>7</v>
      </c>
      <c r="E184" s="7" t="s">
        <v>8</v>
      </c>
      <c r="F184" s="8">
        <v>931210</v>
      </c>
      <c r="G184" s="9">
        <v>38</v>
      </c>
      <c r="H184" s="10" t="s">
        <v>207</v>
      </c>
      <c r="I184" s="5" t="str">
        <f>CHOOSE(MATCH(B184,{"Январь","Февраль","Март","Апрель","Май","Июнь","Июль","Август","Сентябрь","Октябрь","Ноябрь","Декабрь"},0),
"Jan","Feb","Mar","Apr","May","Jun","Jul","Aug","Sep","Oct","Nov","Dec")</f>
        <v>Jul</v>
      </c>
    </row>
    <row r="185" spans="1:9" x14ac:dyDescent="0.35">
      <c r="A185" s="6">
        <v>2023</v>
      </c>
      <c r="B185" s="7" t="s">
        <v>81</v>
      </c>
      <c r="C185" s="7" t="s">
        <v>22</v>
      </c>
      <c r="D185" s="7" t="s">
        <v>18</v>
      </c>
      <c r="E185" s="7" t="s">
        <v>4</v>
      </c>
      <c r="F185" s="8">
        <v>615390</v>
      </c>
      <c r="G185" s="9">
        <v>40</v>
      </c>
      <c r="H185" s="10" t="s">
        <v>208</v>
      </c>
      <c r="I185" s="5" t="str">
        <f>CHOOSE(MATCH(B185,{"Январь","Февраль","Март","Апрель","Май","Июнь","Июль","Август","Сентябрь","Октябрь","Ноябрь","Декабрь"},0),
"Jan","Feb","Mar","Apr","May","Jun","Jul","Aug","Sep","Oct","Nov","Dec")</f>
        <v>Jul</v>
      </c>
    </row>
    <row r="186" spans="1:9" x14ac:dyDescent="0.35">
      <c r="A186" s="6">
        <v>2023</v>
      </c>
      <c r="B186" s="7" t="s">
        <v>81</v>
      </c>
      <c r="C186" s="7" t="s">
        <v>2</v>
      </c>
      <c r="D186" s="7" t="s">
        <v>3</v>
      </c>
      <c r="E186" s="7" t="s">
        <v>12</v>
      </c>
      <c r="F186" s="8">
        <v>185980</v>
      </c>
      <c r="G186" s="9">
        <v>13</v>
      </c>
      <c r="H186" s="10" t="s">
        <v>209</v>
      </c>
      <c r="I186" s="5" t="str">
        <f>CHOOSE(MATCH(B186,{"Январь","Февраль","Март","Апрель","Май","Июнь","Июль","Август","Сентябрь","Октябрь","Ноябрь","Декабрь"},0),
"Jan","Feb","Mar","Apr","May","Jun","Jul","Aug","Sep","Oct","Nov","Dec")</f>
        <v>Jul</v>
      </c>
    </row>
    <row r="187" spans="1:9" x14ac:dyDescent="0.35">
      <c r="A187" s="6">
        <v>2023</v>
      </c>
      <c r="B187" s="7" t="s">
        <v>81</v>
      </c>
      <c r="C187" s="7" t="s">
        <v>6</v>
      </c>
      <c r="D187" s="7" t="s">
        <v>3</v>
      </c>
      <c r="E187" s="7" t="s">
        <v>4</v>
      </c>
      <c r="F187" s="8">
        <v>310710</v>
      </c>
      <c r="G187" s="9">
        <v>19</v>
      </c>
      <c r="H187" s="10" t="s">
        <v>210</v>
      </c>
      <c r="I187" s="5" t="str">
        <f>CHOOSE(MATCH(B187,{"Январь","Февраль","Март","Апрель","Май","Июнь","Июль","Август","Сентябрь","Октябрь","Ноябрь","Декабрь"},0),
"Jan","Feb","Mar","Apr","May","Jun","Jul","Aug","Sep","Oct","Nov","Dec")</f>
        <v>Jul</v>
      </c>
    </row>
    <row r="188" spans="1:9" x14ac:dyDescent="0.35">
      <c r="A188" s="6">
        <v>2023</v>
      </c>
      <c r="B188" s="7" t="s">
        <v>81</v>
      </c>
      <c r="C188" s="7" t="s">
        <v>2</v>
      </c>
      <c r="D188" s="7" t="s">
        <v>18</v>
      </c>
      <c r="E188" s="7" t="s">
        <v>4</v>
      </c>
      <c r="F188" s="8">
        <v>633570</v>
      </c>
      <c r="G188" s="9">
        <v>34</v>
      </c>
      <c r="H188" s="10" t="s">
        <v>211</v>
      </c>
      <c r="I188" s="5" t="str">
        <f>CHOOSE(MATCH(B188,{"Январь","Февраль","Март","Апрель","Май","Июнь","Июль","Август","Сентябрь","Октябрь","Ноябрь","Декабрь"},0),
"Jan","Feb","Mar","Apr","May","Jun","Jul","Aug","Sep","Oct","Nov","Dec")</f>
        <v>Jul</v>
      </c>
    </row>
    <row r="189" spans="1:9" x14ac:dyDescent="0.35">
      <c r="A189" s="6">
        <v>2023</v>
      </c>
      <c r="B189" s="7" t="s">
        <v>81</v>
      </c>
      <c r="C189" s="7" t="s">
        <v>22</v>
      </c>
      <c r="D189" s="7" t="s">
        <v>18</v>
      </c>
      <c r="E189" s="7" t="s">
        <v>15</v>
      </c>
      <c r="F189" s="8">
        <v>284770</v>
      </c>
      <c r="G189" s="9">
        <v>21</v>
      </c>
      <c r="H189" s="10" t="s">
        <v>212</v>
      </c>
      <c r="I189" s="5" t="str">
        <f>CHOOSE(MATCH(B189,{"Январь","Февраль","Март","Апрель","Май","Июнь","Июль","Август","Сентябрь","Октябрь","Ноябрь","Декабрь"},0),
"Jan","Feb","Mar","Apr","May","Jun","Jul","Aug","Sep","Oct","Nov","Dec")</f>
        <v>Jul</v>
      </c>
    </row>
    <row r="190" spans="1:9" x14ac:dyDescent="0.35">
      <c r="A190" s="6">
        <v>2023</v>
      </c>
      <c r="B190" s="7" t="s">
        <v>81</v>
      </c>
      <c r="C190" s="7" t="s">
        <v>17</v>
      </c>
      <c r="D190" s="7" t="s">
        <v>3</v>
      </c>
      <c r="E190" s="7" t="s">
        <v>4</v>
      </c>
      <c r="F190" s="8">
        <v>227240</v>
      </c>
      <c r="G190" s="9">
        <v>13</v>
      </c>
      <c r="H190" s="10" t="s">
        <v>213</v>
      </c>
      <c r="I190" s="5" t="str">
        <f>CHOOSE(MATCH(B190,{"Январь","Февраль","Март","Апрель","Май","Июнь","Июль","Август","Сентябрь","Октябрь","Ноябрь","Декабрь"},0),
"Jan","Feb","Mar","Apr","May","Jun","Jul","Aug","Sep","Oct","Nov","Dec")</f>
        <v>Jul</v>
      </c>
    </row>
    <row r="191" spans="1:9" x14ac:dyDescent="0.35">
      <c r="A191" s="6">
        <v>2023</v>
      </c>
      <c r="B191" s="7" t="s">
        <v>81</v>
      </c>
      <c r="C191" s="7" t="s">
        <v>10</v>
      </c>
      <c r="D191" s="7" t="s">
        <v>7</v>
      </c>
      <c r="E191" s="7" t="s">
        <v>8</v>
      </c>
      <c r="F191" s="8">
        <v>944710</v>
      </c>
      <c r="G191" s="9">
        <v>38</v>
      </c>
      <c r="H191" s="10" t="s">
        <v>214</v>
      </c>
      <c r="I191" s="5" t="str">
        <f>CHOOSE(MATCH(B191,{"Январь","Февраль","Март","Апрель","Май","Июнь","Июль","Август","Сентябрь","Октябрь","Ноябрь","Декабрь"},0),
"Jan","Feb","Mar","Apr","May","Jun","Jul","Aug","Sep","Oct","Nov","Dec")</f>
        <v>Jul</v>
      </c>
    </row>
    <row r="192" spans="1:9" x14ac:dyDescent="0.35">
      <c r="A192" s="6">
        <v>2023</v>
      </c>
      <c r="B192" s="7" t="s">
        <v>81</v>
      </c>
      <c r="C192" s="7" t="s">
        <v>10</v>
      </c>
      <c r="D192" s="7" t="s">
        <v>7</v>
      </c>
      <c r="E192" s="7" t="s">
        <v>8</v>
      </c>
      <c r="F192" s="8">
        <v>682750</v>
      </c>
      <c r="G192" s="9">
        <v>27</v>
      </c>
      <c r="H192" s="10" t="s">
        <v>215</v>
      </c>
      <c r="I192" s="5" t="str">
        <f>CHOOSE(MATCH(B192,{"Январь","Февраль","Март","Апрель","Май","Июнь","Июль","Август","Сентябрь","Октябрь","Ноябрь","Декабрь"},0),
"Jan","Feb","Mar","Apr","May","Jun","Jul","Aug","Sep","Oct","Nov","Dec")</f>
        <v>Jul</v>
      </c>
    </row>
    <row r="193" spans="1:9" x14ac:dyDescent="0.35">
      <c r="A193" s="6">
        <v>2023</v>
      </c>
      <c r="B193" s="7" t="s">
        <v>81</v>
      </c>
      <c r="C193" s="7" t="s">
        <v>6</v>
      </c>
      <c r="D193" s="7" t="s">
        <v>7</v>
      </c>
      <c r="E193" s="7" t="s">
        <v>15</v>
      </c>
      <c r="F193" s="8">
        <v>485010</v>
      </c>
      <c r="G193" s="9">
        <v>36</v>
      </c>
      <c r="H193" s="10" t="s">
        <v>216</v>
      </c>
      <c r="I193" s="5" t="str">
        <f>CHOOSE(MATCH(B193,{"Январь","Февраль","Март","Апрель","Май","Июнь","Июль","Август","Сентябрь","Октябрь","Ноябрь","Декабрь"},0),
"Jan","Feb","Mar","Apr","May","Jun","Jul","Aug","Sep","Oct","Nov","Dec")</f>
        <v>Jul</v>
      </c>
    </row>
    <row r="194" spans="1:9" x14ac:dyDescent="0.35">
      <c r="A194" s="6">
        <v>2023</v>
      </c>
      <c r="B194" s="7" t="s">
        <v>92</v>
      </c>
      <c r="C194" s="7" t="s">
        <v>22</v>
      </c>
      <c r="D194" s="7" t="s">
        <v>7</v>
      </c>
      <c r="E194" s="7" t="s">
        <v>4</v>
      </c>
      <c r="F194" s="8">
        <v>346460</v>
      </c>
      <c r="G194" s="9">
        <v>23</v>
      </c>
      <c r="H194" s="10" t="s">
        <v>217</v>
      </c>
      <c r="I194" s="5" t="str">
        <f>CHOOSE(MATCH(B194,{"Январь","Февраль","Март","Апрель","Май","Июнь","Июль","Август","Сентябрь","Октябрь","Ноябрь","Декабрь"},0),
"Jan","Feb","Mar","Apr","May","Jun","Jul","Aug","Sep","Oct","Nov","Dec")</f>
        <v>Aug</v>
      </c>
    </row>
    <row r="195" spans="1:9" x14ac:dyDescent="0.35">
      <c r="A195" s="6">
        <v>2023</v>
      </c>
      <c r="B195" s="7" t="s">
        <v>92</v>
      </c>
      <c r="C195" s="7" t="s">
        <v>2</v>
      </c>
      <c r="D195" s="7" t="s">
        <v>11</v>
      </c>
      <c r="E195" s="7" t="s">
        <v>4</v>
      </c>
      <c r="F195" s="8">
        <v>549430</v>
      </c>
      <c r="G195" s="9">
        <v>28</v>
      </c>
      <c r="H195" s="10" t="s">
        <v>218</v>
      </c>
      <c r="I195" s="5" t="str">
        <f>CHOOSE(MATCH(B195,{"Январь","Февраль","Март","Апрель","Май","Июнь","Июль","Август","Сентябрь","Октябрь","Ноябрь","Декабрь"},0),
"Jan","Feb","Mar","Apr","May","Jun","Jul","Aug","Sep","Oct","Nov","Dec")</f>
        <v>Aug</v>
      </c>
    </row>
    <row r="196" spans="1:9" x14ac:dyDescent="0.35">
      <c r="A196" s="6">
        <v>2023</v>
      </c>
      <c r="B196" s="7" t="s">
        <v>92</v>
      </c>
      <c r="C196" s="7" t="s">
        <v>2</v>
      </c>
      <c r="D196" s="7" t="s">
        <v>3</v>
      </c>
      <c r="E196" s="7" t="s">
        <v>15</v>
      </c>
      <c r="F196" s="8">
        <v>251100</v>
      </c>
      <c r="G196" s="9">
        <v>16</v>
      </c>
      <c r="H196" s="10" t="s">
        <v>219</v>
      </c>
      <c r="I196" s="5" t="str">
        <f>CHOOSE(MATCH(B196,{"Январь","Февраль","Март","Апрель","Май","Июнь","Июль","Август","Сентябрь","Октябрь","Ноябрь","Декабрь"},0),
"Jan","Feb","Mar","Apr","May","Jun","Jul","Aug","Sep","Oct","Nov","Dec")</f>
        <v>Aug</v>
      </c>
    </row>
    <row r="197" spans="1:9" x14ac:dyDescent="0.35">
      <c r="A197" s="6">
        <v>2023</v>
      </c>
      <c r="B197" s="7" t="s">
        <v>92</v>
      </c>
      <c r="C197" s="7" t="s">
        <v>2</v>
      </c>
      <c r="D197" s="7" t="s">
        <v>18</v>
      </c>
      <c r="E197" s="7" t="s">
        <v>4</v>
      </c>
      <c r="F197" s="8">
        <v>270050</v>
      </c>
      <c r="G197" s="9">
        <v>15</v>
      </c>
      <c r="H197" s="10" t="s">
        <v>220</v>
      </c>
      <c r="I197" s="5" t="str">
        <f>CHOOSE(MATCH(B197,{"Январь","Февраль","Март","Апрель","Май","Июнь","Июль","Август","Сентябрь","Октябрь","Ноябрь","Декабрь"},0),
"Jan","Feb","Mar","Apr","May","Jun","Jul","Aug","Sep","Oct","Nov","Dec")</f>
        <v>Aug</v>
      </c>
    </row>
    <row r="198" spans="1:9" x14ac:dyDescent="0.35">
      <c r="A198" s="6">
        <v>2023</v>
      </c>
      <c r="B198" s="7" t="s">
        <v>92</v>
      </c>
      <c r="C198" s="7" t="s">
        <v>22</v>
      </c>
      <c r="D198" s="7" t="s">
        <v>18</v>
      </c>
      <c r="E198" s="7" t="s">
        <v>4</v>
      </c>
      <c r="F198" s="8">
        <v>548750</v>
      </c>
      <c r="G198" s="9">
        <v>36</v>
      </c>
      <c r="H198" s="10" t="s">
        <v>221</v>
      </c>
      <c r="I198" s="5" t="str">
        <f>CHOOSE(MATCH(B198,{"Январь","Февраль","Март","Апрель","Май","Июнь","Июль","Август","Сентябрь","Октябрь","Ноябрь","Декабрь"},0),
"Jan","Feb","Mar","Apr","May","Jun","Jul","Aug","Sep","Oct","Nov","Dec")</f>
        <v>Aug</v>
      </c>
    </row>
    <row r="199" spans="1:9" x14ac:dyDescent="0.35">
      <c r="A199" s="6">
        <v>2023</v>
      </c>
      <c r="B199" s="7" t="s">
        <v>92</v>
      </c>
      <c r="C199" s="7" t="s">
        <v>2</v>
      </c>
      <c r="D199" s="7" t="s">
        <v>14</v>
      </c>
      <c r="E199" s="7" t="s">
        <v>8</v>
      </c>
      <c r="F199" s="8">
        <v>418570</v>
      </c>
      <c r="G199" s="9">
        <v>19</v>
      </c>
      <c r="H199" s="10" t="s">
        <v>222</v>
      </c>
      <c r="I199" s="5" t="str">
        <f>CHOOSE(MATCH(B199,{"Январь","Февраль","Март","Апрель","Май","Июнь","Июль","Август","Сентябрь","Октябрь","Ноябрь","Декабрь"},0),
"Jan","Feb","Mar","Apr","May","Jun","Jul","Aug","Sep","Oct","Nov","Dec")</f>
        <v>Aug</v>
      </c>
    </row>
    <row r="200" spans="1:9" x14ac:dyDescent="0.35">
      <c r="A200" s="6">
        <v>2023</v>
      </c>
      <c r="B200" s="7" t="s">
        <v>92</v>
      </c>
      <c r="C200" s="7" t="s">
        <v>22</v>
      </c>
      <c r="D200" s="7" t="s">
        <v>18</v>
      </c>
      <c r="E200" s="7" t="s">
        <v>8</v>
      </c>
      <c r="F200" s="8">
        <v>256180</v>
      </c>
      <c r="G200" s="9">
        <v>14</v>
      </c>
      <c r="H200" s="10" t="s">
        <v>223</v>
      </c>
      <c r="I200" s="5" t="str">
        <f>CHOOSE(MATCH(B200,{"Январь","Февраль","Март","Апрель","Май","Июнь","Июль","Август","Сентябрь","Октябрь","Ноябрь","Декабрь"},0),
"Jan","Feb","Mar","Apr","May","Jun","Jul","Aug","Sep","Oct","Nov","Dec")</f>
        <v>Aug</v>
      </c>
    </row>
    <row r="201" spans="1:9" x14ac:dyDescent="0.35">
      <c r="A201" s="6">
        <v>2023</v>
      </c>
      <c r="B201" s="7" t="s">
        <v>92</v>
      </c>
      <c r="C201" s="7" t="s">
        <v>10</v>
      </c>
      <c r="D201" s="7" t="s">
        <v>7</v>
      </c>
      <c r="E201" s="7" t="s">
        <v>12</v>
      </c>
      <c r="F201" s="8">
        <v>565640</v>
      </c>
      <c r="G201" s="9">
        <v>35</v>
      </c>
      <c r="H201" s="10" t="s">
        <v>224</v>
      </c>
      <c r="I201" s="5" t="str">
        <f>CHOOSE(MATCH(B201,{"Январь","Февраль","Март","Апрель","Май","Июнь","Июль","Август","Сентябрь","Октябрь","Ноябрь","Декабрь"},0),
"Jan","Feb","Mar","Apr","May","Jun","Jul","Aug","Sep","Oct","Nov","Dec")</f>
        <v>Aug</v>
      </c>
    </row>
    <row r="202" spans="1:9" x14ac:dyDescent="0.35">
      <c r="A202" s="6">
        <v>2023</v>
      </c>
      <c r="B202" s="7" t="s">
        <v>92</v>
      </c>
      <c r="C202" s="7" t="s">
        <v>2</v>
      </c>
      <c r="D202" s="7" t="s">
        <v>7</v>
      </c>
      <c r="E202" s="7" t="s">
        <v>12</v>
      </c>
      <c r="F202" s="8">
        <v>379910</v>
      </c>
      <c r="G202" s="9">
        <v>29</v>
      </c>
      <c r="H202" s="10" t="s">
        <v>225</v>
      </c>
      <c r="I202" s="5" t="str">
        <f>CHOOSE(MATCH(B202,{"Январь","Февраль","Март","Апрель","Май","Июнь","Июль","Август","Сентябрь","Октябрь","Ноябрь","Декабрь"},0),
"Jan","Feb","Mar","Apr","May","Jun","Jul","Aug","Sep","Oct","Nov","Dec")</f>
        <v>Aug</v>
      </c>
    </row>
    <row r="203" spans="1:9" x14ac:dyDescent="0.35">
      <c r="A203" s="6">
        <v>2023</v>
      </c>
      <c r="B203" s="7" t="s">
        <v>92</v>
      </c>
      <c r="C203" s="7" t="s">
        <v>2</v>
      </c>
      <c r="D203" s="7" t="s">
        <v>7</v>
      </c>
      <c r="E203" s="7" t="s">
        <v>12</v>
      </c>
      <c r="F203" s="8">
        <v>376720</v>
      </c>
      <c r="G203" s="9">
        <v>27</v>
      </c>
      <c r="H203" s="10" t="s">
        <v>226</v>
      </c>
      <c r="I203" s="5" t="str">
        <f>CHOOSE(MATCH(B203,{"Январь","Февраль","Март","Апрель","Май","Июнь","Июль","Август","Сентябрь","Октябрь","Ноябрь","Декабрь"},0),
"Jan","Feb","Mar","Apr","May","Jun","Jul","Aug","Sep","Oct","Nov","Dec")</f>
        <v>Aug</v>
      </c>
    </row>
    <row r="204" spans="1:9" x14ac:dyDescent="0.35">
      <c r="A204" s="6">
        <v>2023</v>
      </c>
      <c r="B204" s="7" t="s">
        <v>103</v>
      </c>
      <c r="C204" s="7" t="s">
        <v>22</v>
      </c>
      <c r="D204" s="7" t="s">
        <v>18</v>
      </c>
      <c r="E204" s="7" t="s">
        <v>8</v>
      </c>
      <c r="F204" s="8">
        <v>573950</v>
      </c>
      <c r="G204" s="9">
        <v>34</v>
      </c>
      <c r="H204" s="10" t="s">
        <v>227</v>
      </c>
      <c r="I204" s="5" t="str">
        <f>CHOOSE(MATCH(B204,{"Январь","Февраль","Март","Апрель","Май","Июнь","Июль","Август","Сентябрь","Октябрь","Ноябрь","Декабрь"},0),
"Jan","Feb","Mar","Apr","May","Jun","Jul","Aug","Sep","Oct","Nov","Dec")</f>
        <v>Sep</v>
      </c>
    </row>
    <row r="205" spans="1:9" x14ac:dyDescent="0.35">
      <c r="A205" s="6">
        <v>2023</v>
      </c>
      <c r="B205" s="7" t="s">
        <v>103</v>
      </c>
      <c r="C205" s="7" t="s">
        <v>10</v>
      </c>
      <c r="D205" s="7" t="s">
        <v>18</v>
      </c>
      <c r="E205" s="7" t="s">
        <v>8</v>
      </c>
      <c r="F205" s="8">
        <v>1005920</v>
      </c>
      <c r="G205" s="9">
        <v>40</v>
      </c>
      <c r="H205" s="10" t="s">
        <v>228</v>
      </c>
      <c r="I205" s="5" t="str">
        <f>CHOOSE(MATCH(B205,{"Январь","Февраль","Март","Апрель","Май","Июнь","Июль","Август","Сентябрь","Октябрь","Ноябрь","Декабрь"},0),
"Jan","Feb","Mar","Apr","May","Jun","Jul","Aug","Sep","Oct","Nov","Dec")</f>
        <v>Sep</v>
      </c>
    </row>
    <row r="206" spans="1:9" x14ac:dyDescent="0.35">
      <c r="A206" s="6">
        <v>2023</v>
      </c>
      <c r="B206" s="7" t="s">
        <v>103</v>
      </c>
      <c r="C206" s="7" t="s">
        <v>6</v>
      </c>
      <c r="D206" s="7" t="s">
        <v>18</v>
      </c>
      <c r="E206" s="7" t="s">
        <v>8</v>
      </c>
      <c r="F206" s="8">
        <v>714390</v>
      </c>
      <c r="G206" s="9">
        <v>38</v>
      </c>
      <c r="H206" s="10" t="s">
        <v>229</v>
      </c>
      <c r="I206" s="5" t="str">
        <f>CHOOSE(MATCH(B206,{"Январь","Февраль","Март","Апрель","Май","Июнь","Июль","Август","Сентябрь","Октябрь","Ноябрь","Декабрь"},0),
"Jan","Feb","Mar","Apr","May","Jun","Jul","Aug","Sep","Oct","Nov","Dec")</f>
        <v>Sep</v>
      </c>
    </row>
    <row r="207" spans="1:9" x14ac:dyDescent="0.35">
      <c r="A207" s="6">
        <v>2023</v>
      </c>
      <c r="B207" s="7" t="s">
        <v>103</v>
      </c>
      <c r="C207" s="7" t="s">
        <v>6</v>
      </c>
      <c r="D207" s="7" t="s">
        <v>3</v>
      </c>
      <c r="E207" s="7" t="s">
        <v>15</v>
      </c>
      <c r="F207" s="8">
        <v>520410</v>
      </c>
      <c r="G207" s="9">
        <v>37</v>
      </c>
      <c r="H207" s="10" t="s">
        <v>230</v>
      </c>
      <c r="I207" s="5" t="str">
        <f>CHOOSE(MATCH(B207,{"Январь","Февраль","Март","Апрель","Май","Июнь","Июль","Август","Сентябрь","Октябрь","Ноябрь","Декабрь"},0),
"Jan","Feb","Mar","Apr","May","Jun","Jul","Aug","Sep","Oct","Nov","Dec")</f>
        <v>Sep</v>
      </c>
    </row>
    <row r="208" spans="1:9" x14ac:dyDescent="0.35">
      <c r="A208" s="6">
        <v>2023</v>
      </c>
      <c r="B208" s="7" t="s">
        <v>103</v>
      </c>
      <c r="C208" s="7" t="s">
        <v>10</v>
      </c>
      <c r="D208" s="7" t="s">
        <v>7</v>
      </c>
      <c r="E208" s="7" t="s">
        <v>15</v>
      </c>
      <c r="F208" s="8">
        <v>520880</v>
      </c>
      <c r="G208" s="9">
        <v>29</v>
      </c>
      <c r="H208" s="10" t="s">
        <v>231</v>
      </c>
      <c r="I208" s="5" t="str">
        <f>CHOOSE(MATCH(B208,{"Январь","Февраль","Март","Апрель","Май","Июнь","Июль","Август","Сентябрь","Октябрь","Ноябрь","Декабрь"},0),
"Jan","Feb","Mar","Apr","May","Jun","Jul","Aug","Sep","Oct","Nov","Dec")</f>
        <v>Sep</v>
      </c>
    </row>
    <row r="209" spans="1:9" x14ac:dyDescent="0.35">
      <c r="A209" s="6">
        <v>2023</v>
      </c>
      <c r="B209" s="7" t="s">
        <v>103</v>
      </c>
      <c r="C209" s="7" t="s">
        <v>22</v>
      </c>
      <c r="D209" s="7" t="s">
        <v>18</v>
      </c>
      <c r="E209" s="7" t="s">
        <v>8</v>
      </c>
      <c r="F209" s="8">
        <v>504960</v>
      </c>
      <c r="G209" s="9">
        <v>28</v>
      </c>
      <c r="H209" s="10" t="s">
        <v>232</v>
      </c>
      <c r="I209" s="5" t="str">
        <f>CHOOSE(MATCH(B209,{"Январь","Февраль","Март","Апрель","Май","Июнь","Июль","Август","Сентябрь","Октябрь","Ноябрь","Декабрь"},0),
"Jan","Feb","Mar","Apr","May","Jun","Jul","Aug","Sep","Oct","Nov","Dec")</f>
        <v>Sep</v>
      </c>
    </row>
    <row r="210" spans="1:9" x14ac:dyDescent="0.35">
      <c r="A210" s="6">
        <v>2023</v>
      </c>
      <c r="B210" s="7" t="s">
        <v>103</v>
      </c>
      <c r="C210" s="7" t="s">
        <v>6</v>
      </c>
      <c r="D210" s="7" t="s">
        <v>3</v>
      </c>
      <c r="E210" s="7" t="s">
        <v>15</v>
      </c>
      <c r="F210" s="8">
        <v>340400</v>
      </c>
      <c r="G210" s="9">
        <v>24</v>
      </c>
      <c r="H210" s="10" t="s">
        <v>233</v>
      </c>
      <c r="I210" s="5" t="str">
        <f>CHOOSE(MATCH(B210,{"Январь","Февраль","Март","Апрель","Май","Июнь","Июль","Август","Сентябрь","Октябрь","Ноябрь","Декабрь"},0),
"Jan","Feb","Mar","Apr","May","Jun","Jul","Aug","Sep","Oct","Nov","Dec")</f>
        <v>Sep</v>
      </c>
    </row>
    <row r="211" spans="1:9" x14ac:dyDescent="0.35">
      <c r="A211" s="6">
        <v>2023</v>
      </c>
      <c r="B211" s="7" t="s">
        <v>103</v>
      </c>
      <c r="C211" s="7" t="s">
        <v>22</v>
      </c>
      <c r="D211" s="7" t="s">
        <v>3</v>
      </c>
      <c r="E211" s="7" t="s">
        <v>15</v>
      </c>
      <c r="F211" s="8">
        <v>333020</v>
      </c>
      <c r="G211" s="9">
        <v>26</v>
      </c>
      <c r="H211" s="10" t="s">
        <v>234</v>
      </c>
      <c r="I211" s="5" t="str">
        <f>CHOOSE(MATCH(B211,{"Январь","Февраль","Март","Апрель","Май","Июнь","Июль","Август","Сентябрь","Октябрь","Ноябрь","Декабрь"},0),
"Jan","Feb","Mar","Apr","May","Jun","Jul","Aug","Sep","Oct","Nov","Dec")</f>
        <v>Sep</v>
      </c>
    </row>
    <row r="212" spans="1:9" x14ac:dyDescent="0.35">
      <c r="A212" s="6">
        <v>2023</v>
      </c>
      <c r="B212" s="7" t="s">
        <v>103</v>
      </c>
      <c r="C212" s="7" t="s">
        <v>6</v>
      </c>
      <c r="D212" s="7" t="s">
        <v>3</v>
      </c>
      <c r="E212" s="7" t="s">
        <v>12</v>
      </c>
      <c r="F212" s="8">
        <v>539650</v>
      </c>
      <c r="G212" s="9">
        <v>42</v>
      </c>
      <c r="H212" s="10" t="s">
        <v>235</v>
      </c>
      <c r="I212" s="5" t="str">
        <f>CHOOSE(MATCH(B212,{"Январь","Февраль","Март","Апрель","Май","Июнь","Июль","Август","Сентябрь","Октябрь","Ноябрь","Декабрь"},0),
"Jan","Feb","Mar","Apr","May","Jun","Jul","Aug","Sep","Oct","Nov","Dec")</f>
        <v>Sep</v>
      </c>
    </row>
    <row r="213" spans="1:9" x14ac:dyDescent="0.35">
      <c r="A213" s="6">
        <v>2023</v>
      </c>
      <c r="B213" s="7" t="s">
        <v>103</v>
      </c>
      <c r="C213" s="7" t="s">
        <v>2</v>
      </c>
      <c r="D213" s="7" t="s">
        <v>3</v>
      </c>
      <c r="E213" s="7" t="s">
        <v>15</v>
      </c>
      <c r="F213" s="8">
        <v>389060</v>
      </c>
      <c r="G213" s="9">
        <v>24</v>
      </c>
      <c r="H213" s="10" t="s">
        <v>236</v>
      </c>
      <c r="I213" s="5" t="str">
        <f>CHOOSE(MATCH(B213,{"Январь","Февраль","Март","Апрель","Май","Июнь","Июль","Август","Сентябрь","Октябрь","Ноябрь","Декабрь"},0),
"Jan","Feb","Mar","Apr","May","Jun","Jul","Aug","Sep","Oct","Nov","Dec")</f>
        <v>Sep</v>
      </c>
    </row>
    <row r="214" spans="1:9" x14ac:dyDescent="0.35">
      <c r="A214" s="6">
        <v>2023</v>
      </c>
      <c r="B214" s="7" t="s">
        <v>114</v>
      </c>
      <c r="C214" s="7" t="s">
        <v>2</v>
      </c>
      <c r="D214" s="7" t="s">
        <v>18</v>
      </c>
      <c r="E214" s="7" t="s">
        <v>15</v>
      </c>
      <c r="F214" s="8">
        <v>238880</v>
      </c>
      <c r="G214" s="9">
        <v>14</v>
      </c>
      <c r="H214" s="10" t="s">
        <v>237</v>
      </c>
      <c r="I214" s="5" t="str">
        <f>CHOOSE(MATCH(B214,{"Январь","Февраль","Март","Апрель","Май","Июнь","Июль","Август","Сентябрь","Октябрь","Ноябрь","Декабрь"},0),
"Jan","Feb","Mar","Apr","May","Jun","Jul","Aug","Sep","Oct","Nov","Dec")</f>
        <v>Oct</v>
      </c>
    </row>
    <row r="215" spans="1:9" x14ac:dyDescent="0.35">
      <c r="A215" s="6">
        <v>2023</v>
      </c>
      <c r="B215" s="7" t="s">
        <v>114</v>
      </c>
      <c r="C215" s="7" t="s">
        <v>10</v>
      </c>
      <c r="D215" s="7" t="s">
        <v>7</v>
      </c>
      <c r="E215" s="7" t="s">
        <v>12</v>
      </c>
      <c r="F215" s="8">
        <v>307580</v>
      </c>
      <c r="G215" s="9">
        <v>19</v>
      </c>
      <c r="H215" s="10" t="s">
        <v>238</v>
      </c>
      <c r="I215" s="5" t="str">
        <f>CHOOSE(MATCH(B215,{"Январь","Февраль","Март","Апрель","Май","Июнь","Июль","Август","Сентябрь","Октябрь","Ноябрь","Декабрь"},0),
"Jan","Feb","Mar","Apr","May","Jun","Jul","Aug","Sep","Oct","Nov","Dec")</f>
        <v>Oct</v>
      </c>
    </row>
    <row r="216" spans="1:9" x14ac:dyDescent="0.35">
      <c r="A216" s="6">
        <v>2023</v>
      </c>
      <c r="B216" s="7" t="s">
        <v>114</v>
      </c>
      <c r="C216" s="7" t="s">
        <v>17</v>
      </c>
      <c r="D216" s="7" t="s">
        <v>11</v>
      </c>
      <c r="E216" s="7" t="s">
        <v>15</v>
      </c>
      <c r="F216" s="8">
        <v>622600</v>
      </c>
      <c r="G216" s="9">
        <v>39</v>
      </c>
      <c r="H216" s="10" t="s">
        <v>239</v>
      </c>
      <c r="I216" s="5" t="str">
        <f>CHOOSE(MATCH(B216,{"Январь","Февраль","Март","Апрель","Май","Июнь","Июль","Август","Сентябрь","Октябрь","Ноябрь","Декабрь"},0),
"Jan","Feb","Mar","Apr","May","Jun","Jul","Aug","Sep","Oct","Nov","Dec")</f>
        <v>Oct</v>
      </c>
    </row>
    <row r="217" spans="1:9" x14ac:dyDescent="0.35">
      <c r="A217" s="6">
        <v>2023</v>
      </c>
      <c r="B217" s="7" t="s">
        <v>114</v>
      </c>
      <c r="C217" s="7" t="s">
        <v>17</v>
      </c>
      <c r="D217" s="7" t="s">
        <v>11</v>
      </c>
      <c r="E217" s="7" t="s">
        <v>12</v>
      </c>
      <c r="F217" s="8">
        <v>536350</v>
      </c>
      <c r="G217" s="9">
        <v>39</v>
      </c>
      <c r="H217" s="10" t="s">
        <v>240</v>
      </c>
      <c r="I217" s="5" t="str">
        <f>CHOOSE(MATCH(B217,{"Январь","Февраль","Март","Апрель","Май","Июнь","Июль","Август","Сентябрь","Октябрь","Ноябрь","Декабрь"},0),
"Jan","Feb","Mar","Apr","May","Jun","Jul","Aug","Sep","Oct","Nov","Dec")</f>
        <v>Oct</v>
      </c>
    </row>
    <row r="218" spans="1:9" x14ac:dyDescent="0.35">
      <c r="A218" s="6">
        <v>2023</v>
      </c>
      <c r="B218" s="7" t="s">
        <v>114</v>
      </c>
      <c r="C218" s="7" t="s">
        <v>22</v>
      </c>
      <c r="D218" s="7" t="s">
        <v>18</v>
      </c>
      <c r="E218" s="7" t="s">
        <v>4</v>
      </c>
      <c r="F218" s="8">
        <v>584200</v>
      </c>
      <c r="G218" s="9">
        <v>39</v>
      </c>
      <c r="H218" s="10" t="s">
        <v>241</v>
      </c>
      <c r="I218" s="5" t="str">
        <f>CHOOSE(MATCH(B218,{"Январь","Февраль","Март","Апрель","Май","Июнь","Июль","Август","Сентябрь","Октябрь","Ноябрь","Декабрь"},0),
"Jan","Feb","Mar","Apr","May","Jun","Jul","Aug","Sep","Oct","Nov","Dec")</f>
        <v>Oct</v>
      </c>
    </row>
    <row r="219" spans="1:9" x14ac:dyDescent="0.35">
      <c r="A219" s="6">
        <v>2023</v>
      </c>
      <c r="B219" s="7" t="s">
        <v>114</v>
      </c>
      <c r="C219" s="7" t="s">
        <v>6</v>
      </c>
      <c r="D219" s="7" t="s">
        <v>3</v>
      </c>
      <c r="E219" s="7" t="s">
        <v>8</v>
      </c>
      <c r="F219" s="8">
        <v>686360</v>
      </c>
      <c r="G219" s="9">
        <v>36</v>
      </c>
      <c r="H219" s="10" t="s">
        <v>242</v>
      </c>
      <c r="I219" s="5" t="str">
        <f>CHOOSE(MATCH(B219,{"Январь","Февраль","Март","Апрель","Май","Июнь","Июль","Август","Сентябрь","Октябрь","Ноябрь","Декабрь"},0),
"Jan","Feb","Mar","Apr","May","Jun","Jul","Aug","Sep","Oct","Nov","Dec")</f>
        <v>Oct</v>
      </c>
    </row>
    <row r="220" spans="1:9" x14ac:dyDescent="0.35">
      <c r="A220" s="6">
        <v>2023</v>
      </c>
      <c r="B220" s="7" t="s">
        <v>114</v>
      </c>
      <c r="C220" s="7" t="s">
        <v>10</v>
      </c>
      <c r="D220" s="7" t="s">
        <v>18</v>
      </c>
      <c r="E220" s="7" t="s">
        <v>12</v>
      </c>
      <c r="F220" s="8">
        <v>290410</v>
      </c>
      <c r="G220" s="9">
        <v>17</v>
      </c>
      <c r="H220" s="10" t="s">
        <v>243</v>
      </c>
      <c r="I220" s="5" t="str">
        <f>CHOOSE(MATCH(B220,{"Январь","Февраль","Март","Апрель","Май","Июнь","Июль","Август","Сентябрь","Октябрь","Ноябрь","Декабрь"},0),
"Jan","Feb","Mar","Apr","May","Jun","Jul","Aug","Sep","Oct","Nov","Dec")</f>
        <v>Oct</v>
      </c>
    </row>
    <row r="221" spans="1:9" x14ac:dyDescent="0.35">
      <c r="A221" s="6">
        <v>2023</v>
      </c>
      <c r="B221" s="7" t="s">
        <v>114</v>
      </c>
      <c r="C221" s="7" t="s">
        <v>10</v>
      </c>
      <c r="D221" s="7" t="s">
        <v>11</v>
      </c>
      <c r="E221" s="7" t="s">
        <v>15</v>
      </c>
      <c r="F221" s="8">
        <v>360970</v>
      </c>
      <c r="G221" s="9">
        <v>18</v>
      </c>
      <c r="H221" s="10" t="s">
        <v>244</v>
      </c>
      <c r="I221" s="5" t="str">
        <f>CHOOSE(MATCH(B221,{"Январь","Февраль","Март","Апрель","Май","Июнь","Июль","Август","Сентябрь","Октябрь","Ноябрь","Декабрь"},0),
"Jan","Feb","Mar","Apr","May","Jun","Jul","Aug","Sep","Oct","Nov","Dec")</f>
        <v>Oct</v>
      </c>
    </row>
    <row r="222" spans="1:9" x14ac:dyDescent="0.35">
      <c r="A222" s="6">
        <v>2023</v>
      </c>
      <c r="B222" s="7" t="s">
        <v>114</v>
      </c>
      <c r="C222" s="7" t="s">
        <v>22</v>
      </c>
      <c r="D222" s="7" t="s">
        <v>18</v>
      </c>
      <c r="E222" s="7" t="s">
        <v>8</v>
      </c>
      <c r="F222" s="8">
        <v>466580</v>
      </c>
      <c r="G222" s="9">
        <v>27</v>
      </c>
      <c r="H222" s="10" t="s">
        <v>245</v>
      </c>
      <c r="I222" s="5" t="str">
        <f>CHOOSE(MATCH(B222,{"Январь","Февраль","Март","Апрель","Май","Июнь","Июль","Август","Сентябрь","Октябрь","Ноябрь","Декабрь"},0),
"Jan","Feb","Mar","Apr","May","Jun","Jul","Aug","Sep","Oct","Nov","Dec")</f>
        <v>Oct</v>
      </c>
    </row>
    <row r="223" spans="1:9" x14ac:dyDescent="0.35">
      <c r="A223" s="6">
        <v>2023</v>
      </c>
      <c r="B223" s="7" t="s">
        <v>114</v>
      </c>
      <c r="C223" s="7" t="s">
        <v>6</v>
      </c>
      <c r="D223" s="7" t="s">
        <v>3</v>
      </c>
      <c r="E223" s="7" t="s">
        <v>8</v>
      </c>
      <c r="F223" s="8">
        <v>615640</v>
      </c>
      <c r="G223" s="9">
        <v>32</v>
      </c>
      <c r="H223" s="10" t="s">
        <v>246</v>
      </c>
      <c r="I223" s="5" t="str">
        <f>CHOOSE(MATCH(B223,{"Январь","Февраль","Март","Апрель","Май","Июнь","Июль","Август","Сентябрь","Октябрь","Ноябрь","Декабрь"},0),
"Jan","Feb","Mar","Apr","May","Jun","Jul","Aug","Sep","Oct","Nov","Dec")</f>
        <v>Oct</v>
      </c>
    </row>
    <row r="224" spans="1:9" x14ac:dyDescent="0.35">
      <c r="A224" s="6">
        <v>2023</v>
      </c>
      <c r="B224" s="7" t="s">
        <v>125</v>
      </c>
      <c r="C224" s="7" t="s">
        <v>22</v>
      </c>
      <c r="D224" s="7" t="s">
        <v>18</v>
      </c>
      <c r="E224" s="7" t="s">
        <v>12</v>
      </c>
      <c r="F224" s="8">
        <v>400020</v>
      </c>
      <c r="G224" s="9">
        <v>36</v>
      </c>
      <c r="H224" s="10" t="s">
        <v>247</v>
      </c>
      <c r="I224" s="5" t="str">
        <f>CHOOSE(MATCH(B224,{"Январь","Февраль","Март","Апрель","Май","Июнь","Июль","Август","Сентябрь","Октябрь","Ноябрь","Декабрь"},0),
"Jan","Feb","Mar","Apr","May","Jun","Jul","Aug","Sep","Oct","Nov","Dec")</f>
        <v>Nov</v>
      </c>
    </row>
    <row r="225" spans="1:9" x14ac:dyDescent="0.35">
      <c r="A225" s="6">
        <v>2023</v>
      </c>
      <c r="B225" s="7" t="s">
        <v>125</v>
      </c>
      <c r="C225" s="7" t="s">
        <v>22</v>
      </c>
      <c r="D225" s="7" t="s">
        <v>11</v>
      </c>
      <c r="E225" s="7" t="s">
        <v>8</v>
      </c>
      <c r="F225" s="8">
        <v>293720</v>
      </c>
      <c r="G225" s="9">
        <v>17</v>
      </c>
      <c r="H225" s="10" t="s">
        <v>248</v>
      </c>
      <c r="I225" s="5" t="str">
        <f>CHOOSE(MATCH(B225,{"Январь","Февраль","Март","Апрель","Май","Июнь","Июль","Август","Сентябрь","Октябрь","Ноябрь","Декабрь"},0),
"Jan","Feb","Mar","Apr","May","Jun","Jul","Aug","Sep","Oct","Nov","Dec")</f>
        <v>Nov</v>
      </c>
    </row>
    <row r="226" spans="1:9" x14ac:dyDescent="0.35">
      <c r="A226" s="6">
        <v>2023</v>
      </c>
      <c r="B226" s="7" t="s">
        <v>125</v>
      </c>
      <c r="C226" s="7" t="s">
        <v>17</v>
      </c>
      <c r="D226" s="7" t="s">
        <v>18</v>
      </c>
      <c r="E226" s="7" t="s">
        <v>12</v>
      </c>
      <c r="F226" s="8">
        <v>274140</v>
      </c>
      <c r="G226" s="9">
        <v>21</v>
      </c>
      <c r="H226" s="10" t="s">
        <v>249</v>
      </c>
      <c r="I226" s="5" t="str">
        <f>CHOOSE(MATCH(B226,{"Январь","Февраль","Март","Апрель","Май","Июнь","Июль","Август","Сентябрь","Октябрь","Ноябрь","Декабрь"},0),
"Jan","Feb","Mar","Apr","May","Jun","Jul","Aug","Sep","Oct","Nov","Dec")</f>
        <v>Nov</v>
      </c>
    </row>
    <row r="227" spans="1:9" x14ac:dyDescent="0.35">
      <c r="A227" s="6">
        <v>2023</v>
      </c>
      <c r="B227" s="7" t="s">
        <v>125</v>
      </c>
      <c r="C227" s="7" t="s">
        <v>6</v>
      </c>
      <c r="D227" s="7" t="s">
        <v>11</v>
      </c>
      <c r="E227" s="7" t="s">
        <v>15</v>
      </c>
      <c r="F227" s="8">
        <v>564710</v>
      </c>
      <c r="G227" s="9">
        <v>41</v>
      </c>
      <c r="H227" s="10" t="s">
        <v>250</v>
      </c>
      <c r="I227" s="5" t="str">
        <f>CHOOSE(MATCH(B227,{"Январь","Февраль","Март","Апрель","Май","Июнь","Июль","Август","Сентябрь","Октябрь","Ноябрь","Декабрь"},0),
"Jan","Feb","Mar","Apr","May","Jun","Jul","Aug","Sep","Oct","Nov","Dec")</f>
        <v>Nov</v>
      </c>
    </row>
    <row r="228" spans="1:9" x14ac:dyDescent="0.35">
      <c r="A228" s="6">
        <v>2023</v>
      </c>
      <c r="B228" s="7" t="s">
        <v>125</v>
      </c>
      <c r="C228" s="7" t="s">
        <v>22</v>
      </c>
      <c r="D228" s="7" t="s">
        <v>18</v>
      </c>
      <c r="E228" s="7" t="s">
        <v>4</v>
      </c>
      <c r="F228" s="8">
        <v>384480</v>
      </c>
      <c r="G228" s="9">
        <v>26</v>
      </c>
      <c r="H228" s="10" t="s">
        <v>251</v>
      </c>
      <c r="I228" s="5" t="str">
        <f>CHOOSE(MATCH(B228,{"Январь","Февраль","Март","Апрель","Май","Июнь","Июль","Август","Сентябрь","Октябрь","Ноябрь","Декабрь"},0),
"Jan","Feb","Mar","Apr","May","Jun","Jul","Aug","Sep","Oct","Nov","Dec")</f>
        <v>Nov</v>
      </c>
    </row>
    <row r="229" spans="1:9" x14ac:dyDescent="0.35">
      <c r="A229" s="6">
        <v>2023</v>
      </c>
      <c r="B229" s="7" t="s">
        <v>125</v>
      </c>
      <c r="C229" s="7" t="s">
        <v>10</v>
      </c>
      <c r="D229" s="7" t="s">
        <v>18</v>
      </c>
      <c r="E229" s="7" t="s">
        <v>4</v>
      </c>
      <c r="F229" s="8">
        <v>731940</v>
      </c>
      <c r="G229" s="9">
        <v>33</v>
      </c>
      <c r="H229" s="10" t="s">
        <v>252</v>
      </c>
      <c r="I229" s="5" t="str">
        <f>CHOOSE(MATCH(B229,{"Январь","Февраль","Март","Апрель","Май","Июнь","Июль","Август","Сентябрь","Октябрь","Ноябрь","Декабрь"},0),
"Jan","Feb","Mar","Apr","May","Jun","Jul","Aug","Sep","Oct","Nov","Dec")</f>
        <v>Nov</v>
      </c>
    </row>
    <row r="230" spans="1:9" x14ac:dyDescent="0.35">
      <c r="A230" s="6">
        <v>2023</v>
      </c>
      <c r="B230" s="7" t="s">
        <v>125</v>
      </c>
      <c r="C230" s="7" t="s">
        <v>6</v>
      </c>
      <c r="D230" s="7" t="s">
        <v>11</v>
      </c>
      <c r="E230" s="7" t="s">
        <v>4</v>
      </c>
      <c r="F230" s="8">
        <v>597340</v>
      </c>
      <c r="G230" s="9">
        <v>36</v>
      </c>
      <c r="H230" s="10" t="s">
        <v>253</v>
      </c>
      <c r="I230" s="5" t="str">
        <f>CHOOSE(MATCH(B230,{"Январь","Февраль","Март","Апрель","Май","Июнь","Июль","Август","Сентябрь","Октябрь","Ноябрь","Декабрь"},0),
"Jan","Feb","Mar","Apr","May","Jun","Jul","Aug","Sep","Oct","Nov","Dec")</f>
        <v>Nov</v>
      </c>
    </row>
    <row r="231" spans="1:9" x14ac:dyDescent="0.35">
      <c r="A231" s="6">
        <v>2023</v>
      </c>
      <c r="B231" s="7" t="s">
        <v>125</v>
      </c>
      <c r="C231" s="7" t="s">
        <v>2</v>
      </c>
      <c r="D231" s="7" t="s">
        <v>18</v>
      </c>
      <c r="E231" s="7" t="s">
        <v>8</v>
      </c>
      <c r="F231" s="8">
        <v>333300</v>
      </c>
      <c r="G231" s="9">
        <v>16</v>
      </c>
      <c r="H231" s="10" t="s">
        <v>254</v>
      </c>
      <c r="I231" s="5" t="str">
        <f>CHOOSE(MATCH(B231,{"Январь","Февраль","Март","Апрель","Май","Июнь","Июль","Август","Сентябрь","Октябрь","Ноябрь","Декабрь"},0),
"Jan","Feb","Mar","Apr","May","Jun","Jul","Aug","Sep","Oct","Nov","Dec")</f>
        <v>Nov</v>
      </c>
    </row>
    <row r="232" spans="1:9" x14ac:dyDescent="0.35">
      <c r="A232" s="6">
        <v>2023</v>
      </c>
      <c r="B232" s="7" t="s">
        <v>125</v>
      </c>
      <c r="C232" s="7" t="s">
        <v>6</v>
      </c>
      <c r="D232" s="7" t="s">
        <v>14</v>
      </c>
      <c r="E232" s="7" t="s">
        <v>8</v>
      </c>
      <c r="F232" s="8">
        <v>255460</v>
      </c>
      <c r="G232" s="9">
        <v>14</v>
      </c>
      <c r="H232" s="10" t="s">
        <v>255</v>
      </c>
      <c r="I232" s="5" t="str">
        <f>CHOOSE(MATCH(B232,{"Январь","Февраль","Март","Апрель","Май","Июнь","Июль","Август","Сентябрь","Октябрь","Ноябрь","Декабрь"},0),
"Jan","Feb","Mar","Apr","May","Jun","Jul","Aug","Sep","Oct","Nov","Dec")</f>
        <v>Nov</v>
      </c>
    </row>
    <row r="233" spans="1:9" x14ac:dyDescent="0.35">
      <c r="A233" s="6">
        <v>2023</v>
      </c>
      <c r="B233" s="7" t="s">
        <v>125</v>
      </c>
      <c r="C233" s="7" t="s">
        <v>22</v>
      </c>
      <c r="D233" s="7" t="s">
        <v>11</v>
      </c>
      <c r="E233" s="7" t="s">
        <v>8</v>
      </c>
      <c r="F233" s="8">
        <v>592680</v>
      </c>
      <c r="G233" s="9">
        <v>33</v>
      </c>
      <c r="H233" s="10" t="s">
        <v>256</v>
      </c>
      <c r="I233" s="5" t="str">
        <f>CHOOSE(MATCH(B233,{"Январь","Февраль","Март","Апрель","Май","Июнь","Июль","Август","Сентябрь","Октябрь","Ноябрь","Декабрь"},0),
"Jan","Feb","Mar","Apr","May","Jun","Jul","Aug","Sep","Oct","Nov","Dec")</f>
        <v>Nov</v>
      </c>
    </row>
    <row r="234" spans="1:9" x14ac:dyDescent="0.35">
      <c r="A234" s="6">
        <v>2023</v>
      </c>
      <c r="B234" s="7" t="s">
        <v>136</v>
      </c>
      <c r="C234" s="7" t="s">
        <v>2</v>
      </c>
      <c r="D234" s="7" t="s">
        <v>7</v>
      </c>
      <c r="E234" s="7" t="s">
        <v>12</v>
      </c>
      <c r="F234" s="8">
        <v>519650</v>
      </c>
      <c r="G234" s="9">
        <v>38</v>
      </c>
      <c r="H234" s="10" t="s">
        <v>257</v>
      </c>
      <c r="I234" s="5" t="str">
        <f>CHOOSE(MATCH(B234,{"Январь","Февраль","Март","Апрель","Май","Июнь","Июль","Август","Сентябрь","Октябрь","Ноябрь","Декабрь"},0),
"Jan","Feb","Mar","Apr","May","Jun","Jul","Aug","Sep","Oct","Nov","Dec")</f>
        <v>Dec</v>
      </c>
    </row>
    <row r="235" spans="1:9" x14ac:dyDescent="0.35">
      <c r="A235" s="6">
        <v>2023</v>
      </c>
      <c r="B235" s="7" t="s">
        <v>136</v>
      </c>
      <c r="C235" s="7" t="s">
        <v>17</v>
      </c>
      <c r="D235" s="7" t="s">
        <v>3</v>
      </c>
      <c r="E235" s="7" t="s">
        <v>15</v>
      </c>
      <c r="F235" s="8">
        <v>267170</v>
      </c>
      <c r="G235" s="9">
        <v>18</v>
      </c>
      <c r="H235" s="10" t="s">
        <v>258</v>
      </c>
      <c r="I235" s="5" t="str">
        <f>CHOOSE(MATCH(B235,{"Январь","Февраль","Март","Апрель","Май","Июнь","Июль","Август","Сентябрь","Октябрь","Ноябрь","Декабрь"},0),
"Jan","Feb","Mar","Apr","May","Jun","Jul","Aug","Sep","Oct","Nov","Dec")</f>
        <v>Dec</v>
      </c>
    </row>
    <row r="236" spans="1:9" x14ac:dyDescent="0.35">
      <c r="A236" s="6">
        <v>2023</v>
      </c>
      <c r="B236" s="7" t="s">
        <v>136</v>
      </c>
      <c r="C236" s="7" t="s">
        <v>6</v>
      </c>
      <c r="D236" s="7" t="s">
        <v>7</v>
      </c>
      <c r="E236" s="7" t="s">
        <v>8</v>
      </c>
      <c r="F236" s="8">
        <v>485270</v>
      </c>
      <c r="G236" s="9">
        <v>26</v>
      </c>
      <c r="H236" s="10" t="s">
        <v>259</v>
      </c>
      <c r="I236" s="5" t="str">
        <f>CHOOSE(MATCH(B236,{"Январь","Февраль","Март","Апрель","Май","Июнь","Июль","Август","Сентябрь","Октябрь","Ноябрь","Декабрь"},0),
"Jan","Feb","Mar","Apr","May","Jun","Jul","Aug","Sep","Oct","Nov","Dec")</f>
        <v>Dec</v>
      </c>
    </row>
    <row r="237" spans="1:9" x14ac:dyDescent="0.35">
      <c r="A237" s="6">
        <v>2023</v>
      </c>
      <c r="B237" s="7" t="s">
        <v>136</v>
      </c>
      <c r="C237" s="7" t="s">
        <v>10</v>
      </c>
      <c r="D237" s="7" t="s">
        <v>3</v>
      </c>
      <c r="E237" s="7" t="s">
        <v>4</v>
      </c>
      <c r="F237" s="8">
        <v>270940</v>
      </c>
      <c r="G237" s="9">
        <v>12</v>
      </c>
      <c r="H237" s="10" t="s">
        <v>260</v>
      </c>
      <c r="I237" s="5" t="str">
        <f>CHOOSE(MATCH(B237,{"Январь","Февраль","Март","Апрель","Май","Июнь","Июль","Август","Сентябрь","Октябрь","Ноябрь","Декабрь"},0),
"Jan","Feb","Mar","Apr","May","Jun","Jul","Aug","Sep","Oct","Nov","Dec")</f>
        <v>Dec</v>
      </c>
    </row>
    <row r="238" spans="1:9" x14ac:dyDescent="0.35">
      <c r="A238" s="6">
        <v>2023</v>
      </c>
      <c r="B238" s="7" t="s">
        <v>136</v>
      </c>
      <c r="C238" s="7" t="s">
        <v>22</v>
      </c>
      <c r="D238" s="7" t="s">
        <v>7</v>
      </c>
      <c r="E238" s="7" t="s">
        <v>15</v>
      </c>
      <c r="F238" s="8">
        <v>207810</v>
      </c>
      <c r="G238" s="9">
        <v>16</v>
      </c>
      <c r="H238" s="10" t="s">
        <v>261</v>
      </c>
      <c r="I238" s="5" t="str">
        <f>CHOOSE(MATCH(B238,{"Январь","Февраль","Март","Апрель","Май","Июнь","Июль","Август","Сентябрь","Октябрь","Ноябрь","Декабрь"},0),
"Jan","Feb","Mar","Apr","May","Jun","Jul","Aug","Sep","Oct","Nov","Dec")</f>
        <v>Dec</v>
      </c>
    </row>
    <row r="239" spans="1:9" x14ac:dyDescent="0.35">
      <c r="A239" s="6">
        <v>2023</v>
      </c>
      <c r="B239" s="7" t="s">
        <v>136</v>
      </c>
      <c r="C239" s="7" t="s">
        <v>2</v>
      </c>
      <c r="D239" s="7" t="s">
        <v>7</v>
      </c>
      <c r="E239" s="7" t="s">
        <v>12</v>
      </c>
      <c r="F239" s="8">
        <v>400360</v>
      </c>
      <c r="G239" s="9">
        <v>29</v>
      </c>
      <c r="H239" s="10" t="s">
        <v>262</v>
      </c>
      <c r="I239" s="5" t="str">
        <f>CHOOSE(MATCH(B239,{"Январь","Февраль","Март","Апрель","Май","Июнь","Июль","Август","Сентябрь","Октябрь","Ноябрь","Декабрь"},0),
"Jan","Feb","Mar","Apr","May","Jun","Jul","Aug","Sep","Oct","Nov","Dec")</f>
        <v>Dec</v>
      </c>
    </row>
    <row r="240" spans="1:9" x14ac:dyDescent="0.35">
      <c r="A240" s="6">
        <v>2023</v>
      </c>
      <c r="B240" s="7" t="s">
        <v>136</v>
      </c>
      <c r="C240" s="7" t="s">
        <v>10</v>
      </c>
      <c r="D240" s="7" t="s">
        <v>18</v>
      </c>
      <c r="E240" s="7" t="s">
        <v>15</v>
      </c>
      <c r="F240" s="8">
        <v>465720</v>
      </c>
      <c r="G240" s="9">
        <v>24</v>
      </c>
      <c r="H240" s="10" t="s">
        <v>263</v>
      </c>
      <c r="I240" s="5" t="str">
        <f>CHOOSE(MATCH(B240,{"Январь","Февраль","Март","Апрель","Май","Июнь","Июль","Август","Сентябрь","Октябрь","Ноябрь","Декабрь"},0),
"Jan","Feb","Mar","Apr","May","Jun","Jul","Aug","Sep","Oct","Nov","Dec")</f>
        <v>Dec</v>
      </c>
    </row>
    <row r="241" spans="1:9" x14ac:dyDescent="0.35">
      <c r="A241" s="6">
        <v>2023</v>
      </c>
      <c r="B241" s="7" t="s">
        <v>136</v>
      </c>
      <c r="C241" s="7" t="s">
        <v>17</v>
      </c>
      <c r="D241" s="7" t="s">
        <v>3</v>
      </c>
      <c r="E241" s="7" t="s">
        <v>4</v>
      </c>
      <c r="F241" s="8">
        <v>285920</v>
      </c>
      <c r="G241" s="9">
        <v>16</v>
      </c>
      <c r="H241" s="10" t="s">
        <v>264</v>
      </c>
      <c r="I241" s="5" t="str">
        <f>CHOOSE(MATCH(B241,{"Январь","Февраль","Март","Апрель","Май","Июнь","Июль","Август","Сентябрь","Октябрь","Ноябрь","Декабрь"},0),
"Jan","Feb","Mar","Apr","May","Jun","Jul","Aug","Sep","Oct","Nov","Dec")</f>
        <v>Dec</v>
      </c>
    </row>
    <row r="242" spans="1:9" x14ac:dyDescent="0.35">
      <c r="A242" s="6">
        <v>2023</v>
      </c>
      <c r="B242" s="7" t="s">
        <v>136</v>
      </c>
      <c r="C242" s="7" t="s">
        <v>22</v>
      </c>
      <c r="D242" s="7" t="s">
        <v>14</v>
      </c>
      <c r="E242" s="7" t="s">
        <v>15</v>
      </c>
      <c r="F242" s="8">
        <v>361280</v>
      </c>
      <c r="G242" s="9">
        <v>28</v>
      </c>
      <c r="H242" s="10" t="s">
        <v>265</v>
      </c>
      <c r="I242" s="5" t="str">
        <f>CHOOSE(MATCH(B242,{"Январь","Февраль","Март","Апрель","Май","Июнь","Июль","Август","Сентябрь","Октябрь","Ноябрь","Декабрь"},0),
"Jan","Feb","Mar","Apr","May","Jun","Jul","Aug","Sep","Oct","Nov","Dec")</f>
        <v>Dec</v>
      </c>
    </row>
    <row r="243" spans="1:9" x14ac:dyDescent="0.35">
      <c r="A243" s="6">
        <v>2023</v>
      </c>
      <c r="B243" s="7" t="s">
        <v>136</v>
      </c>
      <c r="C243" s="7" t="s">
        <v>17</v>
      </c>
      <c r="D243" s="7" t="s">
        <v>14</v>
      </c>
      <c r="E243" s="7" t="s">
        <v>4</v>
      </c>
      <c r="F243" s="8">
        <v>357440</v>
      </c>
      <c r="G243" s="9">
        <v>20</v>
      </c>
      <c r="H243" s="10" t="s">
        <v>266</v>
      </c>
      <c r="I243" s="5" t="str">
        <f>CHOOSE(MATCH(B243,{"Январь","Февраль","Март","Апрель","Май","Июнь","Июль","Август","Сентябрь","Октябрь","Ноябрь","Декабрь"},0),
"Jan","Feb","Mar","Apr","May","Jun","Jul","Aug","Sep","Oct","Nov","Dec")</f>
        <v>Dec</v>
      </c>
    </row>
    <row r="244" spans="1:9" x14ac:dyDescent="0.35">
      <c r="A244" s="6">
        <v>2024</v>
      </c>
      <c r="B244" s="7" t="s">
        <v>1</v>
      </c>
      <c r="C244" s="7" t="s">
        <v>10</v>
      </c>
      <c r="D244" s="7" t="s">
        <v>14</v>
      </c>
      <c r="E244" s="7" t="s">
        <v>15</v>
      </c>
      <c r="F244" s="8">
        <v>452900</v>
      </c>
      <c r="G244" s="9">
        <v>24</v>
      </c>
      <c r="H244" s="10" t="s">
        <v>267</v>
      </c>
      <c r="I244" s="5" t="str">
        <f>CHOOSE(MATCH(B244,{"Январь","Февраль","Март","Апрель","Май","Июнь","Июль","Август","Сентябрь","Октябрь","Ноябрь","Декабрь"},0),
"Jan","Feb","Mar","Apr","May","Jun","Jul","Aug","Sep","Oct","Nov","Dec")</f>
        <v>Jan</v>
      </c>
    </row>
    <row r="245" spans="1:9" x14ac:dyDescent="0.35">
      <c r="A245" s="6">
        <v>2024</v>
      </c>
      <c r="B245" s="7" t="s">
        <v>1</v>
      </c>
      <c r="C245" s="7" t="s">
        <v>22</v>
      </c>
      <c r="D245" s="7" t="s">
        <v>14</v>
      </c>
      <c r="E245" s="7" t="s">
        <v>12</v>
      </c>
      <c r="F245" s="8">
        <v>263670</v>
      </c>
      <c r="G245" s="9">
        <v>23</v>
      </c>
      <c r="H245" s="10" t="s">
        <v>268</v>
      </c>
      <c r="I245" s="5" t="str">
        <f>CHOOSE(MATCH(B245,{"Январь","Февраль","Март","Апрель","Май","Июнь","Июль","Август","Сентябрь","Октябрь","Ноябрь","Декабрь"},0),
"Jan","Feb","Mar","Apr","May","Jun","Jul","Aug","Sep","Oct","Nov","Dec")</f>
        <v>Jan</v>
      </c>
    </row>
    <row r="246" spans="1:9" x14ac:dyDescent="0.35">
      <c r="A246" s="6">
        <v>2024</v>
      </c>
      <c r="B246" s="7" t="s">
        <v>1</v>
      </c>
      <c r="C246" s="7" t="s">
        <v>6</v>
      </c>
      <c r="D246" s="7" t="s">
        <v>14</v>
      </c>
      <c r="E246" s="7" t="s">
        <v>12</v>
      </c>
      <c r="F246" s="8">
        <v>499900</v>
      </c>
      <c r="G246" s="9">
        <v>40</v>
      </c>
      <c r="H246" s="10" t="s">
        <v>269</v>
      </c>
      <c r="I246" s="5" t="str">
        <f>CHOOSE(MATCH(B246,{"Январь","Февраль","Март","Апрель","Май","Июнь","Июль","Август","Сентябрь","Октябрь","Ноябрь","Декабрь"},0),
"Jan","Feb","Mar","Apr","May","Jun","Jul","Aug","Sep","Oct","Nov","Dec")</f>
        <v>Jan</v>
      </c>
    </row>
    <row r="247" spans="1:9" x14ac:dyDescent="0.35">
      <c r="A247" s="6">
        <v>2024</v>
      </c>
      <c r="B247" s="7" t="s">
        <v>1</v>
      </c>
      <c r="C247" s="7" t="s">
        <v>22</v>
      </c>
      <c r="D247" s="7" t="s">
        <v>14</v>
      </c>
      <c r="E247" s="7" t="s">
        <v>4</v>
      </c>
      <c r="F247" s="8">
        <v>460880</v>
      </c>
      <c r="G247" s="9">
        <v>30</v>
      </c>
      <c r="H247" s="10" t="s">
        <v>270</v>
      </c>
      <c r="I247" s="5" t="str">
        <f>CHOOSE(MATCH(B247,{"Январь","Февраль","Март","Апрель","Май","Июнь","Июль","Август","Сентябрь","Октябрь","Ноябрь","Декабрь"},0),
"Jan","Feb","Mar","Apr","May","Jun","Jul","Aug","Sep","Oct","Nov","Dec")</f>
        <v>Jan</v>
      </c>
    </row>
    <row r="248" spans="1:9" x14ac:dyDescent="0.35">
      <c r="A248" s="6">
        <v>2024</v>
      </c>
      <c r="B248" s="7" t="s">
        <v>1</v>
      </c>
      <c r="C248" s="7" t="s">
        <v>17</v>
      </c>
      <c r="D248" s="7" t="s">
        <v>11</v>
      </c>
      <c r="E248" s="7" t="s">
        <v>4</v>
      </c>
      <c r="F248" s="8">
        <v>578820</v>
      </c>
      <c r="G248" s="9">
        <v>31</v>
      </c>
      <c r="H248" s="10" t="s">
        <v>271</v>
      </c>
      <c r="I248" s="5" t="str">
        <f>CHOOSE(MATCH(B248,{"Январь","Февраль","Март","Апрель","Май","Июнь","Июль","Август","Сентябрь","Октябрь","Ноябрь","Декабрь"},0),
"Jan","Feb","Mar","Apr","May","Jun","Jul","Aug","Sep","Oct","Nov","Dec")</f>
        <v>Jan</v>
      </c>
    </row>
    <row r="249" spans="1:9" x14ac:dyDescent="0.35">
      <c r="A249" s="6">
        <v>2024</v>
      </c>
      <c r="B249" s="7" t="s">
        <v>1</v>
      </c>
      <c r="C249" s="7" t="s">
        <v>17</v>
      </c>
      <c r="D249" s="7" t="s">
        <v>18</v>
      </c>
      <c r="E249" s="7" t="s">
        <v>12</v>
      </c>
      <c r="F249" s="8">
        <v>346890</v>
      </c>
      <c r="G249" s="9">
        <v>26</v>
      </c>
      <c r="H249" s="10" t="s">
        <v>272</v>
      </c>
      <c r="I249" s="5" t="str">
        <f>CHOOSE(MATCH(B249,{"Январь","Февраль","Март","Апрель","Май","Июнь","Июль","Август","Сентябрь","Октябрь","Ноябрь","Декабрь"},0),
"Jan","Feb","Mar","Apr","May","Jun","Jul","Aug","Sep","Oct","Nov","Dec")</f>
        <v>Jan</v>
      </c>
    </row>
    <row r="250" spans="1:9" x14ac:dyDescent="0.35">
      <c r="A250" s="6">
        <v>2024</v>
      </c>
      <c r="B250" s="7" t="s">
        <v>1</v>
      </c>
      <c r="C250" s="7" t="s">
        <v>6</v>
      </c>
      <c r="D250" s="7" t="s">
        <v>11</v>
      </c>
      <c r="E250" s="7" t="s">
        <v>15</v>
      </c>
      <c r="F250" s="8">
        <v>212630</v>
      </c>
      <c r="G250" s="9">
        <v>15</v>
      </c>
      <c r="H250" s="10" t="s">
        <v>273</v>
      </c>
      <c r="I250" s="5" t="str">
        <f>CHOOSE(MATCH(B250,{"Январь","Февраль","Март","Апрель","Май","Июнь","Июль","Август","Сентябрь","Октябрь","Ноябрь","Декабрь"},0),
"Jan","Feb","Mar","Apr","May","Jun","Jul","Aug","Sep","Oct","Nov","Dec")</f>
        <v>Jan</v>
      </c>
    </row>
    <row r="251" spans="1:9" x14ac:dyDescent="0.35">
      <c r="A251" s="6">
        <v>2024</v>
      </c>
      <c r="B251" s="7" t="s">
        <v>1</v>
      </c>
      <c r="C251" s="7" t="s">
        <v>22</v>
      </c>
      <c r="D251" s="7" t="s">
        <v>3</v>
      </c>
      <c r="E251" s="7" t="s">
        <v>12</v>
      </c>
      <c r="F251" s="8">
        <v>332710</v>
      </c>
      <c r="G251" s="9">
        <v>29</v>
      </c>
      <c r="H251" s="10" t="s">
        <v>274</v>
      </c>
      <c r="I251" s="5" t="str">
        <f>CHOOSE(MATCH(B251,{"Январь","Февраль","Март","Апрель","Май","Июнь","Июль","Август","Сентябрь","Октябрь","Ноябрь","Декабрь"},0),
"Jan","Feb","Mar","Apr","May","Jun","Jul","Aug","Sep","Oct","Nov","Dec")</f>
        <v>Jan</v>
      </c>
    </row>
    <row r="252" spans="1:9" x14ac:dyDescent="0.35">
      <c r="A252" s="6">
        <v>2024</v>
      </c>
      <c r="B252" s="7" t="s">
        <v>1</v>
      </c>
      <c r="C252" s="7" t="s">
        <v>22</v>
      </c>
      <c r="D252" s="7" t="s">
        <v>7</v>
      </c>
      <c r="E252" s="7" t="s">
        <v>15</v>
      </c>
      <c r="F252" s="8">
        <v>329960</v>
      </c>
      <c r="G252" s="9">
        <v>26</v>
      </c>
      <c r="H252" s="10" t="s">
        <v>275</v>
      </c>
      <c r="I252" s="5" t="str">
        <f>CHOOSE(MATCH(B252,{"Январь","Февраль","Март","Апрель","Май","Июнь","Июль","Август","Сентябрь","Октябрь","Ноябрь","Декабрь"},0),
"Jan","Feb","Mar","Apr","May","Jun","Jul","Aug","Sep","Oct","Nov","Dec")</f>
        <v>Jan</v>
      </c>
    </row>
    <row r="253" spans="1:9" x14ac:dyDescent="0.35">
      <c r="A253" s="6">
        <v>2024</v>
      </c>
      <c r="B253" s="7" t="s">
        <v>1</v>
      </c>
      <c r="C253" s="7" t="s">
        <v>22</v>
      </c>
      <c r="D253" s="7" t="s">
        <v>3</v>
      </c>
      <c r="E253" s="7" t="s">
        <v>12</v>
      </c>
      <c r="F253" s="8">
        <v>382280</v>
      </c>
      <c r="G253" s="9">
        <v>34</v>
      </c>
      <c r="H253" s="10" t="s">
        <v>276</v>
      </c>
      <c r="I253" s="5" t="str">
        <f>CHOOSE(MATCH(B253,{"Январь","Февраль","Март","Апрель","Май","Июнь","Июль","Август","Сентябрь","Октябрь","Ноябрь","Декабрь"},0),
"Jan","Feb","Mar","Apr","May","Jun","Jul","Aug","Sep","Oct","Nov","Dec")</f>
        <v>Jan</v>
      </c>
    </row>
    <row r="254" spans="1:9" x14ac:dyDescent="0.35">
      <c r="A254" s="6">
        <v>2024</v>
      </c>
      <c r="B254" s="7" t="s">
        <v>26</v>
      </c>
      <c r="C254" s="7" t="s">
        <v>6</v>
      </c>
      <c r="D254" s="7" t="s">
        <v>18</v>
      </c>
      <c r="E254" s="7" t="s">
        <v>12</v>
      </c>
      <c r="F254" s="8">
        <v>195220</v>
      </c>
      <c r="G254" s="9">
        <v>16</v>
      </c>
      <c r="H254" s="10" t="s">
        <v>277</v>
      </c>
      <c r="I254" s="5" t="str">
        <f>CHOOSE(MATCH(B254,{"Январь","Февраль","Март","Апрель","Май","Июнь","Июль","Август","Сентябрь","Октябрь","Ноябрь","Декабрь"},0),
"Jan","Feb","Mar","Apr","May","Jun","Jul","Aug","Sep","Oct","Nov","Dec")</f>
        <v>Feb</v>
      </c>
    </row>
    <row r="255" spans="1:9" x14ac:dyDescent="0.35">
      <c r="A255" s="6">
        <v>2024</v>
      </c>
      <c r="B255" s="7" t="s">
        <v>26</v>
      </c>
      <c r="C255" s="7" t="s">
        <v>6</v>
      </c>
      <c r="D255" s="7" t="s">
        <v>7</v>
      </c>
      <c r="E255" s="7" t="s">
        <v>8</v>
      </c>
      <c r="F255" s="8">
        <v>648030</v>
      </c>
      <c r="G255" s="9">
        <v>35</v>
      </c>
      <c r="H255" s="10" t="s">
        <v>278</v>
      </c>
      <c r="I255" s="5" t="str">
        <f>CHOOSE(MATCH(B255,{"Январь","Февраль","Март","Апрель","Май","Июнь","Июль","Август","Сентябрь","Октябрь","Ноябрь","Декабрь"},0),
"Jan","Feb","Mar","Apr","May","Jun","Jul","Aug","Sep","Oct","Nov","Dec")</f>
        <v>Feb</v>
      </c>
    </row>
    <row r="256" spans="1:9" x14ac:dyDescent="0.35">
      <c r="A256" s="6">
        <v>2024</v>
      </c>
      <c r="B256" s="7" t="s">
        <v>26</v>
      </c>
      <c r="C256" s="7" t="s">
        <v>22</v>
      </c>
      <c r="D256" s="7" t="s">
        <v>11</v>
      </c>
      <c r="E256" s="7" t="s">
        <v>15</v>
      </c>
      <c r="F256" s="8">
        <v>483110</v>
      </c>
      <c r="G256" s="9">
        <v>36</v>
      </c>
      <c r="H256" s="10" t="s">
        <v>279</v>
      </c>
      <c r="I256" s="5" t="str">
        <f>CHOOSE(MATCH(B256,{"Январь","Февраль","Март","Апрель","Май","Июнь","Июль","Август","Сентябрь","Октябрь","Ноябрь","Декабрь"},0),
"Jan","Feb","Mar","Apr","May","Jun","Jul","Aug","Sep","Oct","Nov","Dec")</f>
        <v>Feb</v>
      </c>
    </row>
    <row r="257" spans="1:9" x14ac:dyDescent="0.35">
      <c r="A257" s="6">
        <v>2024</v>
      </c>
      <c r="B257" s="7" t="s">
        <v>26</v>
      </c>
      <c r="C257" s="7" t="s">
        <v>10</v>
      </c>
      <c r="D257" s="7" t="s">
        <v>14</v>
      </c>
      <c r="E257" s="7" t="s">
        <v>15</v>
      </c>
      <c r="F257" s="8">
        <v>489860</v>
      </c>
      <c r="G257" s="9">
        <v>26</v>
      </c>
      <c r="H257" s="10" t="s">
        <v>280</v>
      </c>
      <c r="I257" s="5" t="str">
        <f>CHOOSE(MATCH(B257,{"Январь","Февраль","Март","Апрель","Май","Июнь","Июль","Август","Сентябрь","Октябрь","Ноябрь","Декабрь"},0),
"Jan","Feb","Mar","Apr","May","Jun","Jul","Aug","Sep","Oct","Nov","Dec")</f>
        <v>Feb</v>
      </c>
    </row>
    <row r="258" spans="1:9" x14ac:dyDescent="0.35">
      <c r="A258" s="6">
        <v>2024</v>
      </c>
      <c r="B258" s="7" t="s">
        <v>26</v>
      </c>
      <c r="C258" s="7" t="s">
        <v>10</v>
      </c>
      <c r="D258" s="7" t="s">
        <v>14</v>
      </c>
      <c r="E258" s="7" t="s">
        <v>4</v>
      </c>
      <c r="F258" s="8">
        <v>858300</v>
      </c>
      <c r="G258" s="9">
        <v>38</v>
      </c>
      <c r="H258" s="10" t="s">
        <v>281</v>
      </c>
      <c r="I258" s="5" t="str">
        <f>CHOOSE(MATCH(B258,{"Январь","Февраль","Март","Апрель","Май","Июнь","Июль","Август","Сентябрь","Октябрь","Ноябрь","Декабрь"},0),
"Jan","Feb","Mar","Apr","May","Jun","Jul","Aug","Sep","Oct","Nov","Dec")</f>
        <v>Feb</v>
      </c>
    </row>
    <row r="259" spans="1:9" x14ac:dyDescent="0.35">
      <c r="A259" s="6">
        <v>2024</v>
      </c>
      <c r="B259" s="7" t="s">
        <v>26</v>
      </c>
      <c r="C259" s="7" t="s">
        <v>2</v>
      </c>
      <c r="D259" s="7" t="s">
        <v>7</v>
      </c>
      <c r="E259" s="7" t="s">
        <v>15</v>
      </c>
      <c r="F259" s="8">
        <v>531490</v>
      </c>
      <c r="G259" s="9">
        <v>33</v>
      </c>
      <c r="H259" s="10" t="s">
        <v>282</v>
      </c>
      <c r="I259" s="5" t="str">
        <f>CHOOSE(MATCH(B259,{"Январь","Февраль","Март","Апрель","Май","Июнь","Июль","Август","Сентябрь","Октябрь","Ноябрь","Декабрь"},0),
"Jan","Feb","Mar","Apr","May","Jun","Jul","Aug","Sep","Oct","Nov","Dec")</f>
        <v>Feb</v>
      </c>
    </row>
    <row r="260" spans="1:9" x14ac:dyDescent="0.35">
      <c r="A260" s="6">
        <v>2024</v>
      </c>
      <c r="B260" s="7" t="s">
        <v>26</v>
      </c>
      <c r="C260" s="7" t="s">
        <v>10</v>
      </c>
      <c r="D260" s="7" t="s">
        <v>11</v>
      </c>
      <c r="E260" s="7" t="s">
        <v>8</v>
      </c>
      <c r="F260" s="8">
        <v>306130</v>
      </c>
      <c r="G260" s="9">
        <v>12</v>
      </c>
      <c r="H260" s="10" t="s">
        <v>283</v>
      </c>
      <c r="I260" s="5" t="str">
        <f>CHOOSE(MATCH(B260,{"Январь","Февраль","Март","Апрель","Май","Июнь","Июль","Август","Сентябрь","Октябрь","Ноябрь","Декабрь"},0),
"Jan","Feb","Mar","Apr","May","Jun","Jul","Aug","Sep","Oct","Nov","Dec")</f>
        <v>Feb</v>
      </c>
    </row>
    <row r="261" spans="1:9" x14ac:dyDescent="0.35">
      <c r="A261" s="6">
        <v>2024</v>
      </c>
      <c r="B261" s="7" t="s">
        <v>26</v>
      </c>
      <c r="C261" s="7" t="s">
        <v>6</v>
      </c>
      <c r="D261" s="7" t="s">
        <v>14</v>
      </c>
      <c r="E261" s="7" t="s">
        <v>12</v>
      </c>
      <c r="F261" s="8">
        <v>304220</v>
      </c>
      <c r="G261" s="9">
        <v>25</v>
      </c>
      <c r="H261" s="10" t="s">
        <v>284</v>
      </c>
      <c r="I261" s="5" t="str">
        <f>CHOOSE(MATCH(B261,{"Январь","Февраль","Март","Апрель","Май","Июнь","Июль","Август","Сентябрь","Октябрь","Ноябрь","Декабрь"},0),
"Jan","Feb","Mar","Apr","May","Jun","Jul","Aug","Sep","Oct","Nov","Dec")</f>
        <v>Feb</v>
      </c>
    </row>
    <row r="262" spans="1:9" x14ac:dyDescent="0.35">
      <c r="A262" s="6">
        <v>2024</v>
      </c>
      <c r="B262" s="7" t="s">
        <v>26</v>
      </c>
      <c r="C262" s="7" t="s">
        <v>2</v>
      </c>
      <c r="D262" s="7" t="s">
        <v>11</v>
      </c>
      <c r="E262" s="7" t="s">
        <v>8</v>
      </c>
      <c r="F262" s="8">
        <v>456590</v>
      </c>
      <c r="G262" s="9">
        <v>20</v>
      </c>
      <c r="H262" s="10" t="s">
        <v>285</v>
      </c>
      <c r="I262" s="5" t="str">
        <f>CHOOSE(MATCH(B262,{"Январь","Февраль","Март","Апрель","Май","Июнь","Июль","Август","Сентябрь","Октябрь","Ноябрь","Декабрь"},0),
"Jan","Feb","Mar","Apr","May","Jun","Jul","Aug","Sep","Oct","Nov","Dec")</f>
        <v>Feb</v>
      </c>
    </row>
    <row r="263" spans="1:9" x14ac:dyDescent="0.35">
      <c r="A263" s="6">
        <v>2024</v>
      </c>
      <c r="B263" s="7" t="s">
        <v>26</v>
      </c>
      <c r="C263" s="7" t="s">
        <v>17</v>
      </c>
      <c r="D263" s="7" t="s">
        <v>3</v>
      </c>
      <c r="E263" s="7" t="s">
        <v>15</v>
      </c>
      <c r="F263" s="8">
        <v>524680</v>
      </c>
      <c r="G263" s="9">
        <v>34</v>
      </c>
      <c r="H263" s="10" t="s">
        <v>286</v>
      </c>
      <c r="I263" s="5" t="str">
        <f>CHOOSE(MATCH(B263,{"Январь","Февраль","Март","Апрель","Май","Июнь","Июль","Август","Сентябрь","Октябрь","Ноябрь","Декабрь"},0),
"Jan","Feb","Mar","Apr","May","Jun","Jul","Aug","Sep","Oct","Nov","Dec")</f>
        <v>Feb</v>
      </c>
    </row>
    <row r="264" spans="1:9" x14ac:dyDescent="0.35">
      <c r="A264" s="6">
        <v>2024</v>
      </c>
      <c r="B264" s="7" t="s">
        <v>37</v>
      </c>
      <c r="C264" s="7" t="s">
        <v>2</v>
      </c>
      <c r="D264" s="7" t="s">
        <v>3</v>
      </c>
      <c r="E264" s="7" t="s">
        <v>8</v>
      </c>
      <c r="F264" s="8">
        <v>927470</v>
      </c>
      <c r="G264" s="9">
        <v>42</v>
      </c>
      <c r="H264" s="10" t="s">
        <v>287</v>
      </c>
      <c r="I264" s="5" t="str">
        <f>CHOOSE(MATCH(B264,{"Январь","Февраль","Март","Апрель","Май","Июнь","Июль","Август","Сентябрь","Октябрь","Ноябрь","Декабрь"},0),
"Jan","Feb","Mar","Apr","May","Jun","Jul","Aug","Sep","Oct","Nov","Dec")</f>
        <v>Mar</v>
      </c>
    </row>
    <row r="265" spans="1:9" x14ac:dyDescent="0.35">
      <c r="A265" s="6">
        <v>2024</v>
      </c>
      <c r="B265" s="7" t="s">
        <v>37</v>
      </c>
      <c r="C265" s="7" t="s">
        <v>6</v>
      </c>
      <c r="D265" s="7" t="s">
        <v>11</v>
      </c>
      <c r="E265" s="7" t="s">
        <v>15</v>
      </c>
      <c r="F265" s="8">
        <v>348190</v>
      </c>
      <c r="G265" s="9">
        <v>25</v>
      </c>
      <c r="H265" s="10" t="s">
        <v>288</v>
      </c>
      <c r="I265" s="5" t="str">
        <f>CHOOSE(MATCH(B265,{"Январь","Февраль","Март","Апрель","Май","Июнь","Июль","Август","Сентябрь","Октябрь","Ноябрь","Декабрь"},0),
"Jan","Feb","Mar","Apr","May","Jun","Jul","Aug","Sep","Oct","Nov","Dec")</f>
        <v>Mar</v>
      </c>
    </row>
    <row r="266" spans="1:9" x14ac:dyDescent="0.35">
      <c r="A266" s="6">
        <v>2024</v>
      </c>
      <c r="B266" s="7" t="s">
        <v>37</v>
      </c>
      <c r="C266" s="7" t="s">
        <v>2</v>
      </c>
      <c r="D266" s="7" t="s">
        <v>11</v>
      </c>
      <c r="E266" s="7" t="s">
        <v>4</v>
      </c>
      <c r="F266" s="8">
        <v>444830</v>
      </c>
      <c r="G266" s="9">
        <v>23</v>
      </c>
      <c r="H266" s="10" t="s">
        <v>289</v>
      </c>
      <c r="I266" s="5" t="str">
        <f>CHOOSE(MATCH(B266,{"Январь","Февраль","Март","Апрель","Май","Июнь","Июль","Август","Сентябрь","Октябрь","Ноябрь","Декабрь"},0),
"Jan","Feb","Mar","Apr","May","Jun","Jul","Aug","Sep","Oct","Nov","Dec")</f>
        <v>Mar</v>
      </c>
    </row>
    <row r="267" spans="1:9" x14ac:dyDescent="0.35">
      <c r="A267" s="6">
        <v>2024</v>
      </c>
      <c r="B267" s="7" t="s">
        <v>37</v>
      </c>
      <c r="C267" s="7" t="s">
        <v>6</v>
      </c>
      <c r="D267" s="7" t="s">
        <v>11</v>
      </c>
      <c r="E267" s="7" t="s">
        <v>4</v>
      </c>
      <c r="F267" s="8">
        <v>476340</v>
      </c>
      <c r="G267" s="9">
        <v>29</v>
      </c>
      <c r="H267" s="10" t="s">
        <v>290</v>
      </c>
      <c r="I267" s="5" t="str">
        <f>CHOOSE(MATCH(B267,{"Январь","Февраль","Март","Апрель","Май","Июнь","Июль","Август","Сентябрь","Октябрь","Ноябрь","Декабрь"},0),
"Jan","Feb","Mar","Apr","May","Jun","Jul","Aug","Sep","Oct","Nov","Dec")</f>
        <v>Mar</v>
      </c>
    </row>
    <row r="268" spans="1:9" x14ac:dyDescent="0.35">
      <c r="A268" s="6">
        <v>2024</v>
      </c>
      <c r="B268" s="7" t="s">
        <v>37</v>
      </c>
      <c r="C268" s="7" t="s">
        <v>2</v>
      </c>
      <c r="D268" s="7" t="s">
        <v>14</v>
      </c>
      <c r="E268" s="7" t="s">
        <v>15</v>
      </c>
      <c r="F268" s="8">
        <v>676930</v>
      </c>
      <c r="G268" s="9">
        <v>42</v>
      </c>
      <c r="H268" s="10" t="s">
        <v>291</v>
      </c>
      <c r="I268" s="5" t="str">
        <f>CHOOSE(MATCH(B268,{"Январь","Февраль","Март","Апрель","Май","Июнь","Июль","Август","Сентябрь","Октябрь","Ноябрь","Декабрь"},0),
"Jan","Feb","Mar","Apr","May","Jun","Jul","Aug","Sep","Oct","Nov","Dec")</f>
        <v>Mar</v>
      </c>
    </row>
    <row r="269" spans="1:9" x14ac:dyDescent="0.35">
      <c r="A269" s="6">
        <v>2024</v>
      </c>
      <c r="B269" s="7" t="s">
        <v>37</v>
      </c>
      <c r="C269" s="7" t="s">
        <v>2</v>
      </c>
      <c r="D269" s="7" t="s">
        <v>7</v>
      </c>
      <c r="E269" s="7" t="s">
        <v>15</v>
      </c>
      <c r="F269" s="8">
        <v>343830</v>
      </c>
      <c r="G269" s="9">
        <v>22</v>
      </c>
      <c r="H269" s="10" t="s">
        <v>292</v>
      </c>
      <c r="I269" s="5" t="str">
        <f>CHOOSE(MATCH(B269,{"Январь","Февраль","Март","Апрель","Май","Июнь","Июль","Август","Сентябрь","Октябрь","Ноябрь","Декабрь"},0),
"Jan","Feb","Mar","Apr","May","Jun","Jul","Aug","Sep","Oct","Nov","Dec")</f>
        <v>Mar</v>
      </c>
    </row>
    <row r="270" spans="1:9" x14ac:dyDescent="0.35">
      <c r="A270" s="6">
        <v>2024</v>
      </c>
      <c r="B270" s="7" t="s">
        <v>37</v>
      </c>
      <c r="C270" s="7" t="s">
        <v>22</v>
      </c>
      <c r="D270" s="7" t="s">
        <v>3</v>
      </c>
      <c r="E270" s="7" t="s">
        <v>8</v>
      </c>
      <c r="F270" s="8">
        <v>304580</v>
      </c>
      <c r="G270" s="9">
        <v>17</v>
      </c>
      <c r="H270" s="10" t="s">
        <v>293</v>
      </c>
      <c r="I270" s="5" t="str">
        <f>CHOOSE(MATCH(B270,{"Январь","Февраль","Март","Апрель","Май","Июнь","Июль","Август","Сентябрь","Октябрь","Ноябрь","Декабрь"},0),
"Jan","Feb","Mar","Apr","May","Jun","Jul","Aug","Sep","Oct","Nov","Dec")</f>
        <v>Mar</v>
      </c>
    </row>
    <row r="271" spans="1:9" x14ac:dyDescent="0.35">
      <c r="A271" s="6">
        <v>2024</v>
      </c>
      <c r="B271" s="7" t="s">
        <v>37</v>
      </c>
      <c r="C271" s="7" t="s">
        <v>2</v>
      </c>
      <c r="D271" s="7" t="s">
        <v>3</v>
      </c>
      <c r="E271" s="7" t="s">
        <v>12</v>
      </c>
      <c r="F271" s="8">
        <v>202050</v>
      </c>
      <c r="G271" s="9">
        <v>13</v>
      </c>
      <c r="H271" s="10" t="s">
        <v>294</v>
      </c>
      <c r="I271" s="5" t="str">
        <f>CHOOSE(MATCH(B271,{"Январь","Февраль","Март","Апрель","Май","Июнь","Июль","Август","Сентябрь","Октябрь","Ноябрь","Декабрь"},0),
"Jan","Feb","Mar","Apr","May","Jun","Jul","Aug","Sep","Oct","Nov","Dec")</f>
        <v>Mar</v>
      </c>
    </row>
    <row r="272" spans="1:9" x14ac:dyDescent="0.35">
      <c r="A272" s="6">
        <v>2024</v>
      </c>
      <c r="B272" s="7" t="s">
        <v>37</v>
      </c>
      <c r="C272" s="7" t="s">
        <v>17</v>
      </c>
      <c r="D272" s="7" t="s">
        <v>3</v>
      </c>
      <c r="E272" s="7" t="s">
        <v>12</v>
      </c>
      <c r="F272" s="8">
        <v>255190</v>
      </c>
      <c r="G272" s="9">
        <v>19</v>
      </c>
      <c r="H272" s="10" t="s">
        <v>295</v>
      </c>
      <c r="I272" s="5" t="str">
        <f>CHOOSE(MATCH(B272,{"Январь","Февраль","Март","Апрель","Май","Июнь","Июль","Август","Сентябрь","Октябрь","Ноябрь","Декабрь"},0),
"Jan","Feb","Mar","Apr","May","Jun","Jul","Aug","Sep","Oct","Nov","Dec")</f>
        <v>Mar</v>
      </c>
    </row>
    <row r="273" spans="1:9" x14ac:dyDescent="0.35">
      <c r="A273" s="6">
        <v>2024</v>
      </c>
      <c r="B273" s="7" t="s">
        <v>37</v>
      </c>
      <c r="C273" s="7" t="s">
        <v>2</v>
      </c>
      <c r="D273" s="7" t="s">
        <v>7</v>
      </c>
      <c r="E273" s="7" t="s">
        <v>4</v>
      </c>
      <c r="F273" s="8">
        <v>490950</v>
      </c>
      <c r="G273" s="9">
        <v>27</v>
      </c>
      <c r="H273" s="10" t="s">
        <v>296</v>
      </c>
      <c r="I273" s="5" t="str">
        <f>CHOOSE(MATCH(B273,{"Январь","Февраль","Март","Апрель","Май","Июнь","Июль","Август","Сентябрь","Октябрь","Ноябрь","Декабрь"},0),
"Jan","Feb","Mar","Apr","May","Jun","Jul","Aug","Sep","Oct","Nov","Dec")</f>
        <v>Mar</v>
      </c>
    </row>
    <row r="274" spans="1:9" x14ac:dyDescent="0.35">
      <c r="A274" s="6">
        <v>2024</v>
      </c>
      <c r="B274" s="7" t="s">
        <v>48</v>
      </c>
      <c r="C274" s="7" t="s">
        <v>2</v>
      </c>
      <c r="D274" s="7" t="s">
        <v>3</v>
      </c>
      <c r="E274" s="7" t="s">
        <v>12</v>
      </c>
      <c r="F274" s="8">
        <v>595470</v>
      </c>
      <c r="G274" s="9">
        <v>40</v>
      </c>
      <c r="H274" s="10" t="s">
        <v>297</v>
      </c>
      <c r="I274" s="5" t="str">
        <f>CHOOSE(MATCH(B274,{"Январь","Февраль","Март","Апрель","Май","Июнь","Июль","Август","Сентябрь","Октябрь","Ноябрь","Декабрь"},0),
"Jan","Feb","Mar","Apr","May","Jun","Jul","Aug","Sep","Oct","Nov","Dec")</f>
        <v>Apr</v>
      </c>
    </row>
    <row r="275" spans="1:9" x14ac:dyDescent="0.35">
      <c r="A275" s="6">
        <v>2024</v>
      </c>
      <c r="B275" s="7" t="s">
        <v>48</v>
      </c>
      <c r="C275" s="7" t="s">
        <v>17</v>
      </c>
      <c r="D275" s="7" t="s">
        <v>18</v>
      </c>
      <c r="E275" s="7" t="s">
        <v>12</v>
      </c>
      <c r="F275" s="8">
        <v>153880</v>
      </c>
      <c r="G275" s="9">
        <v>12</v>
      </c>
      <c r="H275" s="10" t="s">
        <v>298</v>
      </c>
      <c r="I275" s="5" t="str">
        <f>CHOOSE(MATCH(B275,{"Январь","Февраль","Март","Апрель","Май","Июнь","Июль","Август","Сентябрь","Октябрь","Ноябрь","Декабрь"},0),
"Jan","Feb","Mar","Apr","May","Jun","Jul","Aug","Sep","Oct","Nov","Dec")</f>
        <v>Apr</v>
      </c>
    </row>
    <row r="276" spans="1:9" x14ac:dyDescent="0.35">
      <c r="A276" s="6">
        <v>2024</v>
      </c>
      <c r="B276" s="7" t="s">
        <v>48</v>
      </c>
      <c r="C276" s="7" t="s">
        <v>17</v>
      </c>
      <c r="D276" s="7" t="s">
        <v>3</v>
      </c>
      <c r="E276" s="7" t="s">
        <v>8</v>
      </c>
      <c r="F276" s="8">
        <v>368300</v>
      </c>
      <c r="G276" s="9">
        <v>18</v>
      </c>
      <c r="H276" s="10" t="s">
        <v>299</v>
      </c>
      <c r="I276" s="5" t="str">
        <f>CHOOSE(MATCH(B276,{"Январь","Февраль","Март","Апрель","Май","Июнь","Июль","Август","Сентябрь","Октябрь","Ноябрь","Декабрь"},0),
"Jan","Feb","Mar","Apr","May","Jun","Jul","Aug","Sep","Oct","Nov","Dec")</f>
        <v>Apr</v>
      </c>
    </row>
    <row r="277" spans="1:9" x14ac:dyDescent="0.35">
      <c r="A277" s="6">
        <v>2024</v>
      </c>
      <c r="B277" s="7" t="s">
        <v>48</v>
      </c>
      <c r="C277" s="7" t="s">
        <v>22</v>
      </c>
      <c r="D277" s="7" t="s">
        <v>7</v>
      </c>
      <c r="E277" s="7" t="s">
        <v>12</v>
      </c>
      <c r="F277" s="8">
        <v>152820</v>
      </c>
      <c r="G277" s="9">
        <v>14</v>
      </c>
      <c r="H277" s="10" t="s">
        <v>300</v>
      </c>
      <c r="I277" s="5" t="str">
        <f>CHOOSE(MATCH(B277,{"Январь","Февраль","Март","Апрель","Май","Июнь","Июль","Август","Сентябрь","Октябрь","Ноябрь","Декабрь"},0),
"Jan","Feb","Mar","Apr","May","Jun","Jul","Aug","Sep","Oct","Nov","Dec")</f>
        <v>Apr</v>
      </c>
    </row>
    <row r="278" spans="1:9" x14ac:dyDescent="0.35">
      <c r="A278" s="6">
        <v>2024</v>
      </c>
      <c r="B278" s="7" t="s">
        <v>48</v>
      </c>
      <c r="C278" s="7" t="s">
        <v>17</v>
      </c>
      <c r="D278" s="7" t="s">
        <v>14</v>
      </c>
      <c r="E278" s="7" t="s">
        <v>12</v>
      </c>
      <c r="F278" s="8">
        <v>215970</v>
      </c>
      <c r="G278" s="9">
        <v>16</v>
      </c>
      <c r="H278" s="10" t="s">
        <v>301</v>
      </c>
      <c r="I278" s="5" t="str">
        <f>CHOOSE(MATCH(B278,{"Январь","Февраль","Март","Апрель","Май","Июнь","Июль","Август","Сентябрь","Октябрь","Ноябрь","Декабрь"},0),
"Jan","Feb","Mar","Apr","May","Jun","Jul","Aug","Sep","Oct","Nov","Dec")</f>
        <v>Apr</v>
      </c>
    </row>
    <row r="279" spans="1:9" x14ac:dyDescent="0.35">
      <c r="A279" s="6">
        <v>2024</v>
      </c>
      <c r="B279" s="7" t="s">
        <v>48</v>
      </c>
      <c r="C279" s="7" t="s">
        <v>2</v>
      </c>
      <c r="D279" s="7" t="s">
        <v>14</v>
      </c>
      <c r="E279" s="7" t="s">
        <v>12</v>
      </c>
      <c r="F279" s="8">
        <v>541900</v>
      </c>
      <c r="G279" s="9">
        <v>38</v>
      </c>
      <c r="H279" s="10" t="s">
        <v>302</v>
      </c>
      <c r="I279" s="5" t="str">
        <f>CHOOSE(MATCH(B279,{"Январь","Февраль","Март","Апрель","Май","Июнь","Июль","Август","Сентябрь","Октябрь","Ноябрь","Декабрь"},0),
"Jan","Feb","Mar","Apr","May","Jun","Jul","Aug","Sep","Oct","Nov","Dec")</f>
        <v>Apr</v>
      </c>
    </row>
    <row r="280" spans="1:9" x14ac:dyDescent="0.35">
      <c r="A280" s="6">
        <v>2024</v>
      </c>
      <c r="B280" s="7" t="s">
        <v>48</v>
      </c>
      <c r="C280" s="7" t="s">
        <v>10</v>
      </c>
      <c r="D280" s="7" t="s">
        <v>11</v>
      </c>
      <c r="E280" s="7" t="s">
        <v>4</v>
      </c>
      <c r="F280" s="8">
        <v>271470</v>
      </c>
      <c r="G280" s="9">
        <v>12</v>
      </c>
      <c r="H280" s="10" t="s">
        <v>303</v>
      </c>
      <c r="I280" s="5" t="str">
        <f>CHOOSE(MATCH(B280,{"Январь","Февраль","Март","Апрель","Май","Июнь","Июль","Август","Сентябрь","Октябрь","Ноябрь","Декабрь"},0),
"Jan","Feb","Mar","Apr","May","Jun","Jul","Aug","Sep","Oct","Nov","Dec")</f>
        <v>Apr</v>
      </c>
    </row>
    <row r="281" spans="1:9" x14ac:dyDescent="0.35">
      <c r="A281" s="6">
        <v>2024</v>
      </c>
      <c r="B281" s="7" t="s">
        <v>48</v>
      </c>
      <c r="C281" s="7" t="s">
        <v>10</v>
      </c>
      <c r="D281" s="7" t="s">
        <v>11</v>
      </c>
      <c r="E281" s="7" t="s">
        <v>15</v>
      </c>
      <c r="F281" s="8">
        <v>773650</v>
      </c>
      <c r="G281" s="9">
        <v>40</v>
      </c>
      <c r="H281" s="10" t="s">
        <v>304</v>
      </c>
      <c r="I281" s="5" t="str">
        <f>CHOOSE(MATCH(B281,{"Январь","Февраль","Март","Апрель","Май","Июнь","Июль","Август","Сентябрь","Октябрь","Ноябрь","Декабрь"},0),
"Jan","Feb","Mar","Apr","May","Jun","Jul","Aug","Sep","Oct","Nov","Dec")</f>
        <v>Apr</v>
      </c>
    </row>
    <row r="282" spans="1:9" x14ac:dyDescent="0.35">
      <c r="A282" s="6">
        <v>2024</v>
      </c>
      <c r="B282" s="7" t="s">
        <v>48</v>
      </c>
      <c r="C282" s="7" t="s">
        <v>22</v>
      </c>
      <c r="D282" s="7" t="s">
        <v>11</v>
      </c>
      <c r="E282" s="7" t="s">
        <v>12</v>
      </c>
      <c r="F282" s="8">
        <v>423730</v>
      </c>
      <c r="G282" s="9">
        <v>36</v>
      </c>
      <c r="H282" s="10" t="s">
        <v>305</v>
      </c>
      <c r="I282" s="5" t="str">
        <f>CHOOSE(MATCH(B282,{"Январь","Февраль","Март","Апрель","Май","Июнь","Июль","Август","Сентябрь","Октябрь","Ноябрь","Декабрь"},0),
"Jan","Feb","Mar","Apr","May","Jun","Jul","Aug","Sep","Oct","Nov","Dec")</f>
        <v>Apr</v>
      </c>
    </row>
    <row r="283" spans="1:9" x14ac:dyDescent="0.35">
      <c r="A283" s="6">
        <v>2024</v>
      </c>
      <c r="B283" s="7" t="s">
        <v>48</v>
      </c>
      <c r="C283" s="7" t="s">
        <v>22</v>
      </c>
      <c r="D283" s="7" t="s">
        <v>7</v>
      </c>
      <c r="E283" s="7" t="s">
        <v>8</v>
      </c>
      <c r="F283" s="8">
        <v>476290</v>
      </c>
      <c r="G283" s="9">
        <v>28</v>
      </c>
      <c r="H283" s="10" t="s">
        <v>306</v>
      </c>
      <c r="I283" s="5" t="str">
        <f>CHOOSE(MATCH(B283,{"Январь","Февраль","Март","Апрель","Май","Июнь","Июль","Август","Сентябрь","Октябрь","Ноябрь","Декабрь"},0),
"Jan","Feb","Mar","Apr","May","Jun","Jul","Aug","Sep","Oct","Nov","Dec")</f>
        <v>Apr</v>
      </c>
    </row>
    <row r="284" spans="1:9" x14ac:dyDescent="0.35">
      <c r="A284" s="6">
        <v>2024</v>
      </c>
      <c r="B284" s="7" t="s">
        <v>59</v>
      </c>
      <c r="C284" s="7" t="s">
        <v>6</v>
      </c>
      <c r="D284" s="7" t="s">
        <v>3</v>
      </c>
      <c r="E284" s="7" t="s">
        <v>15</v>
      </c>
      <c r="F284" s="8">
        <v>314270</v>
      </c>
      <c r="G284" s="9">
        <v>23</v>
      </c>
      <c r="H284" s="10" t="s">
        <v>307</v>
      </c>
      <c r="I284" s="5" t="str">
        <f>CHOOSE(MATCH(B284,{"Январь","Февраль","Март","Апрель","Май","Июнь","Июль","Август","Сентябрь","Октябрь","Ноябрь","Декабрь"},0),
"Jan","Feb","Mar","Apr","May","Jun","Jul","Aug","Sep","Oct","Nov","Dec")</f>
        <v>May</v>
      </c>
    </row>
    <row r="285" spans="1:9" x14ac:dyDescent="0.35">
      <c r="A285" s="6">
        <v>2024</v>
      </c>
      <c r="B285" s="7" t="s">
        <v>59</v>
      </c>
      <c r="C285" s="7" t="s">
        <v>6</v>
      </c>
      <c r="D285" s="7" t="s">
        <v>11</v>
      </c>
      <c r="E285" s="7" t="s">
        <v>15</v>
      </c>
      <c r="F285" s="8">
        <v>481650</v>
      </c>
      <c r="G285" s="9">
        <v>33</v>
      </c>
      <c r="H285" s="10" t="s">
        <v>308</v>
      </c>
      <c r="I285" s="5" t="str">
        <f>CHOOSE(MATCH(B285,{"Январь","Февраль","Март","Апрель","Май","Июнь","Июль","Август","Сентябрь","Октябрь","Ноябрь","Декабрь"},0),
"Jan","Feb","Mar","Apr","May","Jun","Jul","Aug","Sep","Oct","Nov","Dec")</f>
        <v>May</v>
      </c>
    </row>
    <row r="286" spans="1:9" x14ac:dyDescent="0.35">
      <c r="A286" s="6">
        <v>2024</v>
      </c>
      <c r="B286" s="7" t="s">
        <v>59</v>
      </c>
      <c r="C286" s="7" t="s">
        <v>22</v>
      </c>
      <c r="D286" s="7" t="s">
        <v>7</v>
      </c>
      <c r="E286" s="7" t="s">
        <v>12</v>
      </c>
      <c r="F286" s="8">
        <v>391680</v>
      </c>
      <c r="G286" s="9">
        <v>37</v>
      </c>
      <c r="H286" s="10" t="s">
        <v>309</v>
      </c>
      <c r="I286" s="5" t="str">
        <f>CHOOSE(MATCH(B286,{"Январь","Февраль","Март","Апрель","Май","Июнь","Июль","Август","Сентябрь","Октябрь","Ноябрь","Декабрь"},0),
"Jan","Feb","Mar","Apr","May","Jun","Jul","Aug","Sep","Oct","Nov","Dec")</f>
        <v>May</v>
      </c>
    </row>
    <row r="287" spans="1:9" x14ac:dyDescent="0.35">
      <c r="A287" s="6">
        <v>2024</v>
      </c>
      <c r="B287" s="7" t="s">
        <v>59</v>
      </c>
      <c r="C287" s="7" t="s">
        <v>2</v>
      </c>
      <c r="D287" s="7" t="s">
        <v>7</v>
      </c>
      <c r="E287" s="7" t="s">
        <v>15</v>
      </c>
      <c r="F287" s="8">
        <v>416660</v>
      </c>
      <c r="G287" s="9">
        <v>27</v>
      </c>
      <c r="H287" s="10" t="s">
        <v>310</v>
      </c>
      <c r="I287" s="5" t="str">
        <f>CHOOSE(MATCH(B287,{"Январь","Февраль","Март","Апрель","Май","Июнь","Июль","Август","Сентябрь","Октябрь","Ноябрь","Декабрь"},0),
"Jan","Feb","Mar","Apr","May","Jun","Jul","Aug","Sep","Oct","Nov","Dec")</f>
        <v>May</v>
      </c>
    </row>
    <row r="288" spans="1:9" x14ac:dyDescent="0.35">
      <c r="A288" s="6">
        <v>2024</v>
      </c>
      <c r="B288" s="7" t="s">
        <v>59</v>
      </c>
      <c r="C288" s="7" t="s">
        <v>22</v>
      </c>
      <c r="D288" s="7" t="s">
        <v>14</v>
      </c>
      <c r="E288" s="7" t="s">
        <v>8</v>
      </c>
      <c r="F288" s="8">
        <v>274360</v>
      </c>
      <c r="G288" s="9">
        <v>16</v>
      </c>
      <c r="H288" s="10" t="s">
        <v>311</v>
      </c>
      <c r="I288" s="5" t="str">
        <f>CHOOSE(MATCH(B288,{"Январь","Февраль","Март","Апрель","Май","Июнь","Июль","Август","Сентябрь","Октябрь","Ноябрь","Декабрь"},0),
"Jan","Feb","Mar","Apr","May","Jun","Jul","Aug","Sep","Oct","Nov","Dec")</f>
        <v>May</v>
      </c>
    </row>
    <row r="289" spans="1:9" x14ac:dyDescent="0.35">
      <c r="A289" s="6">
        <v>2024</v>
      </c>
      <c r="B289" s="7" t="s">
        <v>59</v>
      </c>
      <c r="C289" s="7" t="s">
        <v>17</v>
      </c>
      <c r="D289" s="7" t="s">
        <v>11</v>
      </c>
      <c r="E289" s="7" t="s">
        <v>12</v>
      </c>
      <c r="F289" s="8">
        <v>224990</v>
      </c>
      <c r="G289" s="9">
        <v>16</v>
      </c>
      <c r="H289" s="10" t="s">
        <v>312</v>
      </c>
      <c r="I289" s="5" t="str">
        <f>CHOOSE(MATCH(B289,{"Январь","Февраль","Март","Апрель","Май","Июнь","Июль","Август","Сентябрь","Октябрь","Ноябрь","Декабрь"},0),
"Jan","Feb","Mar","Apr","May","Jun","Jul","Aug","Sep","Oct","Nov","Dec")</f>
        <v>May</v>
      </c>
    </row>
    <row r="290" spans="1:9" x14ac:dyDescent="0.35">
      <c r="A290" s="6">
        <v>2024</v>
      </c>
      <c r="B290" s="7" t="s">
        <v>59</v>
      </c>
      <c r="C290" s="7" t="s">
        <v>17</v>
      </c>
      <c r="D290" s="7" t="s">
        <v>14</v>
      </c>
      <c r="E290" s="7" t="s">
        <v>15</v>
      </c>
      <c r="F290" s="8">
        <v>445410</v>
      </c>
      <c r="G290" s="9">
        <v>29</v>
      </c>
      <c r="H290" s="10" t="s">
        <v>313</v>
      </c>
      <c r="I290" s="5" t="str">
        <f>CHOOSE(MATCH(B290,{"Январь","Февраль","Март","Апрель","Май","Июнь","Июль","Август","Сентябрь","Октябрь","Ноябрь","Декабрь"},0),
"Jan","Feb","Mar","Apr","May","Jun","Jul","Aug","Sep","Oct","Nov","Dec")</f>
        <v>May</v>
      </c>
    </row>
    <row r="291" spans="1:9" x14ac:dyDescent="0.35">
      <c r="A291" s="6">
        <v>2024</v>
      </c>
      <c r="B291" s="7" t="s">
        <v>59</v>
      </c>
      <c r="C291" s="7" t="s">
        <v>17</v>
      </c>
      <c r="D291" s="7" t="s">
        <v>14</v>
      </c>
      <c r="E291" s="7" t="s">
        <v>15</v>
      </c>
      <c r="F291" s="8">
        <v>606620</v>
      </c>
      <c r="G291" s="9">
        <v>39</v>
      </c>
      <c r="H291" s="10" t="s">
        <v>314</v>
      </c>
      <c r="I291" s="5" t="str">
        <f>CHOOSE(MATCH(B291,{"Январь","Февраль","Март","Апрель","Май","Июнь","Июль","Август","Сентябрь","Октябрь","Ноябрь","Декабрь"},0),
"Jan","Feb","Mar","Apr","May","Jun","Jul","Aug","Sep","Oct","Nov","Dec")</f>
        <v>May</v>
      </c>
    </row>
    <row r="292" spans="1:9" x14ac:dyDescent="0.35">
      <c r="A292" s="6">
        <v>2024</v>
      </c>
      <c r="B292" s="7" t="s">
        <v>59</v>
      </c>
      <c r="C292" s="7" t="s">
        <v>22</v>
      </c>
      <c r="D292" s="7" t="s">
        <v>18</v>
      </c>
      <c r="E292" s="7" t="s">
        <v>12</v>
      </c>
      <c r="F292" s="8">
        <v>378650</v>
      </c>
      <c r="G292" s="9">
        <v>35</v>
      </c>
      <c r="H292" s="10" t="s">
        <v>315</v>
      </c>
      <c r="I292" s="5" t="str">
        <f>CHOOSE(MATCH(B292,{"Январь","Февраль","Март","Апрель","Май","Июнь","Июль","Август","Сентябрь","Октябрь","Ноябрь","Декабрь"},0),
"Jan","Feb","Mar","Apr","May","Jun","Jul","Aug","Sep","Oct","Nov","Dec")</f>
        <v>May</v>
      </c>
    </row>
    <row r="293" spans="1:9" x14ac:dyDescent="0.35">
      <c r="A293" s="6">
        <v>2024</v>
      </c>
      <c r="B293" s="7" t="s">
        <v>59</v>
      </c>
      <c r="C293" s="7" t="s">
        <v>6</v>
      </c>
      <c r="D293" s="7" t="s">
        <v>14</v>
      </c>
      <c r="E293" s="7" t="s">
        <v>15</v>
      </c>
      <c r="F293" s="8">
        <v>482730</v>
      </c>
      <c r="G293" s="9">
        <v>35</v>
      </c>
      <c r="H293" s="10" t="s">
        <v>316</v>
      </c>
      <c r="I293" s="5" t="str">
        <f>CHOOSE(MATCH(B293,{"Январь","Февраль","Март","Апрель","Май","Июнь","Июль","Август","Сентябрь","Октябрь","Ноябрь","Декабрь"},0),
"Jan","Feb","Mar","Apr","May","Jun","Jul","Aug","Sep","Oct","Nov","Dec")</f>
        <v>May</v>
      </c>
    </row>
    <row r="294" spans="1:9" x14ac:dyDescent="0.35">
      <c r="A294" s="6">
        <v>2024</v>
      </c>
      <c r="B294" s="7" t="s">
        <v>70</v>
      </c>
      <c r="C294" s="7" t="s">
        <v>17</v>
      </c>
      <c r="D294" s="7" t="s">
        <v>11</v>
      </c>
      <c r="E294" s="7" t="s">
        <v>8</v>
      </c>
      <c r="F294" s="8">
        <v>559820</v>
      </c>
      <c r="G294" s="9">
        <v>26</v>
      </c>
      <c r="H294" s="10" t="s">
        <v>317</v>
      </c>
      <c r="I294" s="5" t="str">
        <f>CHOOSE(MATCH(B294,{"Январь","Февраль","Март","Апрель","Май","Июнь","Июль","Август","Сентябрь","Октябрь","Ноябрь","Декабрь"},0),
"Jan","Feb","Mar","Apr","May","Jun","Jul","Aug","Sep","Oct","Nov","Dec")</f>
        <v>Jun</v>
      </c>
    </row>
    <row r="295" spans="1:9" x14ac:dyDescent="0.35">
      <c r="A295" s="6">
        <v>2024</v>
      </c>
      <c r="B295" s="7" t="s">
        <v>70</v>
      </c>
      <c r="C295" s="7" t="s">
        <v>2</v>
      </c>
      <c r="D295" s="7" t="s">
        <v>14</v>
      </c>
      <c r="E295" s="7" t="s">
        <v>15</v>
      </c>
      <c r="F295" s="8">
        <v>390470</v>
      </c>
      <c r="G295" s="9">
        <v>23</v>
      </c>
      <c r="H295" s="10" t="s">
        <v>318</v>
      </c>
      <c r="I295" s="5" t="str">
        <f>CHOOSE(MATCH(B295,{"Январь","Февраль","Март","Апрель","Май","Июнь","Июль","Август","Сентябрь","Октябрь","Ноябрь","Декабрь"},0),
"Jan","Feb","Mar","Apr","May","Jun","Jul","Aug","Sep","Oct","Nov","Dec")</f>
        <v>Jun</v>
      </c>
    </row>
    <row r="296" spans="1:9" x14ac:dyDescent="0.35">
      <c r="A296" s="6">
        <v>2024</v>
      </c>
      <c r="B296" s="7" t="s">
        <v>70</v>
      </c>
      <c r="C296" s="7" t="s">
        <v>17</v>
      </c>
      <c r="D296" s="7" t="s">
        <v>14</v>
      </c>
      <c r="E296" s="7" t="s">
        <v>12</v>
      </c>
      <c r="F296" s="8">
        <v>233720</v>
      </c>
      <c r="G296" s="9">
        <v>17</v>
      </c>
      <c r="H296" s="10" t="s">
        <v>319</v>
      </c>
      <c r="I296" s="5" t="str">
        <f>CHOOSE(MATCH(B296,{"Январь","Февраль","Март","Апрель","Май","Июнь","Июль","Август","Сентябрь","Октябрь","Ноябрь","Декабрь"},0),
"Jan","Feb","Mar","Apr","May","Jun","Jul","Aug","Sep","Oct","Nov","Dec")</f>
        <v>Jun</v>
      </c>
    </row>
    <row r="297" spans="1:9" x14ac:dyDescent="0.35">
      <c r="A297" s="6">
        <v>2024</v>
      </c>
      <c r="B297" s="7" t="s">
        <v>70</v>
      </c>
      <c r="C297" s="7" t="s">
        <v>2</v>
      </c>
      <c r="D297" s="7" t="s">
        <v>14</v>
      </c>
      <c r="E297" s="7" t="s">
        <v>8</v>
      </c>
      <c r="F297" s="8">
        <v>407080</v>
      </c>
      <c r="G297" s="9">
        <v>18</v>
      </c>
      <c r="H297" s="10" t="s">
        <v>320</v>
      </c>
      <c r="I297" s="5" t="str">
        <f>CHOOSE(MATCH(B297,{"Январь","Февраль","Март","Апрель","Май","Июнь","Июль","Август","Сентябрь","Октябрь","Ноябрь","Декабрь"},0),
"Jan","Feb","Mar","Apr","May","Jun","Jul","Aug","Sep","Oct","Nov","Dec")</f>
        <v>Jun</v>
      </c>
    </row>
    <row r="298" spans="1:9" x14ac:dyDescent="0.35">
      <c r="A298" s="6">
        <v>2024</v>
      </c>
      <c r="B298" s="7" t="s">
        <v>70</v>
      </c>
      <c r="C298" s="7" t="s">
        <v>6</v>
      </c>
      <c r="D298" s="7" t="s">
        <v>7</v>
      </c>
      <c r="E298" s="7" t="s">
        <v>15</v>
      </c>
      <c r="F298" s="8">
        <v>365370</v>
      </c>
      <c r="G298" s="9">
        <v>28</v>
      </c>
      <c r="H298" s="10" t="s">
        <v>321</v>
      </c>
      <c r="I298" s="5" t="str">
        <f>CHOOSE(MATCH(B298,{"Январь","Февраль","Март","Апрель","Май","Июнь","Июль","Август","Сентябрь","Октябрь","Ноябрь","Декабрь"},0),
"Jan","Feb","Mar","Apr","May","Jun","Jul","Aug","Sep","Oct","Nov","Dec")</f>
        <v>Jun</v>
      </c>
    </row>
    <row r="299" spans="1:9" x14ac:dyDescent="0.35">
      <c r="A299" s="6">
        <v>2024</v>
      </c>
      <c r="B299" s="7" t="s">
        <v>70</v>
      </c>
      <c r="C299" s="7" t="s">
        <v>10</v>
      </c>
      <c r="D299" s="7" t="s">
        <v>7</v>
      </c>
      <c r="E299" s="7" t="s">
        <v>12</v>
      </c>
      <c r="F299" s="8">
        <v>590590</v>
      </c>
      <c r="G299" s="9">
        <v>36</v>
      </c>
      <c r="H299" s="10" t="s">
        <v>322</v>
      </c>
      <c r="I299" s="5" t="str">
        <f>CHOOSE(MATCH(B299,{"Январь","Февраль","Март","Апрель","Май","Июнь","Июль","Август","Сентябрь","Октябрь","Ноябрь","Декабрь"},0),
"Jan","Feb","Mar","Apr","May","Jun","Jul","Aug","Sep","Oct","Nov","Dec")</f>
        <v>Jun</v>
      </c>
    </row>
    <row r="300" spans="1:9" x14ac:dyDescent="0.35">
      <c r="A300" s="6">
        <v>2024</v>
      </c>
      <c r="B300" s="7" t="s">
        <v>70</v>
      </c>
      <c r="C300" s="7" t="s">
        <v>2</v>
      </c>
      <c r="D300" s="7" t="s">
        <v>7</v>
      </c>
      <c r="E300" s="7" t="s">
        <v>4</v>
      </c>
      <c r="F300" s="8">
        <v>320310</v>
      </c>
      <c r="G300" s="9">
        <v>17</v>
      </c>
      <c r="H300" s="10" t="s">
        <v>323</v>
      </c>
      <c r="I300" s="5" t="str">
        <f>CHOOSE(MATCH(B300,{"Январь","Февраль","Март","Апрель","Май","Июнь","Июль","Август","Сентябрь","Октябрь","Ноябрь","Декабрь"},0),
"Jan","Feb","Mar","Apr","May","Jun","Jul","Aug","Sep","Oct","Nov","Dec")</f>
        <v>Jun</v>
      </c>
    </row>
    <row r="301" spans="1:9" x14ac:dyDescent="0.35">
      <c r="A301" s="6">
        <v>2024</v>
      </c>
      <c r="B301" s="7" t="s">
        <v>70</v>
      </c>
      <c r="C301" s="7" t="s">
        <v>6</v>
      </c>
      <c r="D301" s="7" t="s">
        <v>18</v>
      </c>
      <c r="E301" s="7" t="s">
        <v>8</v>
      </c>
      <c r="F301" s="8">
        <v>229080</v>
      </c>
      <c r="G301" s="9">
        <v>12</v>
      </c>
      <c r="H301" s="10" t="s">
        <v>324</v>
      </c>
      <c r="I301" s="5" t="str">
        <f>CHOOSE(MATCH(B301,{"Январь","Февраль","Март","Апрель","Май","Июнь","Июль","Август","Сентябрь","Октябрь","Ноябрь","Декабрь"},0),
"Jan","Feb","Mar","Apr","May","Jun","Jul","Aug","Sep","Oct","Nov","Dec")</f>
        <v>Jun</v>
      </c>
    </row>
    <row r="302" spans="1:9" x14ac:dyDescent="0.35">
      <c r="A302" s="6">
        <v>2024</v>
      </c>
      <c r="B302" s="7" t="s">
        <v>70</v>
      </c>
      <c r="C302" s="7" t="s">
        <v>10</v>
      </c>
      <c r="D302" s="7" t="s">
        <v>7</v>
      </c>
      <c r="E302" s="7" t="s">
        <v>12</v>
      </c>
      <c r="F302" s="8">
        <v>483790</v>
      </c>
      <c r="G302" s="9">
        <v>31</v>
      </c>
      <c r="H302" s="10" t="s">
        <v>325</v>
      </c>
      <c r="I302" s="5" t="str">
        <f>CHOOSE(MATCH(B302,{"Январь","Февраль","Март","Апрель","Май","Июнь","Июль","Август","Сентябрь","Октябрь","Ноябрь","Декабрь"},0),
"Jan","Feb","Mar","Apr","May","Jun","Jul","Aug","Sep","Oct","Nov","Dec")</f>
        <v>Jun</v>
      </c>
    </row>
    <row r="303" spans="1:9" x14ac:dyDescent="0.35">
      <c r="A303" s="6">
        <v>2024</v>
      </c>
      <c r="B303" s="7" t="s">
        <v>70</v>
      </c>
      <c r="C303" s="7" t="s">
        <v>2</v>
      </c>
      <c r="D303" s="7" t="s">
        <v>7</v>
      </c>
      <c r="E303" s="7" t="s">
        <v>12</v>
      </c>
      <c r="F303" s="8">
        <v>348230</v>
      </c>
      <c r="G303" s="9">
        <v>26</v>
      </c>
      <c r="H303" s="10" t="s">
        <v>326</v>
      </c>
      <c r="I303" s="5" t="str">
        <f>CHOOSE(MATCH(B303,{"Январь","Февраль","Март","Апрель","Май","Июнь","Июль","Август","Сентябрь","Октябрь","Ноябрь","Декабрь"},0),
"Jan","Feb","Mar","Apr","May","Jun","Jul","Aug","Sep","Oct","Nov","Dec")</f>
        <v>Jun</v>
      </c>
    </row>
    <row r="304" spans="1:9" x14ac:dyDescent="0.35">
      <c r="A304" s="6">
        <v>2024</v>
      </c>
      <c r="B304" s="7" t="s">
        <v>81</v>
      </c>
      <c r="C304" s="7" t="s">
        <v>22</v>
      </c>
      <c r="D304" s="7" t="s">
        <v>14</v>
      </c>
      <c r="E304" s="7" t="s">
        <v>8</v>
      </c>
      <c r="F304" s="8">
        <v>375110</v>
      </c>
      <c r="G304" s="9">
        <v>21</v>
      </c>
      <c r="H304" s="10" t="s">
        <v>327</v>
      </c>
      <c r="I304" s="5" t="str">
        <f>CHOOSE(MATCH(B304,{"Январь","Февраль","Март","Апрель","Май","Июнь","Июль","Август","Сентябрь","Октябрь","Ноябрь","Декабрь"},0),
"Jan","Feb","Mar","Apr","May","Jun","Jul","Aug","Sep","Oct","Nov","Dec")</f>
        <v>Jul</v>
      </c>
    </row>
    <row r="305" spans="1:9" x14ac:dyDescent="0.35">
      <c r="A305" s="6">
        <v>2024</v>
      </c>
      <c r="B305" s="7" t="s">
        <v>81</v>
      </c>
      <c r="C305" s="7" t="s">
        <v>10</v>
      </c>
      <c r="D305" s="7" t="s">
        <v>3</v>
      </c>
      <c r="E305" s="7" t="s">
        <v>15</v>
      </c>
      <c r="F305" s="8">
        <v>344560</v>
      </c>
      <c r="G305" s="9">
        <v>18</v>
      </c>
      <c r="H305" s="10" t="s">
        <v>328</v>
      </c>
      <c r="I305" s="5" t="str">
        <f>CHOOSE(MATCH(B305,{"Январь","Февраль","Март","Апрель","Май","Июнь","Июль","Август","Сентябрь","Октябрь","Ноябрь","Декабрь"},0),
"Jan","Feb","Mar","Apr","May","Jun","Jul","Aug","Sep","Oct","Nov","Dec")</f>
        <v>Jul</v>
      </c>
    </row>
    <row r="306" spans="1:9" x14ac:dyDescent="0.35">
      <c r="A306" s="6">
        <v>2024</v>
      </c>
      <c r="B306" s="7" t="s">
        <v>81</v>
      </c>
      <c r="C306" s="7" t="s">
        <v>10</v>
      </c>
      <c r="D306" s="7" t="s">
        <v>14</v>
      </c>
      <c r="E306" s="7" t="s">
        <v>4</v>
      </c>
      <c r="F306" s="8">
        <v>415610</v>
      </c>
      <c r="G306" s="9">
        <v>19</v>
      </c>
      <c r="H306" s="10" t="s">
        <v>329</v>
      </c>
      <c r="I306" s="5" t="str">
        <f>CHOOSE(MATCH(B306,{"Январь","Февраль","Март","Апрель","Май","Июнь","Июль","Август","Сентябрь","Октябрь","Ноябрь","Декабрь"},0),
"Jan","Feb","Mar","Apr","May","Jun","Jul","Aug","Sep","Oct","Nov","Dec")</f>
        <v>Jul</v>
      </c>
    </row>
    <row r="307" spans="1:9" x14ac:dyDescent="0.35">
      <c r="A307" s="6">
        <v>2024</v>
      </c>
      <c r="B307" s="7" t="s">
        <v>81</v>
      </c>
      <c r="C307" s="7" t="s">
        <v>10</v>
      </c>
      <c r="D307" s="7" t="s">
        <v>11</v>
      </c>
      <c r="E307" s="7" t="s">
        <v>15</v>
      </c>
      <c r="F307" s="8">
        <v>299840</v>
      </c>
      <c r="G307" s="9">
        <v>15</v>
      </c>
      <c r="H307" s="10" t="s">
        <v>330</v>
      </c>
      <c r="I307" s="5" t="str">
        <f>CHOOSE(MATCH(B307,{"Январь","Февраль","Март","Апрель","Май","Июнь","Июль","Август","Сентябрь","Октябрь","Ноябрь","Декабрь"},0),
"Jan","Feb","Mar","Apr","May","Jun","Jul","Aug","Sep","Oct","Nov","Dec")</f>
        <v>Jul</v>
      </c>
    </row>
    <row r="308" spans="1:9" x14ac:dyDescent="0.35">
      <c r="A308" s="6">
        <v>2024</v>
      </c>
      <c r="B308" s="7" t="s">
        <v>81</v>
      </c>
      <c r="C308" s="7" t="s">
        <v>2</v>
      </c>
      <c r="D308" s="7" t="s">
        <v>7</v>
      </c>
      <c r="E308" s="7" t="s">
        <v>12</v>
      </c>
      <c r="F308" s="8">
        <v>495930</v>
      </c>
      <c r="G308" s="9">
        <v>37</v>
      </c>
      <c r="H308" s="10" t="s">
        <v>331</v>
      </c>
      <c r="I308" s="5" t="str">
        <f>CHOOSE(MATCH(B308,{"Январь","Февраль","Март","Апрель","Май","Июнь","Июль","Август","Сентябрь","Октябрь","Ноябрь","Декабрь"},0),
"Jan","Feb","Mar","Apr","May","Jun","Jul","Aug","Sep","Oct","Nov","Dec")</f>
        <v>Jul</v>
      </c>
    </row>
    <row r="309" spans="1:9" x14ac:dyDescent="0.35">
      <c r="A309" s="6">
        <v>2024</v>
      </c>
      <c r="B309" s="7" t="s">
        <v>81</v>
      </c>
      <c r="C309" s="7" t="s">
        <v>22</v>
      </c>
      <c r="D309" s="7" t="s">
        <v>14</v>
      </c>
      <c r="E309" s="7" t="s">
        <v>15</v>
      </c>
      <c r="F309" s="8">
        <v>468470</v>
      </c>
      <c r="G309" s="9">
        <v>36</v>
      </c>
      <c r="H309" s="10" t="s">
        <v>332</v>
      </c>
      <c r="I309" s="5" t="str">
        <f>CHOOSE(MATCH(B309,{"Январь","Февраль","Март","Апрель","Май","Июнь","Июль","Август","Сентябрь","Октябрь","Ноябрь","Декабрь"},0),
"Jan","Feb","Mar","Apr","May","Jun","Jul","Aug","Sep","Oct","Nov","Dec")</f>
        <v>Jul</v>
      </c>
    </row>
    <row r="310" spans="1:9" x14ac:dyDescent="0.35">
      <c r="A310" s="6">
        <v>2024</v>
      </c>
      <c r="B310" s="7" t="s">
        <v>81</v>
      </c>
      <c r="C310" s="7" t="s">
        <v>2</v>
      </c>
      <c r="D310" s="7" t="s">
        <v>7</v>
      </c>
      <c r="E310" s="7" t="s">
        <v>8</v>
      </c>
      <c r="F310" s="8">
        <v>498980</v>
      </c>
      <c r="G310" s="9">
        <v>24</v>
      </c>
      <c r="H310" s="10" t="s">
        <v>333</v>
      </c>
      <c r="I310" s="5" t="str">
        <f>CHOOSE(MATCH(B310,{"Январь","Февраль","Март","Апрель","Май","Июнь","Июль","Август","Сентябрь","Октябрь","Ноябрь","Декабрь"},0),
"Jan","Feb","Mar","Apr","May","Jun","Jul","Aug","Sep","Oct","Nov","Dec")</f>
        <v>Jul</v>
      </c>
    </row>
    <row r="311" spans="1:9" x14ac:dyDescent="0.35">
      <c r="A311" s="6">
        <v>2024</v>
      </c>
      <c r="B311" s="7" t="s">
        <v>81</v>
      </c>
      <c r="C311" s="7" t="s">
        <v>22</v>
      </c>
      <c r="D311" s="7" t="s">
        <v>18</v>
      </c>
      <c r="E311" s="7" t="s">
        <v>15</v>
      </c>
      <c r="F311" s="8">
        <v>251400</v>
      </c>
      <c r="G311" s="9">
        <v>19</v>
      </c>
      <c r="H311" s="10" t="s">
        <v>334</v>
      </c>
      <c r="I311" s="5" t="str">
        <f>CHOOSE(MATCH(B311,{"Январь","Февраль","Март","Апрель","Май","Июнь","Июль","Август","Сентябрь","Октябрь","Ноябрь","Декабрь"},0),
"Jan","Feb","Mar","Apr","May","Jun","Jul","Aug","Sep","Oct","Nov","Dec")</f>
        <v>Jul</v>
      </c>
    </row>
    <row r="312" spans="1:9" x14ac:dyDescent="0.35">
      <c r="A312" s="6">
        <v>2024</v>
      </c>
      <c r="B312" s="7" t="s">
        <v>81</v>
      </c>
      <c r="C312" s="7" t="s">
        <v>22</v>
      </c>
      <c r="D312" s="7" t="s">
        <v>18</v>
      </c>
      <c r="E312" s="7" t="s">
        <v>8</v>
      </c>
      <c r="F312" s="8">
        <v>374760</v>
      </c>
      <c r="G312" s="9">
        <v>22</v>
      </c>
      <c r="H312" s="10" t="s">
        <v>335</v>
      </c>
      <c r="I312" s="5" t="str">
        <f>CHOOSE(MATCH(B312,{"Январь","Февраль","Март","Апрель","Май","Июнь","Июль","Август","Сентябрь","Октябрь","Ноябрь","Декабрь"},0),
"Jan","Feb","Mar","Apr","May","Jun","Jul","Aug","Sep","Oct","Nov","Dec")</f>
        <v>Jul</v>
      </c>
    </row>
    <row r="313" spans="1:9" x14ac:dyDescent="0.35">
      <c r="A313" s="6">
        <v>2024</v>
      </c>
      <c r="B313" s="7" t="s">
        <v>81</v>
      </c>
      <c r="C313" s="7" t="s">
        <v>6</v>
      </c>
      <c r="D313" s="7" t="s">
        <v>7</v>
      </c>
      <c r="E313" s="7" t="s">
        <v>8</v>
      </c>
      <c r="F313" s="8">
        <v>439750</v>
      </c>
      <c r="G313" s="9">
        <v>24</v>
      </c>
      <c r="H313" s="10" t="s">
        <v>336</v>
      </c>
      <c r="I313" s="5" t="str">
        <f>CHOOSE(MATCH(B313,{"Январь","Февраль","Март","Апрель","Май","Июнь","Июль","Август","Сентябрь","Октябрь","Ноябрь","Декабрь"},0),
"Jan","Feb","Mar","Apr","May","Jun","Jul","Aug","Sep","Oct","Nov","Dec")</f>
        <v>Jul</v>
      </c>
    </row>
    <row r="314" spans="1:9" x14ac:dyDescent="0.35">
      <c r="A314" s="6">
        <v>2024</v>
      </c>
      <c r="B314" s="7" t="s">
        <v>92</v>
      </c>
      <c r="C314" s="7" t="s">
        <v>10</v>
      </c>
      <c r="D314" s="7" t="s">
        <v>18</v>
      </c>
      <c r="E314" s="7" t="s">
        <v>4</v>
      </c>
      <c r="F314" s="8">
        <v>789670</v>
      </c>
      <c r="G314" s="9">
        <v>36</v>
      </c>
      <c r="H314" s="10" t="s">
        <v>337</v>
      </c>
      <c r="I314" s="5" t="str">
        <f>CHOOSE(MATCH(B314,{"Январь","Февраль","Март","Апрель","Май","Июнь","Июль","Август","Сентябрь","Октябрь","Ноябрь","Декабрь"},0),
"Jan","Feb","Mar","Apr","May","Jun","Jul","Aug","Sep","Oct","Nov","Dec")</f>
        <v>Aug</v>
      </c>
    </row>
    <row r="315" spans="1:9" x14ac:dyDescent="0.35">
      <c r="A315" s="6">
        <v>2024</v>
      </c>
      <c r="B315" s="7" t="s">
        <v>92</v>
      </c>
      <c r="C315" s="7" t="s">
        <v>2</v>
      </c>
      <c r="D315" s="7" t="s">
        <v>7</v>
      </c>
      <c r="E315" s="7" t="s">
        <v>12</v>
      </c>
      <c r="F315" s="8">
        <v>414890</v>
      </c>
      <c r="G315" s="9">
        <v>31</v>
      </c>
      <c r="H315" s="10" t="s">
        <v>338</v>
      </c>
      <c r="I315" s="5" t="str">
        <f>CHOOSE(MATCH(B315,{"Январь","Февраль","Март","Апрель","Май","Июнь","Июль","Август","Сентябрь","Октябрь","Ноябрь","Декабрь"},0),
"Jan","Feb","Mar","Apr","May","Jun","Jul","Aug","Sep","Oct","Nov","Dec")</f>
        <v>Aug</v>
      </c>
    </row>
    <row r="316" spans="1:9" x14ac:dyDescent="0.35">
      <c r="A316" s="6">
        <v>2024</v>
      </c>
      <c r="B316" s="7" t="s">
        <v>92</v>
      </c>
      <c r="C316" s="7" t="s">
        <v>17</v>
      </c>
      <c r="D316" s="7" t="s">
        <v>18</v>
      </c>
      <c r="E316" s="7" t="s">
        <v>12</v>
      </c>
      <c r="F316" s="8">
        <v>266230</v>
      </c>
      <c r="G316" s="9">
        <v>19</v>
      </c>
      <c r="H316" s="10" t="s">
        <v>339</v>
      </c>
      <c r="I316" s="5" t="str">
        <f>CHOOSE(MATCH(B316,{"Январь","Февраль","Март","Апрель","Май","Июнь","Июль","Август","Сентябрь","Октябрь","Ноябрь","Декабрь"},0),
"Jan","Feb","Mar","Apr","May","Jun","Jul","Aug","Sep","Oct","Nov","Dec")</f>
        <v>Aug</v>
      </c>
    </row>
    <row r="317" spans="1:9" x14ac:dyDescent="0.35">
      <c r="A317" s="6">
        <v>2024</v>
      </c>
      <c r="B317" s="7" t="s">
        <v>92</v>
      </c>
      <c r="C317" s="7" t="s">
        <v>17</v>
      </c>
      <c r="D317" s="7" t="s">
        <v>7</v>
      </c>
      <c r="E317" s="7" t="s">
        <v>4</v>
      </c>
      <c r="F317" s="8">
        <v>452510</v>
      </c>
      <c r="G317" s="9">
        <v>26</v>
      </c>
      <c r="H317" s="10" t="s">
        <v>340</v>
      </c>
      <c r="I317" s="5" t="str">
        <f>CHOOSE(MATCH(B317,{"Январь","Февраль","Март","Апрель","Май","Июнь","Июль","Август","Сентябрь","Октябрь","Ноябрь","Декабрь"},0),
"Jan","Feb","Mar","Apr","May","Jun","Jul","Aug","Sep","Oct","Nov","Dec")</f>
        <v>Aug</v>
      </c>
    </row>
    <row r="318" spans="1:9" x14ac:dyDescent="0.35">
      <c r="A318" s="6">
        <v>2024</v>
      </c>
      <c r="B318" s="7" t="s">
        <v>92</v>
      </c>
      <c r="C318" s="7" t="s">
        <v>10</v>
      </c>
      <c r="D318" s="7" t="s">
        <v>7</v>
      </c>
      <c r="E318" s="7" t="s">
        <v>8</v>
      </c>
      <c r="F318" s="8">
        <v>1036140</v>
      </c>
      <c r="G318" s="9">
        <v>41</v>
      </c>
      <c r="H318" s="10" t="s">
        <v>341</v>
      </c>
      <c r="I318" s="5" t="str">
        <f>CHOOSE(MATCH(B318,{"Январь","Февраль","Март","Апрель","Май","Июнь","Июль","Август","Сентябрь","Октябрь","Ноябрь","Декабрь"},0),
"Jan","Feb","Mar","Apr","May","Jun","Jul","Aug","Sep","Oct","Nov","Dec")</f>
        <v>Aug</v>
      </c>
    </row>
    <row r="319" spans="1:9" x14ac:dyDescent="0.35">
      <c r="A319" s="6">
        <v>2024</v>
      </c>
      <c r="B319" s="7" t="s">
        <v>92</v>
      </c>
      <c r="C319" s="7" t="s">
        <v>17</v>
      </c>
      <c r="D319" s="7" t="s">
        <v>3</v>
      </c>
      <c r="E319" s="7" t="s">
        <v>8</v>
      </c>
      <c r="F319" s="8">
        <v>543780</v>
      </c>
      <c r="G319" s="9">
        <v>26</v>
      </c>
      <c r="H319" s="10" t="s">
        <v>342</v>
      </c>
      <c r="I319" s="5" t="str">
        <f>CHOOSE(MATCH(B319,{"Январь","Февраль","Март","Апрель","Май","Июнь","Июль","Август","Сентябрь","Октябрь","Ноябрь","Декабрь"},0),
"Jan","Feb","Mar","Apr","May","Jun","Jul","Aug","Sep","Oct","Nov","Dec")</f>
        <v>Aug</v>
      </c>
    </row>
    <row r="320" spans="1:9" x14ac:dyDescent="0.35">
      <c r="A320" s="6">
        <v>2024</v>
      </c>
      <c r="B320" s="7" t="s">
        <v>92</v>
      </c>
      <c r="C320" s="7" t="s">
        <v>10</v>
      </c>
      <c r="D320" s="7" t="s">
        <v>11</v>
      </c>
      <c r="E320" s="7" t="s">
        <v>4</v>
      </c>
      <c r="F320" s="8">
        <v>933160</v>
      </c>
      <c r="G320" s="9">
        <v>42</v>
      </c>
      <c r="H320" s="10" t="s">
        <v>343</v>
      </c>
      <c r="I320" s="5" t="str">
        <f>CHOOSE(MATCH(B320,{"Январь","Февраль","Март","Апрель","Май","Июнь","Июль","Август","Сентябрь","Октябрь","Ноябрь","Декабрь"},0),
"Jan","Feb","Mar","Apr","May","Jun","Jul","Aug","Sep","Oct","Nov","Dec")</f>
        <v>Aug</v>
      </c>
    </row>
    <row r="321" spans="1:9" x14ac:dyDescent="0.35">
      <c r="A321" s="6">
        <v>2024</v>
      </c>
      <c r="B321" s="7" t="s">
        <v>92</v>
      </c>
      <c r="C321" s="7" t="s">
        <v>6</v>
      </c>
      <c r="D321" s="7" t="s">
        <v>7</v>
      </c>
      <c r="E321" s="7" t="s">
        <v>4</v>
      </c>
      <c r="F321" s="8">
        <v>223630</v>
      </c>
      <c r="G321" s="9">
        <v>15</v>
      </c>
      <c r="H321" s="10" t="s">
        <v>344</v>
      </c>
      <c r="I321" s="5" t="str">
        <f>CHOOSE(MATCH(B321,{"Январь","Февраль","Март","Апрель","Май","Июнь","Июль","Август","Сентябрь","Октябрь","Ноябрь","Декабрь"},0),
"Jan","Feb","Mar","Apr","May","Jun","Jul","Aug","Sep","Oct","Nov","Dec")</f>
        <v>Aug</v>
      </c>
    </row>
    <row r="322" spans="1:9" x14ac:dyDescent="0.35">
      <c r="A322" s="6">
        <v>2024</v>
      </c>
      <c r="B322" s="7" t="s">
        <v>92</v>
      </c>
      <c r="C322" s="7" t="s">
        <v>6</v>
      </c>
      <c r="D322" s="7" t="s">
        <v>3</v>
      </c>
      <c r="E322" s="7" t="s">
        <v>8</v>
      </c>
      <c r="F322" s="8">
        <v>436680</v>
      </c>
      <c r="G322" s="9">
        <v>22</v>
      </c>
      <c r="H322" s="10" t="s">
        <v>345</v>
      </c>
      <c r="I322" s="5" t="str">
        <f>CHOOSE(MATCH(B322,{"Январь","Февраль","Март","Апрель","Май","Июнь","Июль","Август","Сентябрь","Октябрь","Ноябрь","Декабрь"},0),
"Jan","Feb","Mar","Apr","May","Jun","Jul","Aug","Sep","Oct","Nov","Dec")</f>
        <v>Aug</v>
      </c>
    </row>
    <row r="323" spans="1:9" x14ac:dyDescent="0.35">
      <c r="A323" s="6">
        <v>2024</v>
      </c>
      <c r="B323" s="7" t="s">
        <v>92</v>
      </c>
      <c r="C323" s="7" t="s">
        <v>17</v>
      </c>
      <c r="D323" s="7" t="s">
        <v>11</v>
      </c>
      <c r="E323" s="7" t="s">
        <v>8</v>
      </c>
      <c r="F323" s="8">
        <v>647600</v>
      </c>
      <c r="G323" s="9">
        <v>31</v>
      </c>
      <c r="H323" s="10" t="s">
        <v>346</v>
      </c>
      <c r="I323" s="5" t="str">
        <f>CHOOSE(MATCH(B323,{"Январь","Февраль","Март","Апрель","Май","Июнь","Июль","Август","Сентябрь","Октябрь","Ноябрь","Декабрь"},0),
"Jan","Feb","Mar","Apr","May","Jun","Jul","Aug","Sep","Oct","Nov","Dec")</f>
        <v>Aug</v>
      </c>
    </row>
    <row r="324" spans="1:9" x14ac:dyDescent="0.35">
      <c r="A324" s="6">
        <v>2024</v>
      </c>
      <c r="B324" s="7" t="s">
        <v>103</v>
      </c>
      <c r="C324" s="7" t="s">
        <v>2</v>
      </c>
      <c r="D324" s="7" t="s">
        <v>11</v>
      </c>
      <c r="E324" s="7" t="s">
        <v>8</v>
      </c>
      <c r="F324" s="8">
        <v>788470</v>
      </c>
      <c r="G324" s="9">
        <v>35</v>
      </c>
      <c r="H324" s="10" t="s">
        <v>347</v>
      </c>
      <c r="I324" s="5" t="str">
        <f>CHOOSE(MATCH(B324,{"Январь","Февраль","Март","Апрель","Май","Июнь","Июль","Август","Сентябрь","Октябрь","Ноябрь","Декабрь"},0),
"Jan","Feb","Mar","Apr","May","Jun","Jul","Aug","Sep","Oct","Nov","Dec")</f>
        <v>Sep</v>
      </c>
    </row>
    <row r="325" spans="1:9" x14ac:dyDescent="0.35">
      <c r="A325" s="6">
        <v>2024</v>
      </c>
      <c r="B325" s="7" t="s">
        <v>103</v>
      </c>
      <c r="C325" s="7" t="s">
        <v>6</v>
      </c>
      <c r="D325" s="7" t="s">
        <v>14</v>
      </c>
      <c r="E325" s="7" t="s">
        <v>8</v>
      </c>
      <c r="F325" s="8">
        <v>466560</v>
      </c>
      <c r="G325" s="9">
        <v>25</v>
      </c>
      <c r="H325" s="10" t="s">
        <v>348</v>
      </c>
      <c r="I325" s="5" t="str">
        <f>CHOOSE(MATCH(B325,{"Январь","Февраль","Март","Апрель","Май","Июнь","Июль","Август","Сентябрь","Октябрь","Ноябрь","Декабрь"},0),
"Jan","Feb","Mar","Apr","May","Jun","Jul","Aug","Sep","Oct","Nov","Dec")</f>
        <v>Sep</v>
      </c>
    </row>
    <row r="326" spans="1:9" x14ac:dyDescent="0.35">
      <c r="A326" s="6">
        <v>2024</v>
      </c>
      <c r="B326" s="7" t="s">
        <v>103</v>
      </c>
      <c r="C326" s="7" t="s">
        <v>10</v>
      </c>
      <c r="D326" s="7" t="s">
        <v>14</v>
      </c>
      <c r="E326" s="7" t="s">
        <v>4</v>
      </c>
      <c r="F326" s="8">
        <v>253950</v>
      </c>
      <c r="G326" s="9">
        <v>12</v>
      </c>
      <c r="H326" s="10" t="s">
        <v>349</v>
      </c>
      <c r="I326" s="5" t="str">
        <f>CHOOSE(MATCH(B326,{"Январь","Февраль","Март","Апрель","Май","Июнь","Июль","Август","Сентябрь","Октябрь","Ноябрь","Декабрь"},0),
"Jan","Feb","Mar","Apr","May","Jun","Jul","Aug","Sep","Oct","Nov","Dec")</f>
        <v>Sep</v>
      </c>
    </row>
    <row r="327" spans="1:9" x14ac:dyDescent="0.35">
      <c r="A327" s="6">
        <v>2024</v>
      </c>
      <c r="B327" s="7" t="s">
        <v>103</v>
      </c>
      <c r="C327" s="7" t="s">
        <v>6</v>
      </c>
      <c r="D327" s="7" t="s">
        <v>18</v>
      </c>
      <c r="E327" s="7" t="s">
        <v>4</v>
      </c>
      <c r="F327" s="8">
        <v>203740</v>
      </c>
      <c r="G327" s="9">
        <v>12</v>
      </c>
      <c r="H327" s="10" t="s">
        <v>350</v>
      </c>
      <c r="I327" s="5" t="str">
        <f>CHOOSE(MATCH(B327,{"Январь","Февраль","Март","Апрель","Май","Июнь","Июль","Август","Сентябрь","Октябрь","Ноябрь","Декабрь"},0),
"Jan","Feb","Mar","Apr","May","Jun","Jul","Aug","Sep","Oct","Nov","Dec")</f>
        <v>Sep</v>
      </c>
    </row>
    <row r="328" spans="1:9" x14ac:dyDescent="0.35">
      <c r="A328" s="6">
        <v>2024</v>
      </c>
      <c r="B328" s="7" t="s">
        <v>103</v>
      </c>
      <c r="C328" s="7" t="s">
        <v>6</v>
      </c>
      <c r="D328" s="7" t="s">
        <v>11</v>
      </c>
      <c r="E328" s="7" t="s">
        <v>8</v>
      </c>
      <c r="F328" s="8">
        <v>407320</v>
      </c>
      <c r="G328" s="9">
        <v>21</v>
      </c>
      <c r="H328" s="10" t="s">
        <v>351</v>
      </c>
      <c r="I328" s="5" t="str">
        <f>CHOOSE(MATCH(B328,{"Январь","Февраль","Март","Апрель","Май","Июнь","Июль","Август","Сентябрь","Октябрь","Ноябрь","Декабрь"},0),
"Jan","Feb","Mar","Apr","May","Jun","Jul","Aug","Sep","Oct","Nov","Dec")</f>
        <v>Sep</v>
      </c>
    </row>
    <row r="329" spans="1:9" x14ac:dyDescent="0.35">
      <c r="A329" s="6">
        <v>2024</v>
      </c>
      <c r="B329" s="7" t="s">
        <v>103</v>
      </c>
      <c r="C329" s="7" t="s">
        <v>10</v>
      </c>
      <c r="D329" s="7" t="s">
        <v>18</v>
      </c>
      <c r="E329" s="7" t="s">
        <v>15</v>
      </c>
      <c r="F329" s="8">
        <v>604640</v>
      </c>
      <c r="G329" s="9">
        <v>32</v>
      </c>
      <c r="H329" s="10" t="s">
        <v>352</v>
      </c>
      <c r="I329" s="5" t="str">
        <f>CHOOSE(MATCH(B329,{"Январь","Февраль","Март","Апрель","Май","Июнь","Июль","Август","Сентябрь","Октябрь","Ноябрь","Декабрь"},0),
"Jan","Feb","Mar","Apr","May","Jun","Jul","Aug","Sep","Oct","Nov","Dec")</f>
        <v>Sep</v>
      </c>
    </row>
    <row r="330" spans="1:9" x14ac:dyDescent="0.35">
      <c r="A330" s="6">
        <v>2024</v>
      </c>
      <c r="B330" s="7" t="s">
        <v>103</v>
      </c>
      <c r="C330" s="7" t="s">
        <v>10</v>
      </c>
      <c r="D330" s="7" t="s">
        <v>7</v>
      </c>
      <c r="E330" s="7" t="s">
        <v>15</v>
      </c>
      <c r="F330" s="8">
        <v>588990</v>
      </c>
      <c r="G330" s="9">
        <v>32</v>
      </c>
      <c r="H330" s="10" t="s">
        <v>353</v>
      </c>
      <c r="I330" s="5" t="str">
        <f>CHOOSE(MATCH(B330,{"Январь","Февраль","Март","Апрель","Май","Июнь","Июль","Август","Сентябрь","Октябрь","Ноябрь","Декабрь"},0),
"Jan","Feb","Mar","Apr","May","Jun","Jul","Aug","Sep","Oct","Nov","Dec")</f>
        <v>Sep</v>
      </c>
    </row>
    <row r="331" spans="1:9" x14ac:dyDescent="0.35">
      <c r="A331" s="6">
        <v>2024</v>
      </c>
      <c r="B331" s="7" t="s">
        <v>103</v>
      </c>
      <c r="C331" s="7" t="s">
        <v>6</v>
      </c>
      <c r="D331" s="7" t="s">
        <v>14</v>
      </c>
      <c r="E331" s="7" t="s">
        <v>4</v>
      </c>
      <c r="F331" s="8">
        <v>321070</v>
      </c>
      <c r="G331" s="9">
        <v>19</v>
      </c>
      <c r="H331" s="10" t="s">
        <v>354</v>
      </c>
      <c r="I331" s="5" t="str">
        <f>CHOOSE(MATCH(B331,{"Январь","Февраль","Март","Апрель","Май","Июнь","Июль","Август","Сентябрь","Октябрь","Ноябрь","Декабрь"},0),
"Jan","Feb","Mar","Apr","May","Jun","Jul","Aug","Sep","Oct","Nov","Dec")</f>
        <v>Sep</v>
      </c>
    </row>
    <row r="332" spans="1:9" x14ac:dyDescent="0.35">
      <c r="A332" s="6">
        <v>2024</v>
      </c>
      <c r="B332" s="7" t="s">
        <v>103</v>
      </c>
      <c r="C332" s="7" t="s">
        <v>17</v>
      </c>
      <c r="D332" s="7" t="s">
        <v>18</v>
      </c>
      <c r="E332" s="7" t="s">
        <v>8</v>
      </c>
      <c r="F332" s="8">
        <v>533610</v>
      </c>
      <c r="G332" s="9">
        <v>26</v>
      </c>
      <c r="H332" s="10" t="s">
        <v>355</v>
      </c>
      <c r="I332" s="5" t="str">
        <f>CHOOSE(MATCH(B332,{"Январь","Февраль","Март","Апрель","Май","Июнь","Июль","Август","Сентябрь","Октябрь","Ноябрь","Декабрь"},0),
"Jan","Feb","Mar","Apr","May","Jun","Jul","Aug","Sep","Oct","Nov","Dec")</f>
        <v>Sep</v>
      </c>
    </row>
    <row r="333" spans="1:9" x14ac:dyDescent="0.35">
      <c r="A333" s="6">
        <v>2024</v>
      </c>
      <c r="B333" s="7" t="s">
        <v>103</v>
      </c>
      <c r="C333" s="7" t="s">
        <v>17</v>
      </c>
      <c r="D333" s="7" t="s">
        <v>14</v>
      </c>
      <c r="E333" s="7" t="s">
        <v>15</v>
      </c>
      <c r="F333" s="8">
        <v>192960</v>
      </c>
      <c r="G333" s="9">
        <v>13</v>
      </c>
      <c r="H333" s="10" t="s">
        <v>356</v>
      </c>
      <c r="I333" s="5" t="str">
        <f>CHOOSE(MATCH(B333,{"Январь","Февраль","Март","Апрель","Май","Июнь","Июль","Август","Сентябрь","Октябрь","Ноябрь","Декабрь"},0),
"Jan","Feb","Mar","Apr","May","Jun","Jul","Aug","Sep","Oct","Nov","Dec")</f>
        <v>Sep</v>
      </c>
    </row>
    <row r="334" spans="1:9" x14ac:dyDescent="0.35">
      <c r="A334" s="6">
        <v>2024</v>
      </c>
      <c r="B334" s="7" t="s">
        <v>114</v>
      </c>
      <c r="C334" s="7" t="s">
        <v>10</v>
      </c>
      <c r="D334" s="7" t="s">
        <v>7</v>
      </c>
      <c r="E334" s="7" t="s">
        <v>4</v>
      </c>
      <c r="F334" s="8">
        <v>363290</v>
      </c>
      <c r="G334" s="9">
        <v>17</v>
      </c>
      <c r="H334" s="10" t="s">
        <v>357</v>
      </c>
      <c r="I334" s="5" t="str">
        <f>CHOOSE(MATCH(B334,{"Январь","Февраль","Март","Апрель","Май","Июнь","Июль","Август","Сентябрь","Октябрь","Ноябрь","Декабрь"},0),
"Jan","Feb","Mar","Apr","May","Jun","Jul","Aug","Sep","Oct","Nov","Dec")</f>
        <v>Oct</v>
      </c>
    </row>
    <row r="335" spans="1:9" x14ac:dyDescent="0.35">
      <c r="A335" s="6">
        <v>2024</v>
      </c>
      <c r="B335" s="7" t="s">
        <v>114</v>
      </c>
      <c r="C335" s="7" t="s">
        <v>6</v>
      </c>
      <c r="D335" s="7" t="s">
        <v>14</v>
      </c>
      <c r="E335" s="7" t="s">
        <v>12</v>
      </c>
      <c r="F335" s="8">
        <v>394230</v>
      </c>
      <c r="G335" s="9">
        <v>33</v>
      </c>
      <c r="H335" s="10" t="s">
        <v>358</v>
      </c>
      <c r="I335" s="5" t="str">
        <f>CHOOSE(MATCH(B335,{"Январь","Февраль","Март","Апрель","Май","Июнь","Июль","Август","Сентябрь","Октябрь","Ноябрь","Декабрь"},0),
"Jan","Feb","Mar","Apr","May","Jun","Jul","Aug","Sep","Oct","Nov","Dec")</f>
        <v>Oct</v>
      </c>
    </row>
    <row r="336" spans="1:9" x14ac:dyDescent="0.35">
      <c r="A336" s="6">
        <v>2024</v>
      </c>
      <c r="B336" s="7" t="s">
        <v>114</v>
      </c>
      <c r="C336" s="7" t="s">
        <v>17</v>
      </c>
      <c r="D336" s="7" t="s">
        <v>18</v>
      </c>
      <c r="E336" s="7" t="s">
        <v>12</v>
      </c>
      <c r="F336" s="8">
        <v>293290</v>
      </c>
      <c r="G336" s="9">
        <v>23</v>
      </c>
      <c r="H336" s="10" t="s">
        <v>359</v>
      </c>
      <c r="I336" s="5" t="str">
        <f>CHOOSE(MATCH(B336,{"Январь","Февраль","Март","Апрель","Май","Июнь","Июль","Август","Сентябрь","Октябрь","Ноябрь","Декабрь"},0),
"Jan","Feb","Mar","Apr","May","Jun","Jul","Aug","Sep","Oct","Nov","Dec")</f>
        <v>Oct</v>
      </c>
    </row>
    <row r="337" spans="1:9" x14ac:dyDescent="0.35">
      <c r="A337" s="6">
        <v>2024</v>
      </c>
      <c r="B337" s="7" t="s">
        <v>114</v>
      </c>
      <c r="C337" s="7" t="s">
        <v>2</v>
      </c>
      <c r="D337" s="7" t="s">
        <v>3</v>
      </c>
      <c r="E337" s="7" t="s">
        <v>8</v>
      </c>
      <c r="F337" s="8">
        <v>605640</v>
      </c>
      <c r="G337" s="9">
        <v>27</v>
      </c>
      <c r="H337" s="10" t="s">
        <v>360</v>
      </c>
      <c r="I337" s="5" t="str">
        <f>CHOOSE(MATCH(B337,{"Январь","Февраль","Март","Апрель","Май","Июнь","Июль","Август","Сентябрь","Октябрь","Ноябрь","Декабрь"},0),
"Jan","Feb","Mar","Apr","May","Jun","Jul","Aug","Sep","Oct","Nov","Dec")</f>
        <v>Oct</v>
      </c>
    </row>
    <row r="338" spans="1:9" x14ac:dyDescent="0.35">
      <c r="A338" s="6">
        <v>2024</v>
      </c>
      <c r="B338" s="7" t="s">
        <v>114</v>
      </c>
      <c r="C338" s="7" t="s">
        <v>17</v>
      </c>
      <c r="D338" s="7" t="s">
        <v>14</v>
      </c>
      <c r="E338" s="7" t="s">
        <v>12</v>
      </c>
      <c r="F338" s="8">
        <v>189400</v>
      </c>
      <c r="G338" s="9">
        <v>13</v>
      </c>
      <c r="H338" s="10" t="s">
        <v>361</v>
      </c>
      <c r="I338" s="5" t="str">
        <f>CHOOSE(MATCH(B338,{"Январь","Февраль","Март","Апрель","Май","Июнь","Июль","Август","Сентябрь","Октябрь","Ноябрь","Декабрь"},0),
"Jan","Feb","Mar","Apr","May","Jun","Jul","Aug","Sep","Oct","Nov","Dec")</f>
        <v>Oct</v>
      </c>
    </row>
    <row r="339" spans="1:9" x14ac:dyDescent="0.35">
      <c r="A339" s="6">
        <v>2024</v>
      </c>
      <c r="B339" s="7" t="s">
        <v>114</v>
      </c>
      <c r="C339" s="7" t="s">
        <v>17</v>
      </c>
      <c r="D339" s="7" t="s">
        <v>11</v>
      </c>
      <c r="E339" s="7" t="s">
        <v>12</v>
      </c>
      <c r="F339" s="8">
        <v>308210</v>
      </c>
      <c r="G339" s="9">
        <v>23</v>
      </c>
      <c r="H339" s="10" t="s">
        <v>362</v>
      </c>
      <c r="I339" s="5" t="str">
        <f>CHOOSE(MATCH(B339,{"Январь","Февраль","Март","Апрель","Май","Июнь","Июль","Август","Сентябрь","Октябрь","Ноябрь","Декабрь"},0),
"Jan","Feb","Mar","Apr","May","Jun","Jul","Aug","Sep","Oct","Nov","Dec")</f>
        <v>Oct</v>
      </c>
    </row>
    <row r="340" spans="1:9" x14ac:dyDescent="0.35">
      <c r="A340" s="6">
        <v>2024</v>
      </c>
      <c r="B340" s="7" t="s">
        <v>114</v>
      </c>
      <c r="C340" s="7" t="s">
        <v>2</v>
      </c>
      <c r="D340" s="7" t="s">
        <v>18</v>
      </c>
      <c r="E340" s="7" t="s">
        <v>4</v>
      </c>
      <c r="F340" s="8">
        <v>398530</v>
      </c>
      <c r="G340" s="9">
        <v>22</v>
      </c>
      <c r="H340" s="10" t="s">
        <v>363</v>
      </c>
      <c r="I340" s="5" t="str">
        <f>CHOOSE(MATCH(B340,{"Январь","Февраль","Март","Апрель","Май","Июнь","Июль","Август","Сентябрь","Октябрь","Ноябрь","Декабрь"},0),
"Jan","Feb","Mar","Apr","May","Jun","Jul","Aug","Sep","Oct","Nov","Dec")</f>
        <v>Oct</v>
      </c>
    </row>
    <row r="341" spans="1:9" x14ac:dyDescent="0.35">
      <c r="A341" s="6">
        <v>2024</v>
      </c>
      <c r="B341" s="7" t="s">
        <v>114</v>
      </c>
      <c r="C341" s="7" t="s">
        <v>6</v>
      </c>
      <c r="D341" s="7" t="s">
        <v>7</v>
      </c>
      <c r="E341" s="7" t="s">
        <v>15</v>
      </c>
      <c r="F341" s="8">
        <v>271070</v>
      </c>
      <c r="G341" s="9">
        <v>20</v>
      </c>
      <c r="H341" s="10" t="s">
        <v>364</v>
      </c>
      <c r="I341" s="5" t="str">
        <f>CHOOSE(MATCH(B341,{"Январь","Февраль","Март","Апрель","Май","Июнь","Июль","Август","Сентябрь","Октябрь","Ноябрь","Декабрь"},0),
"Jan","Feb","Mar","Apr","May","Jun","Jul","Aug","Sep","Oct","Nov","Dec")</f>
        <v>Oct</v>
      </c>
    </row>
    <row r="342" spans="1:9" x14ac:dyDescent="0.35">
      <c r="A342" s="6">
        <v>2024</v>
      </c>
      <c r="B342" s="7" t="s">
        <v>114</v>
      </c>
      <c r="C342" s="7" t="s">
        <v>10</v>
      </c>
      <c r="D342" s="7" t="s">
        <v>3</v>
      </c>
      <c r="E342" s="7" t="s">
        <v>4</v>
      </c>
      <c r="F342" s="8">
        <v>566560</v>
      </c>
      <c r="G342" s="9">
        <v>25</v>
      </c>
      <c r="H342" s="10" t="s">
        <v>365</v>
      </c>
      <c r="I342" s="5" t="str">
        <f>CHOOSE(MATCH(B342,{"Январь","Февраль","Март","Апрель","Май","Июнь","Июль","Август","Сентябрь","Октябрь","Ноябрь","Декабрь"},0),
"Jan","Feb","Mar","Apr","May","Jun","Jul","Aug","Sep","Oct","Nov","Dec")</f>
        <v>Oct</v>
      </c>
    </row>
    <row r="343" spans="1:9" x14ac:dyDescent="0.35">
      <c r="A343" s="6">
        <v>2024</v>
      </c>
      <c r="B343" s="7" t="s">
        <v>114</v>
      </c>
      <c r="C343" s="7" t="s">
        <v>2</v>
      </c>
      <c r="D343" s="7" t="s">
        <v>18</v>
      </c>
      <c r="E343" s="7" t="s">
        <v>4</v>
      </c>
      <c r="F343" s="8">
        <v>695400</v>
      </c>
      <c r="G343" s="9">
        <v>37</v>
      </c>
      <c r="H343" s="10" t="s">
        <v>366</v>
      </c>
      <c r="I343" s="5" t="str">
        <f>CHOOSE(MATCH(B343,{"Январь","Февраль","Март","Апрель","Май","Июнь","Июль","Август","Сентябрь","Октябрь","Ноябрь","Декабрь"},0),
"Jan","Feb","Mar","Apr","May","Jun","Jul","Aug","Sep","Oct","Nov","Dec")</f>
        <v>Oct</v>
      </c>
    </row>
    <row r="344" spans="1:9" x14ac:dyDescent="0.35">
      <c r="A344" s="6">
        <v>2024</v>
      </c>
      <c r="B344" s="7" t="s">
        <v>125</v>
      </c>
      <c r="C344" s="7" t="s">
        <v>2</v>
      </c>
      <c r="D344" s="7" t="s">
        <v>14</v>
      </c>
      <c r="E344" s="7" t="s">
        <v>12</v>
      </c>
      <c r="F344" s="8">
        <v>251620</v>
      </c>
      <c r="G344" s="9">
        <v>19</v>
      </c>
      <c r="H344" s="10" t="s">
        <v>367</v>
      </c>
      <c r="I344" s="5" t="str">
        <f>CHOOSE(MATCH(B344,{"Январь","Февраль","Март","Апрель","Май","Июнь","Июль","Август","Сентябрь","Октябрь","Ноябрь","Декабрь"},0),
"Jan","Feb","Mar","Apr","May","Jun","Jul","Aug","Sep","Oct","Nov","Dec")</f>
        <v>Nov</v>
      </c>
    </row>
    <row r="345" spans="1:9" x14ac:dyDescent="0.35">
      <c r="A345" s="6">
        <v>2024</v>
      </c>
      <c r="B345" s="7" t="s">
        <v>125</v>
      </c>
      <c r="C345" s="7" t="s">
        <v>10</v>
      </c>
      <c r="D345" s="7" t="s">
        <v>3</v>
      </c>
      <c r="E345" s="7" t="s">
        <v>4</v>
      </c>
      <c r="F345" s="8">
        <v>315910</v>
      </c>
      <c r="G345" s="9">
        <v>14</v>
      </c>
      <c r="H345" s="10" t="s">
        <v>368</v>
      </c>
      <c r="I345" s="5" t="str">
        <f>CHOOSE(MATCH(B345,{"Январь","Февраль","Март","Апрель","Май","Июнь","Июль","Август","Сентябрь","Октябрь","Ноябрь","Декабрь"},0),
"Jan","Feb","Mar","Apr","May","Jun","Jul","Aug","Sep","Oct","Nov","Dec")</f>
        <v>Nov</v>
      </c>
    </row>
    <row r="346" spans="1:9" x14ac:dyDescent="0.35">
      <c r="A346" s="6">
        <v>2024</v>
      </c>
      <c r="B346" s="7" t="s">
        <v>125</v>
      </c>
      <c r="C346" s="7" t="s">
        <v>6</v>
      </c>
      <c r="D346" s="7" t="s">
        <v>7</v>
      </c>
      <c r="E346" s="7" t="s">
        <v>15</v>
      </c>
      <c r="F346" s="8">
        <v>464570</v>
      </c>
      <c r="G346" s="9">
        <v>35</v>
      </c>
      <c r="H346" s="10" t="s">
        <v>369</v>
      </c>
      <c r="I346" s="5" t="str">
        <f>CHOOSE(MATCH(B346,{"Январь","Февраль","Март","Апрель","Май","Июнь","Июль","Август","Сентябрь","Октябрь","Ноябрь","Декабрь"},0),
"Jan","Feb","Mar","Apr","May","Jun","Jul","Aug","Sep","Oct","Nov","Dec")</f>
        <v>Nov</v>
      </c>
    </row>
    <row r="347" spans="1:9" x14ac:dyDescent="0.35">
      <c r="A347" s="6">
        <v>2024</v>
      </c>
      <c r="B347" s="7" t="s">
        <v>125</v>
      </c>
      <c r="C347" s="7" t="s">
        <v>17</v>
      </c>
      <c r="D347" s="7" t="s">
        <v>18</v>
      </c>
      <c r="E347" s="7" t="s">
        <v>15</v>
      </c>
      <c r="F347" s="8">
        <v>462410</v>
      </c>
      <c r="G347" s="9">
        <v>31</v>
      </c>
      <c r="H347" s="10" t="s">
        <v>370</v>
      </c>
      <c r="I347" s="5" t="str">
        <f>CHOOSE(MATCH(B347,{"Январь","Февраль","Март","Апрель","Май","Июнь","Июль","Август","Сентябрь","Октябрь","Ноябрь","Декабрь"},0),
"Jan","Feb","Mar","Apr","May","Jun","Jul","Aug","Sep","Oct","Nov","Dec")</f>
        <v>Nov</v>
      </c>
    </row>
    <row r="348" spans="1:9" x14ac:dyDescent="0.35">
      <c r="A348" s="6">
        <v>2024</v>
      </c>
      <c r="B348" s="7" t="s">
        <v>125</v>
      </c>
      <c r="C348" s="7" t="s">
        <v>2</v>
      </c>
      <c r="D348" s="7" t="s">
        <v>14</v>
      </c>
      <c r="E348" s="7" t="s">
        <v>15</v>
      </c>
      <c r="F348" s="8">
        <v>390480</v>
      </c>
      <c r="G348" s="9">
        <v>24</v>
      </c>
      <c r="H348" s="10" t="s">
        <v>371</v>
      </c>
      <c r="I348" s="5" t="str">
        <f>CHOOSE(MATCH(B348,{"Январь","Февраль","Март","Апрель","Май","Июнь","Июль","Август","Сентябрь","Октябрь","Ноябрь","Декабрь"},0),
"Jan","Feb","Mar","Apr","May","Jun","Jul","Aug","Sep","Oct","Nov","Dec")</f>
        <v>Nov</v>
      </c>
    </row>
    <row r="349" spans="1:9" x14ac:dyDescent="0.35">
      <c r="A349" s="6">
        <v>2024</v>
      </c>
      <c r="B349" s="7" t="s">
        <v>125</v>
      </c>
      <c r="C349" s="7" t="s">
        <v>2</v>
      </c>
      <c r="D349" s="7" t="s">
        <v>18</v>
      </c>
      <c r="E349" s="7" t="s">
        <v>8</v>
      </c>
      <c r="F349" s="8">
        <v>621150</v>
      </c>
      <c r="G349" s="9">
        <v>29</v>
      </c>
      <c r="H349" s="10" t="s">
        <v>372</v>
      </c>
      <c r="I349" s="5" t="str">
        <f>CHOOSE(MATCH(B349,{"Январь","Февраль","Март","Апрель","Май","Июнь","Июль","Август","Сентябрь","Октябрь","Ноябрь","Декабрь"},0),
"Jan","Feb","Mar","Apr","May","Jun","Jul","Aug","Sep","Oct","Nov","Dec")</f>
        <v>Nov</v>
      </c>
    </row>
    <row r="350" spans="1:9" x14ac:dyDescent="0.35">
      <c r="A350" s="6">
        <v>2024</v>
      </c>
      <c r="B350" s="7" t="s">
        <v>125</v>
      </c>
      <c r="C350" s="7" t="s">
        <v>22</v>
      </c>
      <c r="D350" s="7" t="s">
        <v>18</v>
      </c>
      <c r="E350" s="7" t="s">
        <v>8</v>
      </c>
      <c r="F350" s="8">
        <v>653010</v>
      </c>
      <c r="G350" s="9">
        <v>38</v>
      </c>
      <c r="H350" s="10" t="s">
        <v>373</v>
      </c>
      <c r="I350" s="5" t="str">
        <f>CHOOSE(MATCH(B350,{"Январь","Февраль","Март","Апрель","Май","Июнь","Июль","Август","Сентябрь","Октябрь","Ноябрь","Декабрь"},0),
"Jan","Feb","Mar","Apr","May","Jun","Jul","Aug","Sep","Oct","Nov","Dec")</f>
        <v>Nov</v>
      </c>
    </row>
    <row r="351" spans="1:9" x14ac:dyDescent="0.35">
      <c r="A351" s="6">
        <v>2024</v>
      </c>
      <c r="B351" s="7" t="s">
        <v>125</v>
      </c>
      <c r="C351" s="7" t="s">
        <v>10</v>
      </c>
      <c r="D351" s="7" t="s">
        <v>18</v>
      </c>
      <c r="E351" s="7" t="s">
        <v>4</v>
      </c>
      <c r="F351" s="8">
        <v>872690</v>
      </c>
      <c r="G351" s="9">
        <v>40</v>
      </c>
      <c r="H351" s="10" t="s">
        <v>374</v>
      </c>
      <c r="I351" s="5" t="str">
        <f>CHOOSE(MATCH(B351,{"Январь","Февраль","Март","Апрель","Май","Июнь","Июль","Август","Сентябрь","Октябрь","Ноябрь","Декабрь"},0),
"Jan","Feb","Mar","Apr","May","Jun","Jul","Aug","Sep","Oct","Nov","Dec")</f>
        <v>Nov</v>
      </c>
    </row>
    <row r="352" spans="1:9" x14ac:dyDescent="0.35">
      <c r="A352" s="6">
        <v>2024</v>
      </c>
      <c r="B352" s="7" t="s">
        <v>125</v>
      </c>
      <c r="C352" s="7" t="s">
        <v>2</v>
      </c>
      <c r="D352" s="7" t="s">
        <v>14</v>
      </c>
      <c r="E352" s="7" t="s">
        <v>8</v>
      </c>
      <c r="F352" s="8">
        <v>361480</v>
      </c>
      <c r="G352" s="9">
        <v>17</v>
      </c>
      <c r="H352" s="10" t="s">
        <v>375</v>
      </c>
      <c r="I352" s="5" t="str">
        <f>CHOOSE(MATCH(B352,{"Январь","Февраль","Март","Апрель","Май","Июнь","Июль","Август","Сентябрь","Октябрь","Ноябрь","Декабрь"},0),
"Jan","Feb","Mar","Apr","May","Jun","Jul","Aug","Sep","Oct","Nov","Dec")</f>
        <v>Nov</v>
      </c>
    </row>
    <row r="353" spans="1:9" x14ac:dyDescent="0.35">
      <c r="A353" s="6">
        <v>2024</v>
      </c>
      <c r="B353" s="7" t="s">
        <v>125</v>
      </c>
      <c r="C353" s="7" t="s">
        <v>10</v>
      </c>
      <c r="D353" s="7" t="s">
        <v>3</v>
      </c>
      <c r="E353" s="7" t="s">
        <v>8</v>
      </c>
      <c r="F353" s="8">
        <v>908460</v>
      </c>
      <c r="G353" s="9">
        <v>35</v>
      </c>
      <c r="H353" s="10" t="s">
        <v>376</v>
      </c>
      <c r="I353" s="5" t="str">
        <f>CHOOSE(MATCH(B353,{"Январь","Февраль","Март","Апрель","Май","Июнь","Июль","Август","Сентябрь","Октябрь","Ноябрь","Декабрь"},0),
"Jan","Feb","Mar","Apr","May","Jun","Jul","Aug","Sep","Oct","Nov","Dec")</f>
        <v>Nov</v>
      </c>
    </row>
    <row r="354" spans="1:9" x14ac:dyDescent="0.35">
      <c r="A354" s="6">
        <v>2024</v>
      </c>
      <c r="B354" s="7" t="s">
        <v>136</v>
      </c>
      <c r="C354" s="7" t="s">
        <v>6</v>
      </c>
      <c r="D354" s="7" t="s">
        <v>14</v>
      </c>
      <c r="E354" s="7" t="s">
        <v>12</v>
      </c>
      <c r="F354" s="8">
        <v>165860</v>
      </c>
      <c r="G354" s="9">
        <v>13</v>
      </c>
      <c r="H354" s="10" t="s">
        <v>377</v>
      </c>
      <c r="I354" s="5" t="str">
        <f>CHOOSE(MATCH(B354,{"Январь","Февраль","Март","Апрель","Май","Июнь","Июль","Август","Сентябрь","Октябрь","Ноябрь","Декабрь"},0),
"Jan","Feb","Mar","Apr","May","Jun","Jul","Aug","Sep","Oct","Nov","Dec")</f>
        <v>Dec</v>
      </c>
    </row>
    <row r="355" spans="1:9" x14ac:dyDescent="0.35">
      <c r="A355" s="6">
        <v>2024</v>
      </c>
      <c r="B355" s="7" t="s">
        <v>136</v>
      </c>
      <c r="C355" s="7" t="s">
        <v>10</v>
      </c>
      <c r="D355" s="7" t="s">
        <v>3</v>
      </c>
      <c r="E355" s="7" t="s">
        <v>4</v>
      </c>
      <c r="F355" s="8">
        <v>525620</v>
      </c>
      <c r="G355" s="9">
        <v>23</v>
      </c>
      <c r="H355" s="10" t="s">
        <v>378</v>
      </c>
      <c r="I355" s="5" t="str">
        <f>CHOOSE(MATCH(B355,{"Январь","Февраль","Март","Апрель","Май","Июнь","Июль","Август","Сентябрь","Октябрь","Ноябрь","Декабрь"},0),
"Jan","Feb","Mar","Apr","May","Jun","Jul","Aug","Sep","Oct","Nov","Dec")</f>
        <v>Dec</v>
      </c>
    </row>
    <row r="356" spans="1:9" x14ac:dyDescent="0.35">
      <c r="A356" s="6">
        <v>2024</v>
      </c>
      <c r="B356" s="7" t="s">
        <v>136</v>
      </c>
      <c r="C356" s="7" t="s">
        <v>10</v>
      </c>
      <c r="D356" s="7" t="s">
        <v>11</v>
      </c>
      <c r="E356" s="7" t="s">
        <v>8</v>
      </c>
      <c r="F356" s="8">
        <v>414080</v>
      </c>
      <c r="G356" s="9">
        <v>16</v>
      </c>
      <c r="H356" s="10" t="s">
        <v>379</v>
      </c>
      <c r="I356" s="5" t="str">
        <f>CHOOSE(MATCH(B356,{"Январь","Февраль","Март","Апрель","Май","Июнь","Июль","Август","Сентябрь","Октябрь","Ноябрь","Декабрь"},0),
"Jan","Feb","Mar","Apr","May","Jun","Jul","Aug","Sep","Oct","Nov","Dec")</f>
        <v>Dec</v>
      </c>
    </row>
    <row r="357" spans="1:9" x14ac:dyDescent="0.35">
      <c r="A357" s="6">
        <v>2024</v>
      </c>
      <c r="B357" s="7" t="s">
        <v>136</v>
      </c>
      <c r="C357" s="7" t="s">
        <v>2</v>
      </c>
      <c r="D357" s="7" t="s">
        <v>11</v>
      </c>
      <c r="E357" s="7" t="s">
        <v>15</v>
      </c>
      <c r="F357" s="8">
        <v>662060</v>
      </c>
      <c r="G357" s="9">
        <v>40</v>
      </c>
      <c r="H357" s="10" t="s">
        <v>380</v>
      </c>
      <c r="I357" s="5" t="str">
        <f>CHOOSE(MATCH(B357,{"Январь","Февраль","Март","Апрель","Май","Июнь","Июль","Август","Сентябрь","Октябрь","Ноябрь","Декабрь"},0),
"Jan","Feb","Mar","Apr","May","Jun","Jul","Aug","Sep","Oct","Nov","Dec")</f>
        <v>Dec</v>
      </c>
    </row>
    <row r="358" spans="1:9" x14ac:dyDescent="0.35">
      <c r="A358" s="6">
        <v>2024</v>
      </c>
      <c r="B358" s="7" t="s">
        <v>136</v>
      </c>
      <c r="C358" s="7" t="s">
        <v>17</v>
      </c>
      <c r="D358" s="7" t="s">
        <v>11</v>
      </c>
      <c r="E358" s="7" t="s">
        <v>4</v>
      </c>
      <c r="F358" s="8">
        <v>570540</v>
      </c>
      <c r="G358" s="9">
        <v>32</v>
      </c>
      <c r="H358" s="10" t="s">
        <v>381</v>
      </c>
      <c r="I358" s="5" t="str">
        <f>CHOOSE(MATCH(B358,{"Январь","Февраль","Март","Апрель","Май","Июнь","Июль","Август","Сентябрь","Октябрь","Ноябрь","Декабрь"},0),
"Jan","Feb","Mar","Apr","May","Jun","Jul","Aug","Sep","Oct","Nov","Dec")</f>
        <v>Dec</v>
      </c>
    </row>
    <row r="359" spans="1:9" x14ac:dyDescent="0.35">
      <c r="A359" s="6">
        <v>2024</v>
      </c>
      <c r="B359" s="7" t="s">
        <v>136</v>
      </c>
      <c r="C359" s="7" t="s">
        <v>10</v>
      </c>
      <c r="D359" s="7" t="s">
        <v>18</v>
      </c>
      <c r="E359" s="7" t="s">
        <v>4</v>
      </c>
      <c r="F359" s="8">
        <v>710790</v>
      </c>
      <c r="G359" s="9">
        <v>33</v>
      </c>
      <c r="H359" s="10" t="s">
        <v>382</v>
      </c>
      <c r="I359" s="5" t="str">
        <f>CHOOSE(MATCH(B359,{"Январь","Февраль","Март","Апрель","Май","Июнь","Июль","Август","Сентябрь","Октябрь","Ноябрь","Декабрь"},0),
"Jan","Feb","Mar","Apr","May","Jun","Jul","Aug","Sep","Oct","Nov","Dec")</f>
        <v>Dec</v>
      </c>
    </row>
    <row r="360" spans="1:9" x14ac:dyDescent="0.35">
      <c r="A360" s="6">
        <v>2024</v>
      </c>
      <c r="B360" s="7" t="s">
        <v>136</v>
      </c>
      <c r="C360" s="7" t="s">
        <v>10</v>
      </c>
      <c r="D360" s="7" t="s">
        <v>7</v>
      </c>
      <c r="E360" s="7" t="s">
        <v>12</v>
      </c>
      <c r="F360" s="8">
        <v>632410</v>
      </c>
      <c r="G360" s="9">
        <v>40</v>
      </c>
      <c r="H360" s="10" t="s">
        <v>383</v>
      </c>
      <c r="I360" s="5" t="str">
        <f>CHOOSE(MATCH(B360,{"Январь","Февраль","Март","Апрель","Май","Июнь","Июль","Август","Сентябрь","Октябрь","Ноябрь","Декабрь"},0),
"Jan","Feb","Mar","Apr","May","Jun","Jul","Aug","Sep","Oct","Nov","Dec")</f>
        <v>Dec</v>
      </c>
    </row>
    <row r="361" spans="1:9" x14ac:dyDescent="0.35">
      <c r="A361" s="6">
        <v>2024</v>
      </c>
      <c r="B361" s="7" t="s">
        <v>136</v>
      </c>
      <c r="C361" s="7" t="s">
        <v>6</v>
      </c>
      <c r="D361" s="7" t="s">
        <v>7</v>
      </c>
      <c r="E361" s="7" t="s">
        <v>8</v>
      </c>
      <c r="F361" s="8">
        <v>360510</v>
      </c>
      <c r="G361" s="9">
        <v>19</v>
      </c>
      <c r="H361" s="10" t="s">
        <v>384</v>
      </c>
      <c r="I361" s="5" t="str">
        <f>CHOOSE(MATCH(B361,{"Январь","Февраль","Март","Апрель","Май","Июнь","Июль","Август","Сентябрь","Октябрь","Ноябрь","Декабрь"},0),
"Jan","Feb","Mar","Apr","May","Jun","Jul","Aug","Sep","Oct","Nov","Dec")</f>
        <v>Dec</v>
      </c>
    </row>
    <row r="362" spans="1:9" x14ac:dyDescent="0.35">
      <c r="A362" s="6">
        <v>2024</v>
      </c>
      <c r="B362" s="7" t="s">
        <v>136</v>
      </c>
      <c r="C362" s="7" t="s">
        <v>10</v>
      </c>
      <c r="D362" s="7" t="s">
        <v>18</v>
      </c>
      <c r="E362" s="7" t="s">
        <v>4</v>
      </c>
      <c r="F362" s="8">
        <v>738790</v>
      </c>
      <c r="G362" s="9">
        <v>34</v>
      </c>
      <c r="H362" s="10" t="s">
        <v>385</v>
      </c>
      <c r="I362" s="5" t="str">
        <f>CHOOSE(MATCH(B362,{"Январь","Февраль","Март","Апрель","Май","Июнь","Июль","Август","Сентябрь","Октябрь","Ноябрь","Декабрь"},0),
"Jan","Feb","Mar","Apr","May","Jun","Jul","Aug","Sep","Oct","Nov","Dec")</f>
        <v>Dec</v>
      </c>
    </row>
    <row r="363" spans="1:9" x14ac:dyDescent="0.35">
      <c r="A363" s="6">
        <v>2024</v>
      </c>
      <c r="B363" s="7" t="s">
        <v>136</v>
      </c>
      <c r="C363" s="7" t="s">
        <v>10</v>
      </c>
      <c r="D363" s="7" t="s">
        <v>11</v>
      </c>
      <c r="E363" s="7" t="s">
        <v>15</v>
      </c>
      <c r="F363" s="8">
        <v>485730</v>
      </c>
      <c r="G363" s="9">
        <v>26</v>
      </c>
      <c r="H363" s="10" t="s">
        <v>386</v>
      </c>
      <c r="I363" s="5" t="str">
        <f>CHOOSE(MATCH(B363,{"Январь","Февраль","Март","Апрель","Май","Июнь","Июль","Август","Сентябрь","Октябрь","Ноябрь","Декабрь"},0),
"Jan","Feb","Mar","Apr","May","Jun","Jul","Aug","Sep","Oct","Nov","Dec")</f>
        <v>Dec</v>
      </c>
    </row>
  </sheetData>
  <mergeCells count="7">
    <mergeCell ref="K7:O7"/>
    <mergeCell ref="K2:O2"/>
    <mergeCell ref="A1:H1"/>
    <mergeCell ref="K3:O3"/>
    <mergeCell ref="K4:O4"/>
    <mergeCell ref="K5:O5"/>
    <mergeCell ref="K6:O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93308-5CE9-D540-B54E-DEE15A5C1845}">
  <dimension ref="A1:CH363"/>
  <sheetViews>
    <sheetView showGridLines="0" workbookViewId="0">
      <selection activeCell="I3" sqref="I3:I4"/>
    </sheetView>
  </sheetViews>
  <sheetFormatPr defaultColWidth="10.83203125" defaultRowHeight="15.5" x14ac:dyDescent="0.35"/>
  <cols>
    <col min="1" max="1" width="13.83203125" style="5" customWidth="1"/>
    <col min="2" max="2" width="12.6640625" style="5" customWidth="1"/>
    <col min="3" max="3" width="15.83203125" style="5" customWidth="1"/>
    <col min="4" max="4" width="14.5" style="5" customWidth="1"/>
    <col min="5" max="5" width="10.83203125" style="5"/>
    <col min="6" max="6" width="18" style="5" customWidth="1"/>
    <col min="7" max="7" width="10.83203125" style="5"/>
    <col min="8" max="9" width="14.6640625" style="5" customWidth="1"/>
    <col min="10" max="10" width="10.83203125" style="5"/>
    <col min="11" max="11" width="17.4140625" style="5" bestFit="1" customWidth="1"/>
    <col min="12" max="12" width="15.33203125" style="5" bestFit="1" customWidth="1"/>
    <col min="13" max="13" width="17.1640625" style="5" bestFit="1" customWidth="1"/>
    <col min="14" max="14" width="11.9140625" style="5" bestFit="1" customWidth="1"/>
    <col min="15" max="15" width="22.58203125" style="5" bestFit="1" customWidth="1"/>
    <col min="16" max="16" width="14.25" style="5" bestFit="1" customWidth="1"/>
    <col min="17" max="17" width="17.1640625" style="5" bestFit="1" customWidth="1"/>
    <col min="18" max="18" width="11.9140625" style="5" bestFit="1" customWidth="1"/>
    <col min="19" max="19" width="22.58203125" style="5" bestFit="1" customWidth="1"/>
    <col min="20" max="20" width="14.25" style="5" bestFit="1" customWidth="1"/>
    <col min="21" max="21" width="17.1640625" style="5" bestFit="1" customWidth="1"/>
    <col min="22" max="22" width="11.9140625" style="5" bestFit="1" customWidth="1"/>
    <col min="23" max="23" width="22.58203125" style="5" bestFit="1" customWidth="1"/>
    <col min="24" max="24" width="14.25" style="5" bestFit="1" customWidth="1"/>
    <col min="25" max="25" width="17.1640625" style="5" bestFit="1" customWidth="1"/>
    <col min="26" max="26" width="11.9140625" style="5" bestFit="1" customWidth="1"/>
    <col min="27" max="27" width="22.58203125" style="5" bestFit="1" customWidth="1"/>
    <col min="28" max="28" width="14.25" style="5" bestFit="1" customWidth="1"/>
    <col min="29" max="29" width="17.1640625" style="5" bestFit="1" customWidth="1"/>
    <col min="30" max="30" width="11.9140625" style="5" bestFit="1" customWidth="1"/>
    <col min="31" max="31" width="22.58203125" style="5" bestFit="1" customWidth="1"/>
    <col min="32" max="32" width="14.25" style="5" bestFit="1" customWidth="1"/>
    <col min="33" max="33" width="17.1640625" style="5" bestFit="1" customWidth="1"/>
    <col min="34" max="34" width="11.9140625" style="5" bestFit="1" customWidth="1"/>
    <col min="35" max="35" width="22.58203125" style="5" bestFit="1" customWidth="1"/>
    <col min="36" max="36" width="14.25" style="5" bestFit="1" customWidth="1"/>
    <col min="37" max="37" width="17.1640625" style="5" bestFit="1" customWidth="1"/>
    <col min="38" max="38" width="11.9140625" style="5" bestFit="1" customWidth="1"/>
    <col min="39" max="39" width="22.58203125" style="5" bestFit="1" customWidth="1"/>
    <col min="40" max="40" width="14.25" style="5" bestFit="1" customWidth="1"/>
    <col min="41" max="41" width="17.1640625" style="5" bestFit="1" customWidth="1"/>
    <col min="42" max="42" width="11.9140625" style="5" bestFit="1" customWidth="1"/>
    <col min="43" max="43" width="22.58203125" style="5" bestFit="1" customWidth="1"/>
    <col min="44" max="44" width="14.25" style="5" bestFit="1" customWidth="1"/>
    <col min="45" max="45" width="17.1640625" style="5" bestFit="1" customWidth="1"/>
    <col min="46" max="46" width="11.9140625" style="5" bestFit="1" customWidth="1"/>
    <col min="47" max="47" width="22.58203125" style="5" bestFit="1" customWidth="1"/>
    <col min="48" max="48" width="14.25" style="5" bestFit="1" customWidth="1"/>
    <col min="49" max="49" width="17.1640625" style="5" bestFit="1" customWidth="1"/>
    <col min="50" max="50" width="11.9140625" style="5" bestFit="1" customWidth="1"/>
    <col min="51" max="51" width="22.58203125" style="5" bestFit="1" customWidth="1"/>
    <col min="52" max="52" width="14.25" style="5" bestFit="1" customWidth="1"/>
    <col min="53" max="53" width="17.1640625" style="5" bestFit="1" customWidth="1"/>
    <col min="54" max="54" width="11.9140625" style="5" bestFit="1" customWidth="1"/>
    <col min="55" max="55" width="22.58203125" style="5" bestFit="1" customWidth="1"/>
    <col min="56" max="56" width="14.25" style="5" bestFit="1" customWidth="1"/>
    <col min="57" max="57" width="17.1640625" style="5" bestFit="1" customWidth="1"/>
    <col min="58" max="58" width="11.9140625" style="5" bestFit="1" customWidth="1"/>
    <col min="59" max="59" width="22.58203125" style="5" bestFit="1" customWidth="1"/>
    <col min="60" max="60" width="18.83203125" style="5" bestFit="1" customWidth="1"/>
    <col min="61" max="61" width="21.75" style="5" bestFit="1" customWidth="1"/>
    <col min="62" max="62" width="16.5" style="5" bestFit="1" customWidth="1"/>
    <col min="63" max="63" width="27.1640625" style="5" bestFit="1" customWidth="1"/>
    <col min="64" max="64" width="20.6640625" style="5" bestFit="1" customWidth="1"/>
    <col min="65" max="65" width="15.5" style="5" bestFit="1" customWidth="1"/>
    <col min="66" max="66" width="14.25" style="5" bestFit="1" customWidth="1"/>
    <col min="67" max="67" width="17.1640625" style="5" bestFit="1" customWidth="1"/>
    <col min="68" max="68" width="11.9140625" style="5" bestFit="1" customWidth="1"/>
    <col min="69" max="69" width="17.6640625" style="5" bestFit="1" customWidth="1"/>
    <col min="70" max="70" width="20.5" style="5" bestFit="1" customWidth="1"/>
    <col min="71" max="71" width="15.33203125" style="5" bestFit="1" customWidth="1"/>
    <col min="72" max="72" width="14.25" style="5" bestFit="1" customWidth="1"/>
    <col min="73" max="73" width="17.1640625" style="5" bestFit="1" customWidth="1"/>
    <col min="74" max="74" width="11.9140625" style="5" bestFit="1" customWidth="1"/>
    <col min="75" max="75" width="17.9140625" style="5" bestFit="1" customWidth="1"/>
    <col min="76" max="76" width="20.75" style="5" bestFit="1" customWidth="1"/>
    <col min="77" max="77" width="15.58203125" style="5" bestFit="1" customWidth="1"/>
    <col min="78" max="78" width="14.25" style="5" bestFit="1" customWidth="1"/>
    <col min="79" max="79" width="17.1640625" style="5" bestFit="1" customWidth="1"/>
    <col min="80" max="80" width="11.9140625" style="5" bestFit="1" customWidth="1"/>
    <col min="81" max="81" width="17.9140625" style="5" bestFit="1" customWidth="1"/>
    <col min="82" max="82" width="20.75" style="5" bestFit="1" customWidth="1"/>
    <col min="83" max="83" width="15.58203125" style="5" bestFit="1" customWidth="1"/>
    <col min="84" max="84" width="18.83203125" style="5" bestFit="1" customWidth="1"/>
    <col min="85" max="85" width="21.75" style="5" bestFit="1" customWidth="1"/>
    <col min="86" max="86" width="16.5" style="5" bestFit="1" customWidth="1"/>
    <col min="87" max="16384" width="10.83203125" style="5"/>
  </cols>
  <sheetData>
    <row r="1" spans="1:86" ht="21" x14ac:dyDescent="0.5">
      <c r="A1" s="11" t="s">
        <v>0</v>
      </c>
      <c r="B1" s="12"/>
      <c r="C1" s="12"/>
      <c r="D1" s="12"/>
      <c r="E1" s="12"/>
      <c r="F1" s="12"/>
      <c r="G1" s="12"/>
      <c r="H1" s="12"/>
      <c r="I1" s="4"/>
    </row>
    <row r="3" spans="1:86" ht="16" thickBot="1" x14ac:dyDescent="0.4">
      <c r="A3" s="1" t="s">
        <v>387</v>
      </c>
      <c r="B3" s="2" t="s">
        <v>388</v>
      </c>
      <c r="C3" s="2" t="s">
        <v>389</v>
      </c>
      <c r="D3" s="2" t="s">
        <v>390</v>
      </c>
      <c r="E3" s="2" t="s">
        <v>391</v>
      </c>
      <c r="F3" s="2" t="s">
        <v>394</v>
      </c>
      <c r="G3" s="2" t="s">
        <v>392</v>
      </c>
      <c r="H3" s="3" t="s">
        <v>393</v>
      </c>
      <c r="I3" s="5" t="s">
        <v>411</v>
      </c>
    </row>
    <row r="4" spans="1:86" x14ac:dyDescent="0.35">
      <c r="A4" s="6">
        <v>2022</v>
      </c>
      <c r="B4" s="7" t="s">
        <v>1</v>
      </c>
      <c r="C4" s="7" t="s">
        <v>2</v>
      </c>
      <c r="D4" s="7" t="s">
        <v>3</v>
      </c>
      <c r="E4" s="7" t="s">
        <v>4</v>
      </c>
      <c r="F4" s="8">
        <v>390600</v>
      </c>
      <c r="G4" s="9">
        <v>20</v>
      </c>
      <c r="H4" s="10" t="s">
        <v>5</v>
      </c>
      <c r="I4" s="5" t="str">
        <f>CHOOSE(MATCH(B4,{"Январь","Февраль","Март","Апрель","Май","Июнь","Июль","Август","Сентябрь","Октябрь","Ноябрь","Декабрь"},0),
"Jan","Feb","Mar","Apr","May","Jun","Jul","Aug","Sep","Oct","Nov","Dec")</f>
        <v>Jan</v>
      </c>
    </row>
    <row r="5" spans="1:86" x14ac:dyDescent="0.35">
      <c r="A5" s="6">
        <v>2022</v>
      </c>
      <c r="B5" s="7" t="s">
        <v>1</v>
      </c>
      <c r="C5" s="7" t="s">
        <v>6</v>
      </c>
      <c r="D5" s="7" t="s">
        <v>7</v>
      </c>
      <c r="E5" s="7" t="s">
        <v>8</v>
      </c>
      <c r="F5" s="8">
        <v>395820</v>
      </c>
      <c r="G5" s="9">
        <v>21</v>
      </c>
      <c r="H5" s="10" t="s">
        <v>9</v>
      </c>
      <c r="I5" s="5" t="str">
        <f>CHOOSE(MATCH(B5,{"Январь","Февраль","Март","Апрель","Май","Июнь","Июль","Август","Сентябрь","Октябрь","Ноябрь","Декабрь"},0),
"Jan","Feb","Mar","Apr","May","Jun","Jul","Aug","Sep","Oct","Nov","Dec")</f>
        <v>Jan</v>
      </c>
    </row>
    <row r="6" spans="1:86" x14ac:dyDescent="0.35">
      <c r="A6" s="6">
        <v>2022</v>
      </c>
      <c r="B6" s="7" t="s">
        <v>1</v>
      </c>
      <c r="C6" s="7" t="s">
        <v>10</v>
      </c>
      <c r="D6" s="7" t="s">
        <v>11</v>
      </c>
      <c r="E6" s="7" t="s">
        <v>12</v>
      </c>
      <c r="F6" s="8">
        <v>331590</v>
      </c>
      <c r="G6" s="9">
        <v>20</v>
      </c>
      <c r="H6" s="10" t="s">
        <v>13</v>
      </c>
      <c r="I6" s="5" t="str">
        <f>CHOOSE(MATCH(B6,{"Январь","Февраль","Март","Апрель","Май","Июнь","Июль","Август","Сентябрь","Октябрь","Ноябрь","Декабрь"},0),
"Jan","Feb","Mar","Apr","May","Jun","Jul","Aug","Sep","Oct","Nov","Dec")</f>
        <v>Jan</v>
      </c>
    </row>
    <row r="7" spans="1:86" x14ac:dyDescent="0.35">
      <c r="A7" s="6">
        <v>2022</v>
      </c>
      <c r="B7" s="7" t="s">
        <v>1</v>
      </c>
      <c r="C7" s="7" t="s">
        <v>6</v>
      </c>
      <c r="D7" s="7" t="s">
        <v>14</v>
      </c>
      <c r="E7" s="7" t="s">
        <v>15</v>
      </c>
      <c r="F7" s="8">
        <v>336460</v>
      </c>
      <c r="G7" s="9">
        <v>23</v>
      </c>
      <c r="H7" s="10" t="s">
        <v>16</v>
      </c>
      <c r="I7" s="5" t="str">
        <f>CHOOSE(MATCH(B7,{"Январь","Февраль","Март","Апрель","Май","Июнь","Июль","Август","Сентябрь","Октябрь","Ноябрь","Декабрь"},0),
"Jan","Feb","Mar","Apr","May","Jun","Jul","Aug","Sep","Oct","Nov","Dec")</f>
        <v>Jan</v>
      </c>
    </row>
    <row r="8" spans="1:86" x14ac:dyDescent="0.35">
      <c r="A8" s="6">
        <v>2022</v>
      </c>
      <c r="B8" s="7" t="s">
        <v>1</v>
      </c>
      <c r="C8" s="7" t="s">
        <v>17</v>
      </c>
      <c r="D8" s="7" t="s">
        <v>18</v>
      </c>
      <c r="E8" s="7" t="s">
        <v>15</v>
      </c>
      <c r="F8" s="8">
        <v>240440</v>
      </c>
      <c r="G8" s="9">
        <v>17</v>
      </c>
      <c r="H8" s="10" t="s">
        <v>19</v>
      </c>
      <c r="I8" s="5" t="str">
        <f>CHOOSE(MATCH(B8,{"Январь","Февраль","Март","Апрель","Май","Июнь","Июль","Август","Сентябрь","Октябрь","Ноябрь","Декабрь"},0),
"Jan","Feb","Mar","Apr","May","Jun","Jul","Aug","Sep","Oct","Nov","Dec")</f>
        <v>Jan</v>
      </c>
    </row>
    <row r="9" spans="1:86" x14ac:dyDescent="0.35">
      <c r="A9" s="6">
        <v>2022</v>
      </c>
      <c r="B9" s="7" t="s">
        <v>1</v>
      </c>
      <c r="C9" s="7" t="s">
        <v>2</v>
      </c>
      <c r="D9" s="7" t="s">
        <v>7</v>
      </c>
      <c r="E9" s="7" t="s">
        <v>15</v>
      </c>
      <c r="F9" s="8">
        <v>176550</v>
      </c>
      <c r="G9" s="9">
        <v>12</v>
      </c>
      <c r="H9" s="10" t="s">
        <v>20</v>
      </c>
      <c r="I9" s="5" t="str">
        <f>CHOOSE(MATCH(B9,{"Январь","Февраль","Март","Апрель","Май","Июнь","Июль","Август","Сентябрь","Октябрь","Ноябрь","Декабрь"},0),
"Jan","Feb","Mar","Apr","May","Jun","Jul","Aug","Sep","Oct","Nov","Dec")</f>
        <v>Jan</v>
      </c>
    </row>
    <row r="10" spans="1:86" x14ac:dyDescent="0.35">
      <c r="A10" s="6">
        <v>2022</v>
      </c>
      <c r="B10" s="7" t="s">
        <v>1</v>
      </c>
      <c r="C10" s="7" t="s">
        <v>6</v>
      </c>
      <c r="D10" s="7" t="s">
        <v>18</v>
      </c>
      <c r="E10" s="7" t="s">
        <v>8</v>
      </c>
      <c r="F10" s="8">
        <v>455210</v>
      </c>
      <c r="G10" s="9">
        <v>24</v>
      </c>
      <c r="H10" s="10" t="s">
        <v>21</v>
      </c>
      <c r="I10" s="5" t="str">
        <f>CHOOSE(MATCH(B10,{"Январь","Февраль","Март","Апрель","Май","Июнь","Июль","Август","Сентябрь","Октябрь","Ноябрь","Декабрь"},0),
"Jan","Feb","Mar","Apr","May","Jun","Jul","Aug","Sep","Oct","Nov","Dec")</f>
        <v>Jan</v>
      </c>
    </row>
    <row r="11" spans="1:86" x14ac:dyDescent="0.35">
      <c r="A11" s="6">
        <v>2022</v>
      </c>
      <c r="B11" s="7" t="s">
        <v>1</v>
      </c>
      <c r="C11" s="7" t="s">
        <v>22</v>
      </c>
      <c r="D11" s="7" t="s">
        <v>7</v>
      </c>
      <c r="E11" s="7" t="s">
        <v>12</v>
      </c>
      <c r="F11" s="8">
        <v>337780</v>
      </c>
      <c r="G11" s="9">
        <v>30</v>
      </c>
      <c r="H11" s="10" t="s">
        <v>23</v>
      </c>
      <c r="I11" s="5" t="str">
        <f>CHOOSE(MATCH(B11,{"Январь","Февраль","Март","Апрель","Май","Июнь","Июль","Август","Сентябрь","Октябрь","Ноябрь","Декабрь"},0),
"Jan","Feb","Mar","Apr","May","Jun","Jul","Aug","Sep","Oct","Nov","Dec")</f>
        <v>Jan</v>
      </c>
    </row>
    <row r="12" spans="1:86" x14ac:dyDescent="0.35">
      <c r="A12" s="6">
        <v>2022</v>
      </c>
      <c r="B12" s="7" t="s">
        <v>1</v>
      </c>
      <c r="C12" s="7" t="s">
        <v>17</v>
      </c>
      <c r="D12" s="7" t="s">
        <v>7</v>
      </c>
      <c r="E12" s="7" t="s">
        <v>8</v>
      </c>
      <c r="F12" s="8">
        <v>558560</v>
      </c>
      <c r="G12" s="9">
        <v>28</v>
      </c>
      <c r="H12" s="10" t="s">
        <v>24</v>
      </c>
      <c r="I12" s="5" t="str">
        <f>CHOOSE(MATCH(B12,{"Январь","Февраль","Март","Апрель","Май","Июнь","Июль","Август","Сентябрь","Октябрь","Ноябрь","Декабрь"},0),
"Jan","Feb","Mar","Apr","May","Jun","Jul","Aug","Sep","Oct","Nov","Dec")</f>
        <v>Jan</v>
      </c>
    </row>
    <row r="13" spans="1:86" x14ac:dyDescent="0.35">
      <c r="A13" s="6">
        <v>2022</v>
      </c>
      <c r="B13" s="7" t="s">
        <v>1</v>
      </c>
      <c r="C13" s="7" t="s">
        <v>6</v>
      </c>
      <c r="D13" s="7" t="s">
        <v>11</v>
      </c>
      <c r="E13" s="7" t="s">
        <v>4</v>
      </c>
      <c r="F13" s="8">
        <v>448630</v>
      </c>
      <c r="G13" s="9">
        <v>27</v>
      </c>
      <c r="H13" s="10" t="s">
        <v>25</v>
      </c>
      <c r="I13" s="5" t="str">
        <f>CHOOSE(MATCH(B13,{"Январь","Февраль","Март","Апрель","Май","Июнь","Июль","Август","Сентябрь","Октябрь","Ноябрь","Декабрь"},0),
"Jan","Feb","Mar","Apr","May","Jun","Jul","Aug","Sep","Oct","Nov","Dec")</f>
        <v>Jan</v>
      </c>
    </row>
    <row r="14" spans="1:86" ht="16" x14ac:dyDescent="0.4">
      <c r="A14" s="6">
        <v>2022</v>
      </c>
      <c r="B14" s="7" t="s">
        <v>26</v>
      </c>
      <c r="C14" s="7" t="s">
        <v>22</v>
      </c>
      <c r="D14" s="7" t="s">
        <v>14</v>
      </c>
      <c r="E14" s="7" t="s">
        <v>12</v>
      </c>
      <c r="F14" s="8">
        <v>158720</v>
      </c>
      <c r="G14" s="9">
        <v>15</v>
      </c>
      <c r="H14" s="10" t="s">
        <v>27</v>
      </c>
      <c r="I14" s="5" t="str">
        <f>CHOOSE(MATCH(B14,{"Январь","Февраль","Март","Апрель","Май","Июнь","Июль","Август","Сентябрь","Октябрь","Ноябрь","Декабрь"},0),
"Jan","Feb","Mar","Apr","May","Jun","Jul","Aug","Sep","Oct","Nov","Dec")</f>
        <v>Feb</v>
      </c>
      <c r="K14"/>
      <c r="L14" s="19" t="s">
        <v>403</v>
      </c>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row>
    <row r="15" spans="1:86" ht="16" x14ac:dyDescent="0.4">
      <c r="A15" s="6">
        <v>2022</v>
      </c>
      <c r="B15" s="7" t="s">
        <v>26</v>
      </c>
      <c r="C15" s="7" t="s">
        <v>6</v>
      </c>
      <c r="D15" s="7" t="s">
        <v>14</v>
      </c>
      <c r="E15" s="7" t="s">
        <v>12</v>
      </c>
      <c r="F15" s="8">
        <v>138060</v>
      </c>
      <c r="G15" s="9">
        <v>12</v>
      </c>
      <c r="H15" s="10" t="s">
        <v>28</v>
      </c>
      <c r="I15" s="5" t="str">
        <f>CHOOSE(MATCH(B15,{"Январь","Февраль","Март","Апрель","Май","Июнь","Июль","Август","Сентябрь","Октябрь","Ноябрь","Декабрь"},0),
"Jan","Feb","Mar","Apr","May","Jun","Jul","Aug","Sep","Oct","Nov","Dec")</f>
        <v>Feb</v>
      </c>
      <c r="K15"/>
      <c r="L15" t="s">
        <v>412</v>
      </c>
      <c r="M15"/>
      <c r="N15"/>
      <c r="O15"/>
      <c r="P15" t="s">
        <v>413</v>
      </c>
      <c r="Q15"/>
      <c r="R15"/>
      <c r="S15"/>
      <c r="T15" t="s">
        <v>414</v>
      </c>
      <c r="U15"/>
      <c r="V15"/>
      <c r="W15"/>
      <c r="X15" t="s">
        <v>415</v>
      </c>
      <c r="Y15"/>
      <c r="Z15"/>
      <c r="AA15"/>
      <c r="AB15" t="s">
        <v>416</v>
      </c>
      <c r="AC15"/>
      <c r="AD15"/>
      <c r="AE15"/>
      <c r="AF15" t="s">
        <v>417</v>
      </c>
      <c r="AG15"/>
      <c r="AH15"/>
      <c r="AI15"/>
      <c r="AJ15" t="s">
        <v>418</v>
      </c>
      <c r="AK15"/>
      <c r="AL15"/>
      <c r="AM15"/>
      <c r="AN15" t="s">
        <v>419</v>
      </c>
      <c r="AO15"/>
      <c r="AP15"/>
      <c r="AQ15"/>
      <c r="AR15" t="s">
        <v>420</v>
      </c>
      <c r="AS15"/>
      <c r="AT15"/>
      <c r="AU15"/>
      <c r="AV15" t="s">
        <v>421</v>
      </c>
      <c r="AW15"/>
      <c r="AX15"/>
      <c r="AY15"/>
      <c r="AZ15" t="s">
        <v>422</v>
      </c>
      <c r="BA15"/>
      <c r="BB15"/>
      <c r="BC15"/>
      <c r="BD15" t="s">
        <v>423</v>
      </c>
      <c r="BE15"/>
      <c r="BF15"/>
      <c r="BG15"/>
      <c r="BH15" t="s">
        <v>406</v>
      </c>
      <c r="BI15" t="s">
        <v>407</v>
      </c>
      <c r="BJ15" t="s">
        <v>409</v>
      </c>
      <c r="BK15" t="s">
        <v>424</v>
      </c>
      <c r="BL15"/>
      <c r="BM15"/>
      <c r="BN15"/>
      <c r="BO15"/>
      <c r="BP15"/>
      <c r="BQ15"/>
      <c r="BR15"/>
      <c r="BS15"/>
      <c r="BT15"/>
      <c r="BU15"/>
      <c r="BV15"/>
      <c r="BW15"/>
      <c r="BX15"/>
      <c r="BY15"/>
      <c r="BZ15"/>
      <c r="CA15"/>
      <c r="CB15"/>
      <c r="CC15"/>
      <c r="CD15"/>
      <c r="CE15"/>
      <c r="CF15"/>
      <c r="CG15"/>
      <c r="CH15"/>
    </row>
    <row r="16" spans="1:86" ht="16" x14ac:dyDescent="0.4">
      <c r="A16" s="6">
        <v>2022</v>
      </c>
      <c r="B16" s="7" t="s">
        <v>26</v>
      </c>
      <c r="C16" s="7" t="s">
        <v>10</v>
      </c>
      <c r="D16" s="7" t="s">
        <v>7</v>
      </c>
      <c r="E16" s="7" t="s">
        <v>12</v>
      </c>
      <c r="F16" s="8">
        <v>414410</v>
      </c>
      <c r="G16" s="9">
        <v>25</v>
      </c>
      <c r="H16" s="10" t="s">
        <v>29</v>
      </c>
      <c r="I16" s="5" t="str">
        <f>CHOOSE(MATCH(B16,{"Январь","Февраль","Март","Апрель","Май","Июнь","Июль","Август","Сентябрь","Октябрь","Ноябрь","Декабрь"},0),
"Jan","Feb","Mar","Apr","May","Jun","Jul","Aug","Sep","Oct","Nov","Dec")</f>
        <v>Feb</v>
      </c>
      <c r="K16" s="19" t="s">
        <v>401</v>
      </c>
      <c r="L16" t="s">
        <v>405</v>
      </c>
      <c r="M16" t="s">
        <v>408</v>
      </c>
      <c r="N16" t="s">
        <v>410</v>
      </c>
      <c r="O16" t="s">
        <v>425</v>
      </c>
      <c r="P16" t="s">
        <v>405</v>
      </c>
      <c r="Q16" t="s">
        <v>408</v>
      </c>
      <c r="R16" t="s">
        <v>410</v>
      </c>
      <c r="S16" t="s">
        <v>425</v>
      </c>
      <c r="T16" t="s">
        <v>405</v>
      </c>
      <c r="U16" t="s">
        <v>408</v>
      </c>
      <c r="V16" t="s">
        <v>410</v>
      </c>
      <c r="W16" t="s">
        <v>425</v>
      </c>
      <c r="X16" t="s">
        <v>405</v>
      </c>
      <c r="Y16" t="s">
        <v>408</v>
      </c>
      <c r="Z16" t="s">
        <v>410</v>
      </c>
      <c r="AA16" t="s">
        <v>425</v>
      </c>
      <c r="AB16" t="s">
        <v>405</v>
      </c>
      <c r="AC16" t="s">
        <v>408</v>
      </c>
      <c r="AD16" t="s">
        <v>410</v>
      </c>
      <c r="AE16" t="s">
        <v>425</v>
      </c>
      <c r="AF16" t="s">
        <v>405</v>
      </c>
      <c r="AG16" t="s">
        <v>408</v>
      </c>
      <c r="AH16" t="s">
        <v>410</v>
      </c>
      <c r="AI16" t="s">
        <v>425</v>
      </c>
      <c r="AJ16" t="s">
        <v>405</v>
      </c>
      <c r="AK16" t="s">
        <v>408</v>
      </c>
      <c r="AL16" t="s">
        <v>410</v>
      </c>
      <c r="AM16" t="s">
        <v>425</v>
      </c>
      <c r="AN16" t="s">
        <v>405</v>
      </c>
      <c r="AO16" t="s">
        <v>408</v>
      </c>
      <c r="AP16" t="s">
        <v>410</v>
      </c>
      <c r="AQ16" t="s">
        <v>425</v>
      </c>
      <c r="AR16" t="s">
        <v>405</v>
      </c>
      <c r="AS16" t="s">
        <v>408</v>
      </c>
      <c r="AT16" t="s">
        <v>410</v>
      </c>
      <c r="AU16" t="s">
        <v>425</v>
      </c>
      <c r="AV16" t="s">
        <v>405</v>
      </c>
      <c r="AW16" t="s">
        <v>408</v>
      </c>
      <c r="AX16" t="s">
        <v>410</v>
      </c>
      <c r="AY16" t="s">
        <v>425</v>
      </c>
      <c r="AZ16" t="s">
        <v>405</v>
      </c>
      <c r="BA16" t="s">
        <v>408</v>
      </c>
      <c r="BB16" t="s">
        <v>410</v>
      </c>
      <c r="BC16" t="s">
        <v>425</v>
      </c>
      <c r="BD16" t="s">
        <v>405</v>
      </c>
      <c r="BE16" t="s">
        <v>408</v>
      </c>
      <c r="BF16" t="s">
        <v>410</v>
      </c>
      <c r="BG16" t="s">
        <v>425</v>
      </c>
      <c r="BH16"/>
      <c r="BI16"/>
      <c r="BJ16"/>
      <c r="BK16"/>
      <c r="BL16"/>
      <c r="BM16"/>
      <c r="BN16"/>
      <c r="BO16"/>
      <c r="BP16"/>
      <c r="BQ16"/>
      <c r="BR16"/>
      <c r="BS16"/>
      <c r="BT16"/>
      <c r="BU16"/>
      <c r="BV16"/>
      <c r="BW16"/>
      <c r="BX16"/>
      <c r="BY16"/>
      <c r="BZ16"/>
      <c r="CA16"/>
      <c r="CB16"/>
      <c r="CC16"/>
      <c r="CD16"/>
      <c r="CE16"/>
      <c r="CF16"/>
      <c r="CG16"/>
      <c r="CH16"/>
    </row>
    <row r="17" spans="1:86" ht="16" x14ac:dyDescent="0.4">
      <c r="A17" s="6">
        <v>2022</v>
      </c>
      <c r="B17" s="7" t="s">
        <v>26</v>
      </c>
      <c r="C17" s="7" t="s">
        <v>17</v>
      </c>
      <c r="D17" s="7" t="s">
        <v>3</v>
      </c>
      <c r="E17" s="7" t="s">
        <v>8</v>
      </c>
      <c r="F17" s="8">
        <v>556810</v>
      </c>
      <c r="G17" s="9">
        <v>26</v>
      </c>
      <c r="H17" s="10" t="s">
        <v>30</v>
      </c>
      <c r="I17" s="5" t="str">
        <f>CHOOSE(MATCH(B17,{"Январь","Февраль","Март","Апрель","Май","Июнь","Июль","Август","Сентябрь","Октябрь","Ноябрь","Декабрь"},0),
"Jan","Feb","Mar","Apr","May","Jun","Jul","Aug","Sep","Oct","Nov","Dec")</f>
        <v>Feb</v>
      </c>
      <c r="K17" s="20" t="s">
        <v>2</v>
      </c>
      <c r="L17" s="21">
        <v>1242660</v>
      </c>
      <c r="M17" s="21">
        <v>310665</v>
      </c>
      <c r="N17" s="22">
        <v>7.7657227200914596E-3</v>
      </c>
      <c r="O17" s="22"/>
      <c r="P17" s="21">
        <v>1851200</v>
      </c>
      <c r="Q17" s="21">
        <v>462800</v>
      </c>
      <c r="R17" s="22">
        <v>1.1568655866796477E-2</v>
      </c>
      <c r="S17" s="22">
        <v>0.48970756280881333</v>
      </c>
      <c r="T17" s="21">
        <v>4489020</v>
      </c>
      <c r="U17" s="21">
        <v>448902</v>
      </c>
      <c r="V17" s="22">
        <v>2.8053115578633707E-2</v>
      </c>
      <c r="W17" s="22">
        <v>1.4249243733794295</v>
      </c>
      <c r="X17" s="21">
        <v>2524630</v>
      </c>
      <c r="Y17" s="21">
        <v>420771.66666666669</v>
      </c>
      <c r="Z17" s="22">
        <v>1.5777104397682793E-2</v>
      </c>
      <c r="AA17" s="22">
        <v>-0.43759885231074935</v>
      </c>
      <c r="AB17" s="21">
        <v>1682910</v>
      </c>
      <c r="AC17" s="21">
        <v>420727.5</v>
      </c>
      <c r="AD17" s="22">
        <v>1.051696556006399E-2</v>
      </c>
      <c r="AE17" s="22">
        <v>-0.3334033105841252</v>
      </c>
      <c r="AF17" s="21">
        <v>3317010</v>
      </c>
      <c r="AG17" s="21">
        <v>368556.66666666669</v>
      </c>
      <c r="AH17" s="22">
        <v>2.0728904060459477E-2</v>
      </c>
      <c r="AI17" s="22">
        <v>0.97099666648840399</v>
      </c>
      <c r="AJ17" s="21">
        <v>2436820</v>
      </c>
      <c r="AK17" s="21">
        <v>406136.66666666669</v>
      </c>
      <c r="AL17" s="22">
        <v>1.5228355655427284E-2</v>
      </c>
      <c r="AM17" s="22">
        <v>-0.26535645053828599</v>
      </c>
      <c r="AN17" s="21">
        <v>3926080</v>
      </c>
      <c r="AO17" s="21">
        <v>392608</v>
      </c>
      <c r="AP17" s="22">
        <v>2.453514932233811E-2</v>
      </c>
      <c r="AQ17" s="22">
        <v>0.61114895642681855</v>
      </c>
      <c r="AR17" s="21">
        <v>1824220</v>
      </c>
      <c r="AS17" s="21">
        <v>456055</v>
      </c>
      <c r="AT17" s="22">
        <v>1.140005045663757E-2</v>
      </c>
      <c r="AU17" s="22">
        <v>-0.53535842366941067</v>
      </c>
      <c r="AV17" s="21">
        <v>3171220</v>
      </c>
      <c r="AW17" s="21">
        <v>528536.66666666663</v>
      </c>
      <c r="AX17" s="22">
        <v>1.9817822416757953E-2</v>
      </c>
      <c r="AY17" s="22">
        <v>0.73839778096940067</v>
      </c>
      <c r="AZ17" s="21">
        <v>3285990</v>
      </c>
      <c r="BA17" s="21">
        <v>410748.75</v>
      </c>
      <c r="BB17" s="22">
        <v>2.0535051583694119E-2</v>
      </c>
      <c r="BC17" s="22">
        <v>3.6191118875385501E-2</v>
      </c>
      <c r="BD17" s="21">
        <v>3084570</v>
      </c>
      <c r="BE17" s="21">
        <v>514095</v>
      </c>
      <c r="BF17" s="22">
        <v>1.9276322832240927E-2</v>
      </c>
      <c r="BG17" s="22">
        <v>-6.1296595546547615E-2</v>
      </c>
      <c r="BH17" s="21">
        <v>32836330</v>
      </c>
      <c r="BI17" s="21">
        <v>426445.84415584418</v>
      </c>
      <c r="BJ17" s="22">
        <v>0.20520322045082387</v>
      </c>
      <c r="BK17" s="22"/>
      <c r="BL17"/>
      <c r="BM17"/>
      <c r="BN17"/>
      <c r="BO17"/>
      <c r="BP17"/>
      <c r="BQ17"/>
      <c r="BR17"/>
      <c r="BS17"/>
      <c r="BT17"/>
      <c r="BU17"/>
      <c r="BV17"/>
      <c r="BW17"/>
      <c r="BX17"/>
      <c r="BY17"/>
      <c r="BZ17"/>
      <c r="CA17"/>
      <c r="CB17"/>
      <c r="CC17"/>
      <c r="CD17"/>
      <c r="CE17"/>
      <c r="CF17"/>
      <c r="CG17"/>
      <c r="CH17"/>
    </row>
    <row r="18" spans="1:86" ht="16" x14ac:dyDescent="0.4">
      <c r="A18" s="6">
        <v>2022</v>
      </c>
      <c r="B18" s="7" t="s">
        <v>26</v>
      </c>
      <c r="C18" s="7" t="s">
        <v>10</v>
      </c>
      <c r="D18" s="7" t="s">
        <v>11</v>
      </c>
      <c r="E18" s="7" t="s">
        <v>8</v>
      </c>
      <c r="F18" s="8">
        <v>637200</v>
      </c>
      <c r="G18" s="9">
        <v>25</v>
      </c>
      <c r="H18" s="10" t="s">
        <v>31</v>
      </c>
      <c r="I18" s="5" t="str">
        <f>CHOOSE(MATCH(B18,{"Январь","Февраль","Март","Апрель","Май","Июнь","Июль","Август","Сентябрь","Октябрь","Ноябрь","Декабрь"},0),
"Jan","Feb","Mar","Apr","May","Jun","Jul","Aug","Sep","Oct","Nov","Dec")</f>
        <v>Feb</v>
      </c>
      <c r="K18" s="20" t="s">
        <v>17</v>
      </c>
      <c r="L18" s="21">
        <v>3738270</v>
      </c>
      <c r="M18" s="21">
        <v>467283.75</v>
      </c>
      <c r="N18" s="22">
        <v>2.3361473188833873E-2</v>
      </c>
      <c r="O18" s="22"/>
      <c r="P18" s="21">
        <v>1756650</v>
      </c>
      <c r="Q18" s="21">
        <v>585550</v>
      </c>
      <c r="R18" s="22">
        <v>1.0977787018370802E-2</v>
      </c>
      <c r="S18" s="22">
        <v>-0.53009012190130733</v>
      </c>
      <c r="T18" s="21">
        <v>2078660</v>
      </c>
      <c r="U18" s="21">
        <v>519665</v>
      </c>
      <c r="V18" s="22">
        <v>1.2990115710930837E-2</v>
      </c>
      <c r="W18" s="22">
        <v>0.18330913955540376</v>
      </c>
      <c r="X18" s="21">
        <v>2948280</v>
      </c>
      <c r="Y18" s="21">
        <v>421182.85714285716</v>
      </c>
      <c r="Z18" s="22">
        <v>1.8424609290708036E-2</v>
      </c>
      <c r="AA18" s="22">
        <v>0.41835605630550449</v>
      </c>
      <c r="AB18" s="21">
        <v>2391450</v>
      </c>
      <c r="AC18" s="21">
        <v>398575</v>
      </c>
      <c r="AD18" s="22">
        <v>1.4944826098017736E-2</v>
      </c>
      <c r="AE18" s="22">
        <v>-0.18886605071431478</v>
      </c>
      <c r="AF18" s="21">
        <v>2397160</v>
      </c>
      <c r="AG18" s="21">
        <v>479432</v>
      </c>
      <c r="AH18" s="22">
        <v>1.498050945205804E-2</v>
      </c>
      <c r="AI18" s="22">
        <v>2.3876727508415395E-3</v>
      </c>
      <c r="AJ18" s="21">
        <v>1519680</v>
      </c>
      <c r="AK18" s="21">
        <v>379920</v>
      </c>
      <c r="AL18" s="22">
        <v>9.4968965793286887E-3</v>
      </c>
      <c r="AM18" s="22">
        <v>-0.36604982562699195</v>
      </c>
      <c r="AN18" s="21">
        <v>3683650</v>
      </c>
      <c r="AO18" s="21">
        <v>526235.71428571432</v>
      </c>
      <c r="AP18" s="22">
        <v>2.3020137847733817E-2</v>
      </c>
      <c r="AQ18" s="22">
        <v>1.4239642556327647</v>
      </c>
      <c r="AR18" s="21">
        <v>1570130</v>
      </c>
      <c r="AS18" s="21">
        <v>314026</v>
      </c>
      <c r="AT18" s="22">
        <v>9.8121724482136737E-3</v>
      </c>
      <c r="AU18" s="22">
        <v>-0.57375700731611312</v>
      </c>
      <c r="AV18" s="21">
        <v>2511440</v>
      </c>
      <c r="AW18" s="21">
        <v>418573.33333333331</v>
      </c>
      <c r="AX18" s="22">
        <v>1.5694676474777087E-2</v>
      </c>
      <c r="AY18" s="22">
        <v>0.5995108685268099</v>
      </c>
      <c r="AZ18" s="21">
        <v>736550</v>
      </c>
      <c r="BA18" s="21">
        <v>368275</v>
      </c>
      <c r="BB18" s="22">
        <v>4.6029027002425157E-3</v>
      </c>
      <c r="BC18" s="22">
        <v>-0.70672203994521077</v>
      </c>
      <c r="BD18" s="21">
        <v>2844660</v>
      </c>
      <c r="BE18" s="21">
        <v>406380</v>
      </c>
      <c r="BF18" s="22">
        <v>1.7777059527896103E-2</v>
      </c>
      <c r="BG18" s="22">
        <v>2.8621410630642861</v>
      </c>
      <c r="BH18" s="21">
        <v>28176580</v>
      </c>
      <c r="BI18" s="21">
        <v>440259.0625</v>
      </c>
      <c r="BJ18" s="22">
        <v>0.17608316633711121</v>
      </c>
      <c r="BK18" s="22"/>
      <c r="BL18"/>
      <c r="BM18"/>
      <c r="BN18"/>
      <c r="BO18"/>
      <c r="BP18"/>
      <c r="BQ18"/>
      <c r="BR18"/>
      <c r="BS18"/>
      <c r="BT18"/>
      <c r="BU18"/>
      <c r="BV18"/>
      <c r="BW18"/>
      <c r="BX18"/>
      <c r="BY18"/>
      <c r="BZ18"/>
      <c r="CA18"/>
      <c r="CB18"/>
      <c r="CC18"/>
      <c r="CD18"/>
      <c r="CE18"/>
      <c r="CF18"/>
      <c r="CG18"/>
      <c r="CH18"/>
    </row>
    <row r="19" spans="1:86" ht="16" x14ac:dyDescent="0.4">
      <c r="A19" s="6">
        <v>2022</v>
      </c>
      <c r="B19" s="7" t="s">
        <v>26</v>
      </c>
      <c r="C19" s="7" t="s">
        <v>6</v>
      </c>
      <c r="D19" s="7" t="s">
        <v>11</v>
      </c>
      <c r="E19" s="7" t="s">
        <v>8</v>
      </c>
      <c r="F19" s="8">
        <v>373560</v>
      </c>
      <c r="G19" s="9">
        <v>19</v>
      </c>
      <c r="H19" s="10" t="s">
        <v>32</v>
      </c>
      <c r="I19" s="5" t="str">
        <f>CHOOSE(MATCH(B19,{"Январь","Февраль","Март","Апрель","Май","Июнь","Июль","Август","Сентябрь","Октябрь","Ноябрь","Декабрь"},0),
"Jan","Feb","Mar","Apr","May","Jun","Jul","Aug","Sep","Oct","Nov","Dec")</f>
        <v>Feb</v>
      </c>
      <c r="K19" s="20" t="s">
        <v>6</v>
      </c>
      <c r="L19" s="21">
        <v>2557270</v>
      </c>
      <c r="M19" s="21">
        <v>365324.28571428574</v>
      </c>
      <c r="N19" s="22">
        <v>1.5981080698186378E-2</v>
      </c>
      <c r="O19" s="22"/>
      <c r="P19" s="21">
        <v>3453810</v>
      </c>
      <c r="Q19" s="21">
        <v>383756.66666666669</v>
      </c>
      <c r="R19" s="22">
        <v>2.1583804731687736E-2</v>
      </c>
      <c r="S19" s="22">
        <v>0.35058480332542125</v>
      </c>
      <c r="T19" s="21">
        <v>3211360</v>
      </c>
      <c r="U19" s="21">
        <v>356817.77777777775</v>
      </c>
      <c r="V19" s="22">
        <v>2.0068668271605195E-2</v>
      </c>
      <c r="W19" s="22">
        <v>-7.0197839487406655E-2</v>
      </c>
      <c r="X19" s="21">
        <v>2018730</v>
      </c>
      <c r="Y19" s="21">
        <v>504682.5</v>
      </c>
      <c r="Z19" s="22">
        <v>1.2615596725355473E-2</v>
      </c>
      <c r="AA19" s="22">
        <v>-0.37137848139106172</v>
      </c>
      <c r="AB19" s="21">
        <v>3352310</v>
      </c>
      <c r="AC19" s="21">
        <v>372478.88888888888</v>
      </c>
      <c r="AD19" s="22">
        <v>2.0949503429570276E-2</v>
      </c>
      <c r="AE19" s="22">
        <v>0.66060344870289733</v>
      </c>
      <c r="AF19" s="21">
        <v>2766680</v>
      </c>
      <c r="AG19" s="21">
        <v>461113.33333333331</v>
      </c>
      <c r="AH19" s="22">
        <v>1.7289741148200345E-2</v>
      </c>
      <c r="AI19" s="22">
        <v>-0.17469446441409059</v>
      </c>
      <c r="AJ19" s="21">
        <v>2482970</v>
      </c>
      <c r="AK19" s="21">
        <v>413828.33333333331</v>
      </c>
      <c r="AL19" s="22">
        <v>1.5516759646488574E-2</v>
      </c>
      <c r="AM19" s="22">
        <v>-0.10254528893836656</v>
      </c>
      <c r="AN19" s="21">
        <v>1099510</v>
      </c>
      <c r="AO19" s="21">
        <v>366503.33333333331</v>
      </c>
      <c r="AP19" s="22">
        <v>6.8711391595189034E-3</v>
      </c>
      <c r="AQ19" s="22">
        <v>-0.5571795068003238</v>
      </c>
      <c r="AR19" s="21">
        <v>3861650</v>
      </c>
      <c r="AS19" s="21">
        <v>429072.22222222225</v>
      </c>
      <c r="AT19" s="22">
        <v>2.4132508604156555E-2</v>
      </c>
      <c r="AU19" s="22">
        <v>2.5121554146847234</v>
      </c>
      <c r="AV19" s="21">
        <v>4228070</v>
      </c>
      <c r="AW19" s="21">
        <v>469785.55555555556</v>
      </c>
      <c r="AX19" s="22">
        <v>2.642236755117015E-2</v>
      </c>
      <c r="AY19" s="22">
        <v>9.4886900677171676E-2</v>
      </c>
      <c r="AZ19" s="21">
        <v>2947260</v>
      </c>
      <c r="BA19" s="21">
        <v>491210</v>
      </c>
      <c r="BB19" s="22">
        <v>1.8418235031317298E-2</v>
      </c>
      <c r="BC19" s="22">
        <v>-0.30293017854482068</v>
      </c>
      <c r="BD19" s="21">
        <v>2276820</v>
      </c>
      <c r="BE19" s="21">
        <v>379470</v>
      </c>
      <c r="BF19" s="22">
        <v>1.4228471829429318E-2</v>
      </c>
      <c r="BG19" s="22">
        <v>-0.2274790822662405</v>
      </c>
      <c r="BH19" s="21">
        <v>34256440</v>
      </c>
      <c r="BI19" s="21">
        <v>412728.19277108432</v>
      </c>
      <c r="BJ19" s="22">
        <v>0.21407787682668619</v>
      </c>
      <c r="BK19" s="22"/>
      <c r="BL19"/>
      <c r="BM19"/>
      <c r="BN19"/>
      <c r="BO19"/>
      <c r="BP19"/>
      <c r="BQ19"/>
      <c r="BR19"/>
      <c r="BS19"/>
      <c r="BT19"/>
      <c r="BU19"/>
      <c r="BV19"/>
      <c r="BW19"/>
      <c r="BX19"/>
      <c r="BY19"/>
      <c r="BZ19"/>
      <c r="CA19"/>
      <c r="CB19"/>
      <c r="CC19"/>
      <c r="CD19"/>
      <c r="CE19"/>
      <c r="CF19"/>
      <c r="CG19"/>
      <c r="CH19"/>
    </row>
    <row r="20" spans="1:86" ht="16" x14ac:dyDescent="0.4">
      <c r="A20" s="6">
        <v>2022</v>
      </c>
      <c r="B20" s="7" t="s">
        <v>26</v>
      </c>
      <c r="C20" s="7" t="s">
        <v>22</v>
      </c>
      <c r="D20" s="7" t="s">
        <v>11</v>
      </c>
      <c r="E20" s="7" t="s">
        <v>12</v>
      </c>
      <c r="F20" s="8">
        <v>338010</v>
      </c>
      <c r="G20" s="9">
        <v>30</v>
      </c>
      <c r="H20" s="10" t="s">
        <v>33</v>
      </c>
      <c r="I20" s="5" t="str">
        <f>CHOOSE(MATCH(B20,{"Январь","Февраль","Март","Апрель","Май","Июнь","Июль","Август","Сентябрь","Октябрь","Ноябрь","Декабрь"},0),
"Jan","Feb","Mar","Apr","May","Jun","Jul","Aug","Sep","Oct","Nov","Dec")</f>
        <v>Feb</v>
      </c>
      <c r="K20" s="20" t="s">
        <v>10</v>
      </c>
      <c r="L20" s="21">
        <v>1922420</v>
      </c>
      <c r="M20" s="21">
        <v>480605</v>
      </c>
      <c r="N20" s="22">
        <v>1.2013729154843821E-2</v>
      </c>
      <c r="O20" s="22"/>
      <c r="P20" s="21">
        <v>4748670</v>
      </c>
      <c r="Q20" s="21">
        <v>527630</v>
      </c>
      <c r="R20" s="22">
        <v>2.9675739550011033E-2</v>
      </c>
      <c r="S20" s="22">
        <v>1.470152203992884</v>
      </c>
      <c r="T20" s="21">
        <v>2517160</v>
      </c>
      <c r="U20" s="21">
        <v>629290</v>
      </c>
      <c r="V20" s="22">
        <v>1.5730422321556515E-2</v>
      </c>
      <c r="W20" s="22">
        <v>-0.46992315743144925</v>
      </c>
      <c r="X20" s="21">
        <v>2963560</v>
      </c>
      <c r="Y20" s="21">
        <v>423365.71428571426</v>
      </c>
      <c r="Z20" s="22">
        <v>1.852009819609084E-2</v>
      </c>
      <c r="AA20" s="22">
        <v>0.17734271957285194</v>
      </c>
      <c r="AB20" s="21">
        <v>2913960</v>
      </c>
      <c r="AC20" s="21">
        <v>485660</v>
      </c>
      <c r="AD20" s="22">
        <v>1.8210134210031471E-2</v>
      </c>
      <c r="AE20" s="22">
        <v>-1.6736627569544738E-2</v>
      </c>
      <c r="AF20" s="21">
        <v>3908660</v>
      </c>
      <c r="AG20" s="21">
        <v>558380</v>
      </c>
      <c r="AH20" s="22">
        <v>2.4426286970782581E-2</v>
      </c>
      <c r="AI20" s="22">
        <v>0.34135677909099643</v>
      </c>
      <c r="AJ20" s="21">
        <v>3868500</v>
      </c>
      <c r="AK20" s="21">
        <v>552642.85714285716</v>
      </c>
      <c r="AL20" s="22">
        <v>2.4175316130457092E-2</v>
      </c>
      <c r="AM20" s="22">
        <v>-1.0274620969846443E-2</v>
      </c>
      <c r="AN20" s="21">
        <v>3715780</v>
      </c>
      <c r="AO20" s="21">
        <v>743156</v>
      </c>
      <c r="AP20" s="22">
        <v>2.3220927018542035E-2</v>
      </c>
      <c r="AQ20" s="22">
        <v>-3.9477833785705053E-2</v>
      </c>
      <c r="AR20" s="21">
        <v>4111250</v>
      </c>
      <c r="AS20" s="21">
        <v>587321.42857142852</v>
      </c>
      <c r="AT20" s="22">
        <v>2.5692327372713382E-2</v>
      </c>
      <c r="AU20" s="22">
        <v>0.10642987475038888</v>
      </c>
      <c r="AV20" s="21">
        <v>2357860</v>
      </c>
      <c r="AW20" s="21">
        <v>392976.66666666669</v>
      </c>
      <c r="AX20" s="22">
        <v>1.4734912987297288E-2</v>
      </c>
      <c r="AY20" s="22">
        <v>-0.42648586196412286</v>
      </c>
      <c r="AZ20" s="21">
        <v>4838610</v>
      </c>
      <c r="BA20" s="21">
        <v>691230</v>
      </c>
      <c r="BB20" s="22">
        <v>3.023779924570014E-2</v>
      </c>
      <c r="BC20" s="22">
        <v>1.0521192946146081</v>
      </c>
      <c r="BD20" s="21">
        <v>4244080</v>
      </c>
      <c r="BE20" s="21">
        <v>530510</v>
      </c>
      <c r="BF20" s="22">
        <v>2.652241842650907E-2</v>
      </c>
      <c r="BG20" s="22">
        <v>-0.12287206449786199</v>
      </c>
      <c r="BH20" s="21">
        <v>42110510</v>
      </c>
      <c r="BI20" s="21">
        <v>546889.74025974027</v>
      </c>
      <c r="BJ20" s="22">
        <v>0.26316011158453528</v>
      </c>
      <c r="BK20" s="22"/>
      <c r="BL20"/>
      <c r="BM20"/>
      <c r="BN20"/>
      <c r="BO20"/>
      <c r="BP20"/>
      <c r="BQ20"/>
      <c r="BR20"/>
      <c r="BS20"/>
      <c r="BT20"/>
      <c r="BU20"/>
      <c r="BV20"/>
      <c r="BW20"/>
      <c r="BX20"/>
      <c r="BY20"/>
      <c r="BZ20"/>
      <c r="CA20"/>
      <c r="CB20"/>
      <c r="CC20"/>
      <c r="CD20"/>
      <c r="CE20"/>
      <c r="CF20"/>
      <c r="CG20"/>
      <c r="CH20"/>
    </row>
    <row r="21" spans="1:86" ht="16" x14ac:dyDescent="0.4">
      <c r="A21" s="6">
        <v>2022</v>
      </c>
      <c r="B21" s="7" t="s">
        <v>26</v>
      </c>
      <c r="C21" s="7" t="s">
        <v>10</v>
      </c>
      <c r="D21" s="7" t="s">
        <v>14</v>
      </c>
      <c r="E21" s="7" t="s">
        <v>8</v>
      </c>
      <c r="F21" s="8">
        <v>315690</v>
      </c>
      <c r="G21" s="9">
        <v>12</v>
      </c>
      <c r="H21" s="10" t="s">
        <v>34</v>
      </c>
      <c r="I21" s="5" t="str">
        <f>CHOOSE(MATCH(B21,{"Январь","Февраль","Март","Апрель","Май","Июнь","Июль","Август","Сентябрь","Октябрь","Ноябрь","Декабрь"},0),
"Jan","Feb","Mar","Apr","May","Jun","Jul","Aug","Sep","Oct","Nov","Dec")</f>
        <v>Feb</v>
      </c>
      <c r="K21" s="20" t="s">
        <v>22</v>
      </c>
      <c r="L21" s="21">
        <v>2411690</v>
      </c>
      <c r="M21" s="21">
        <v>344527.14285714284</v>
      </c>
      <c r="N21" s="22">
        <v>1.5071311402006479E-2</v>
      </c>
      <c r="O21" s="22"/>
      <c r="P21" s="21">
        <v>1789410</v>
      </c>
      <c r="Q21" s="21">
        <v>357882</v>
      </c>
      <c r="R21" s="22">
        <v>1.1182513231743886E-2</v>
      </c>
      <c r="S21" s="22">
        <v>-0.25802652911443841</v>
      </c>
      <c r="T21" s="21">
        <v>1102080</v>
      </c>
      <c r="U21" s="21">
        <v>367360</v>
      </c>
      <c r="V21" s="22">
        <v>6.8871997934739958E-3</v>
      </c>
      <c r="W21" s="22">
        <v>-0.38410984626217581</v>
      </c>
      <c r="X21" s="21">
        <v>2078140</v>
      </c>
      <c r="Y21" s="21">
        <v>346356.66666666669</v>
      </c>
      <c r="Z21" s="22">
        <v>1.2986866088496344E-2</v>
      </c>
      <c r="AA21" s="22">
        <v>0.88565258420441351</v>
      </c>
      <c r="AB21" s="21">
        <v>1858290</v>
      </c>
      <c r="AC21" s="21">
        <v>371658</v>
      </c>
      <c r="AD21" s="22">
        <v>1.1612963218836012E-2</v>
      </c>
      <c r="AE21" s="22">
        <v>-0.10579171759361737</v>
      </c>
      <c r="AF21" s="21">
        <v>1228610</v>
      </c>
      <c r="AG21" s="21">
        <v>409536.66666666669</v>
      </c>
      <c r="AH21" s="22">
        <v>7.6779204216210128E-3</v>
      </c>
      <c r="AI21" s="22">
        <v>-0.33884915702070184</v>
      </c>
      <c r="AJ21" s="21">
        <v>2719340</v>
      </c>
      <c r="AK21" s="21">
        <v>388477.14285714284</v>
      </c>
      <c r="AL21" s="22">
        <v>1.6993900521183197E-2</v>
      </c>
      <c r="AM21" s="22">
        <v>1.2133467902751891</v>
      </c>
      <c r="AN21" s="21">
        <v>1796970</v>
      </c>
      <c r="AO21" s="21">
        <v>359394</v>
      </c>
      <c r="AP21" s="22">
        <v>1.122975774252229E-2</v>
      </c>
      <c r="AQ21" s="22">
        <v>-0.33918892084108643</v>
      </c>
      <c r="AR21" s="21">
        <v>2225920</v>
      </c>
      <c r="AS21" s="21">
        <v>445184</v>
      </c>
      <c r="AT21" s="22">
        <v>1.3910383787283716E-2</v>
      </c>
      <c r="AU21" s="22">
        <v>0.23870737964462402</v>
      </c>
      <c r="AV21" s="21">
        <v>1375060</v>
      </c>
      <c r="AW21" s="21">
        <v>458353.33333333331</v>
      </c>
      <c r="AX21" s="22">
        <v>8.5931265861047771E-3</v>
      </c>
      <c r="AY21" s="22">
        <v>-0.3822509344450834</v>
      </c>
      <c r="AZ21" s="21">
        <v>3292910</v>
      </c>
      <c r="BA21" s="21">
        <v>470415.71428571426</v>
      </c>
      <c r="BB21" s="22">
        <v>2.057829655916853E-2</v>
      </c>
      <c r="BC21" s="22">
        <v>1.3947391386557677</v>
      </c>
      <c r="BD21" s="21">
        <v>760310</v>
      </c>
      <c r="BE21" s="21">
        <v>253436.66666666666</v>
      </c>
      <c r="BF21" s="22">
        <v>4.7513854484032133E-3</v>
      </c>
      <c r="BG21" s="22">
        <v>-0.76910696010519575</v>
      </c>
      <c r="BH21" s="21">
        <v>22638730</v>
      </c>
      <c r="BI21" s="21">
        <v>383707.28813559323</v>
      </c>
      <c r="BJ21" s="22">
        <v>0.14147562480084344</v>
      </c>
      <c r="BK21" s="22"/>
      <c r="BL21"/>
      <c r="BM21"/>
      <c r="BN21"/>
      <c r="BO21"/>
      <c r="BP21"/>
      <c r="BQ21"/>
      <c r="BR21"/>
      <c r="BS21"/>
      <c r="BT21"/>
      <c r="BU21"/>
      <c r="BV21"/>
      <c r="BW21"/>
      <c r="BX21"/>
      <c r="BY21"/>
      <c r="BZ21"/>
      <c r="CA21"/>
      <c r="CB21"/>
      <c r="CC21"/>
      <c r="CD21"/>
      <c r="CE21"/>
      <c r="CF21"/>
      <c r="CG21"/>
      <c r="CH21"/>
    </row>
    <row r="22" spans="1:86" ht="16" x14ac:dyDescent="0.4">
      <c r="A22" s="6">
        <v>2022</v>
      </c>
      <c r="B22" s="7" t="s">
        <v>26</v>
      </c>
      <c r="C22" s="7" t="s">
        <v>10</v>
      </c>
      <c r="D22" s="7" t="s">
        <v>7</v>
      </c>
      <c r="E22" s="7" t="s">
        <v>15</v>
      </c>
      <c r="F22" s="8">
        <v>633160</v>
      </c>
      <c r="G22" s="9">
        <v>34</v>
      </c>
      <c r="H22" s="10" t="s">
        <v>35</v>
      </c>
      <c r="I22" s="5" t="str">
        <f>CHOOSE(MATCH(B22,{"Январь","Февраль","Март","Апрель","Май","Июнь","Июль","Август","Сентябрь","Октябрь","Ноябрь","Декабрь"},0),
"Jan","Feb","Mar","Apr","May","Jun","Jul","Aug","Sep","Oct","Nov","Dec")</f>
        <v>Feb</v>
      </c>
      <c r="K22" s="20" t="s">
        <v>402</v>
      </c>
      <c r="L22" s="21">
        <v>11872310</v>
      </c>
      <c r="M22" s="21">
        <v>395743.66666666669</v>
      </c>
      <c r="N22" s="22">
        <v>7.4193317163962005E-2</v>
      </c>
      <c r="O22" s="22"/>
      <c r="P22" s="21">
        <v>13599740</v>
      </c>
      <c r="Q22" s="21">
        <v>453324.66666666669</v>
      </c>
      <c r="R22" s="22">
        <v>8.4988500398609931E-2</v>
      </c>
      <c r="S22" s="22">
        <v>0.14550074922235015</v>
      </c>
      <c r="T22" s="21">
        <v>13398280</v>
      </c>
      <c r="U22" s="21">
        <v>446609.33333333331</v>
      </c>
      <c r="V22" s="22">
        <v>8.372952167620025E-2</v>
      </c>
      <c r="W22" s="22">
        <v>-1.4813518493735909E-2</v>
      </c>
      <c r="X22" s="21">
        <v>12533340</v>
      </c>
      <c r="Y22" s="21">
        <v>417778</v>
      </c>
      <c r="Z22" s="22">
        <v>7.8324274698333488E-2</v>
      </c>
      <c r="AA22" s="22">
        <v>-6.4556047492663235E-2</v>
      </c>
      <c r="AB22" s="21">
        <v>12198920</v>
      </c>
      <c r="AC22" s="21">
        <v>406630.66666666669</v>
      </c>
      <c r="AD22" s="22">
        <v>7.6234392516519492E-2</v>
      </c>
      <c r="AE22" s="22">
        <v>-2.6682432615727333E-2</v>
      </c>
      <c r="AF22" s="21">
        <v>13618120</v>
      </c>
      <c r="AG22" s="21">
        <v>453937.33333333331</v>
      </c>
      <c r="AH22" s="22">
        <v>8.5103362053121454E-2</v>
      </c>
      <c r="AI22" s="22">
        <v>0.11633816764106987</v>
      </c>
      <c r="AJ22" s="21">
        <v>13027310</v>
      </c>
      <c r="AK22" s="21">
        <v>434243.66666666669</v>
      </c>
      <c r="AL22" s="22">
        <v>8.1411228532884836E-2</v>
      </c>
      <c r="AM22" s="22">
        <v>-4.3384108819719609E-2</v>
      </c>
      <c r="AN22" s="21">
        <v>14221990</v>
      </c>
      <c r="AO22" s="21">
        <v>474066.33333333331</v>
      </c>
      <c r="AP22" s="22">
        <v>8.8877111090655159E-2</v>
      </c>
      <c r="AQ22" s="22">
        <v>9.1705808797057878E-2</v>
      </c>
      <c r="AR22" s="21">
        <v>13593170</v>
      </c>
      <c r="AS22" s="21">
        <v>453105.66666666669</v>
      </c>
      <c r="AT22" s="22">
        <v>8.4947442669004891E-2</v>
      </c>
      <c r="AU22" s="22">
        <v>-4.4214628191975948E-2</v>
      </c>
      <c r="AV22" s="21">
        <v>13643650</v>
      </c>
      <c r="AW22" s="21">
        <v>454788.33333333331</v>
      </c>
      <c r="AX22" s="22">
        <v>8.5262906016107254E-2</v>
      </c>
      <c r="AY22" s="22">
        <v>3.7136297125688858E-3</v>
      </c>
      <c r="AZ22" s="21">
        <v>15101320</v>
      </c>
      <c r="BA22" s="21">
        <v>503377.33333333331</v>
      </c>
      <c r="BB22" s="22">
        <v>9.4372285120122607E-2</v>
      </c>
      <c r="BC22" s="22">
        <v>0.10683871251461302</v>
      </c>
      <c r="BD22" s="21">
        <v>13210440</v>
      </c>
      <c r="BE22" s="21">
        <v>440348</v>
      </c>
      <c r="BF22" s="22">
        <v>8.2555658064478635E-2</v>
      </c>
      <c r="BG22" s="22">
        <v>-0.12521289529657009</v>
      </c>
      <c r="BH22" s="21">
        <v>160018590</v>
      </c>
      <c r="BI22" s="21">
        <v>444496.08333333331</v>
      </c>
      <c r="BJ22" s="22">
        <v>1</v>
      </c>
      <c r="BK22" s="22"/>
      <c r="BL22"/>
      <c r="BM22"/>
      <c r="BN22"/>
      <c r="BO22"/>
      <c r="BP22"/>
      <c r="BQ22"/>
      <c r="BR22"/>
      <c r="BS22"/>
      <c r="BT22"/>
      <c r="BU22"/>
      <c r="BV22"/>
      <c r="BW22"/>
      <c r="BX22"/>
      <c r="BY22"/>
      <c r="BZ22"/>
      <c r="CA22"/>
      <c r="CB22"/>
      <c r="CC22"/>
      <c r="CD22"/>
      <c r="CE22"/>
      <c r="CF22"/>
      <c r="CG22"/>
      <c r="CH22"/>
    </row>
    <row r="23" spans="1:86" ht="16" x14ac:dyDescent="0.4">
      <c r="A23" s="6">
        <v>2022</v>
      </c>
      <c r="B23" s="7" t="s">
        <v>26</v>
      </c>
      <c r="C23" s="7" t="s">
        <v>10</v>
      </c>
      <c r="D23" s="7" t="s">
        <v>14</v>
      </c>
      <c r="E23" s="7" t="s">
        <v>15</v>
      </c>
      <c r="F23" s="8">
        <v>415480</v>
      </c>
      <c r="G23" s="9">
        <v>21</v>
      </c>
      <c r="H23" s="10" t="s">
        <v>36</v>
      </c>
      <c r="I23" s="5" t="str">
        <f>CHOOSE(MATCH(B23,{"Январь","Февраль","Март","Апрель","Май","Июнь","Июль","Август","Сентябрь","Октябрь","Ноябрь","Декабрь"},0),
"Jan","Feb","Mar","Apr","May","Jun","Jul","Aug","Sep","Oct","Nov","Dec")</f>
        <v>Feb</v>
      </c>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row>
    <row r="24" spans="1:86" ht="16" x14ac:dyDescent="0.4">
      <c r="A24" s="6">
        <v>2022</v>
      </c>
      <c r="B24" s="7" t="s">
        <v>37</v>
      </c>
      <c r="C24" s="7" t="s">
        <v>17</v>
      </c>
      <c r="D24" s="7" t="s">
        <v>7</v>
      </c>
      <c r="E24" s="7" t="s">
        <v>8</v>
      </c>
      <c r="F24" s="8">
        <v>743870</v>
      </c>
      <c r="G24" s="9">
        <v>37</v>
      </c>
      <c r="H24" s="10" t="s">
        <v>38</v>
      </c>
      <c r="I24" s="5" t="str">
        <f>CHOOSE(MATCH(B24,{"Январь","Февраль","Март","Апрель","Май","Июнь","Июль","Август","Сентябрь","Октябрь","Ноябрь","Декабрь"},0),
"Jan","Feb","Mar","Apr","May","Jun","Jul","Aug","Sep","Oct","Nov","Dec")</f>
        <v>Mar</v>
      </c>
      <c r="K24"/>
      <c r="L24"/>
      <c r="M24"/>
    </row>
    <row r="25" spans="1:86" ht="16" x14ac:dyDescent="0.4">
      <c r="A25" s="6">
        <v>2022</v>
      </c>
      <c r="B25" s="7" t="s">
        <v>37</v>
      </c>
      <c r="C25" s="7" t="s">
        <v>2</v>
      </c>
      <c r="D25" s="7" t="s">
        <v>11</v>
      </c>
      <c r="E25" s="7" t="s">
        <v>12</v>
      </c>
      <c r="F25" s="8">
        <v>180640</v>
      </c>
      <c r="G25" s="9">
        <v>13</v>
      </c>
      <c r="H25" s="10" t="s">
        <v>39</v>
      </c>
      <c r="I25" s="5" t="str">
        <f>CHOOSE(MATCH(B25,{"Январь","Февраль","Март","Апрель","Май","Июнь","Июль","Август","Сентябрь","Октябрь","Ноябрь","Декабрь"},0),
"Jan","Feb","Mar","Apr","May","Jun","Jul","Aug","Sep","Oct","Nov","Dec")</f>
        <v>Mar</v>
      </c>
      <c r="K25"/>
      <c r="L25"/>
      <c r="M25"/>
    </row>
    <row r="26" spans="1:86" ht="16" x14ac:dyDescent="0.4">
      <c r="A26" s="6">
        <v>2022</v>
      </c>
      <c r="B26" s="7" t="s">
        <v>37</v>
      </c>
      <c r="C26" s="7" t="s">
        <v>6</v>
      </c>
      <c r="D26" s="7" t="s">
        <v>7</v>
      </c>
      <c r="E26" s="7" t="s">
        <v>12</v>
      </c>
      <c r="F26" s="8">
        <v>368420</v>
      </c>
      <c r="G26" s="9">
        <v>30</v>
      </c>
      <c r="H26" s="10" t="s">
        <v>40</v>
      </c>
      <c r="I26" s="5" t="str">
        <f>CHOOSE(MATCH(B26,{"Январь","Февраль","Март","Апрель","Май","Июнь","Июль","Август","Сентябрь","Октябрь","Ноябрь","Декабрь"},0),
"Jan","Feb","Mar","Apr","May","Jun","Jul","Aug","Sep","Oct","Nov","Dec")</f>
        <v>Mar</v>
      </c>
      <c r="K26"/>
      <c r="L26"/>
      <c r="M26"/>
    </row>
    <row r="27" spans="1:86" ht="16" x14ac:dyDescent="0.4">
      <c r="A27" s="6">
        <v>2022</v>
      </c>
      <c r="B27" s="7" t="s">
        <v>37</v>
      </c>
      <c r="C27" s="7" t="s">
        <v>6</v>
      </c>
      <c r="D27" s="7" t="s">
        <v>3</v>
      </c>
      <c r="E27" s="7" t="s">
        <v>15</v>
      </c>
      <c r="F27" s="8">
        <v>276270</v>
      </c>
      <c r="G27" s="9">
        <v>20</v>
      </c>
      <c r="H27" s="10" t="s">
        <v>41</v>
      </c>
      <c r="I27" s="5" t="str">
        <f>CHOOSE(MATCH(B27,{"Январь","Февраль","Март","Апрель","Май","Июнь","Июль","Август","Сентябрь","Октябрь","Ноябрь","Декабрь"},0),
"Jan","Feb","Mar","Apr","May","Jun","Jul","Aug","Sep","Oct","Nov","Dec")</f>
        <v>Mar</v>
      </c>
      <c r="K27"/>
      <c r="L27"/>
      <c r="M27"/>
    </row>
    <row r="28" spans="1:86" ht="16" x14ac:dyDescent="0.4">
      <c r="A28" s="6">
        <v>2022</v>
      </c>
      <c r="B28" s="7" t="s">
        <v>37</v>
      </c>
      <c r="C28" s="7" t="s">
        <v>2</v>
      </c>
      <c r="D28" s="7" t="s">
        <v>18</v>
      </c>
      <c r="E28" s="7" t="s">
        <v>4</v>
      </c>
      <c r="F28" s="8">
        <v>222340</v>
      </c>
      <c r="G28" s="9">
        <v>12</v>
      </c>
      <c r="H28" s="10" t="s">
        <v>42</v>
      </c>
      <c r="I28" s="5" t="str">
        <f>CHOOSE(MATCH(B28,{"Январь","Февраль","Март","Апрель","Май","Июнь","Июль","Август","Сентябрь","Октябрь","Ноябрь","Декабрь"},0),
"Jan","Feb","Mar","Apr","May","Jun","Jul","Aug","Sep","Oct","Nov","Dec")</f>
        <v>Mar</v>
      </c>
      <c r="K28"/>
      <c r="L28"/>
      <c r="M28"/>
    </row>
    <row r="29" spans="1:86" ht="16" x14ac:dyDescent="0.4">
      <c r="A29" s="6">
        <v>2022</v>
      </c>
      <c r="B29" s="7" t="s">
        <v>37</v>
      </c>
      <c r="C29" s="7" t="s">
        <v>6</v>
      </c>
      <c r="D29" s="7" t="s">
        <v>3</v>
      </c>
      <c r="E29" s="7" t="s">
        <v>15</v>
      </c>
      <c r="F29" s="8">
        <v>242080</v>
      </c>
      <c r="G29" s="9">
        <v>17</v>
      </c>
      <c r="H29" s="10" t="s">
        <v>43</v>
      </c>
      <c r="I29" s="5" t="str">
        <f>CHOOSE(MATCH(B29,{"Январь","Февраль","Март","Апрель","Май","Июнь","Июль","Август","Сентябрь","Октябрь","Ноябрь","Декабрь"},0),
"Jan","Feb","Mar","Apr","May","Jun","Jul","Aug","Sep","Oct","Nov","Dec")</f>
        <v>Mar</v>
      </c>
      <c r="K29"/>
      <c r="L29"/>
      <c r="M29"/>
    </row>
    <row r="30" spans="1:86" ht="16" x14ac:dyDescent="0.4">
      <c r="A30" s="6">
        <v>2022</v>
      </c>
      <c r="B30" s="7" t="s">
        <v>37</v>
      </c>
      <c r="C30" s="7" t="s">
        <v>17</v>
      </c>
      <c r="D30" s="7" t="s">
        <v>3</v>
      </c>
      <c r="E30" s="7" t="s">
        <v>15</v>
      </c>
      <c r="F30" s="8">
        <v>338470</v>
      </c>
      <c r="G30" s="9">
        <v>21</v>
      </c>
      <c r="H30" s="10" t="s">
        <v>44</v>
      </c>
      <c r="I30" s="5" t="str">
        <f>CHOOSE(MATCH(B30,{"Январь","Февраль","Март","Апрель","Май","Июнь","Июль","Август","Сентябрь","Октябрь","Ноябрь","Декабрь"},0),
"Jan","Feb","Mar","Apr","May","Jun","Jul","Aug","Sep","Oct","Nov","Dec")</f>
        <v>Mar</v>
      </c>
      <c r="K30"/>
      <c r="L30"/>
      <c r="M30"/>
    </row>
    <row r="31" spans="1:86" ht="16" x14ac:dyDescent="0.4">
      <c r="A31" s="6">
        <v>2022</v>
      </c>
      <c r="B31" s="7" t="s">
        <v>37</v>
      </c>
      <c r="C31" s="7" t="s">
        <v>2</v>
      </c>
      <c r="D31" s="7" t="s">
        <v>3</v>
      </c>
      <c r="E31" s="7" t="s">
        <v>4</v>
      </c>
      <c r="F31" s="8">
        <v>543500</v>
      </c>
      <c r="G31" s="9">
        <v>28</v>
      </c>
      <c r="H31" s="10" t="s">
        <v>45</v>
      </c>
      <c r="I31" s="5" t="str">
        <f>CHOOSE(MATCH(B31,{"Январь","Февраль","Март","Апрель","Май","Июнь","Июль","Август","Сентябрь","Октябрь","Ноябрь","Декабрь"},0),
"Jan","Feb","Mar","Apr","May","Jun","Jul","Aug","Sep","Oct","Nov","Dec")</f>
        <v>Mar</v>
      </c>
      <c r="K31"/>
      <c r="L31"/>
      <c r="M31"/>
    </row>
    <row r="32" spans="1:86" x14ac:dyDescent="0.35">
      <c r="A32" s="6">
        <v>2022</v>
      </c>
      <c r="B32" s="7" t="s">
        <v>37</v>
      </c>
      <c r="C32" s="7" t="s">
        <v>6</v>
      </c>
      <c r="D32" s="7" t="s">
        <v>11</v>
      </c>
      <c r="E32" s="7" t="s">
        <v>8</v>
      </c>
      <c r="F32" s="8">
        <v>369550</v>
      </c>
      <c r="G32" s="9">
        <v>19</v>
      </c>
      <c r="H32" s="10" t="s">
        <v>46</v>
      </c>
      <c r="I32" s="5" t="str">
        <f>CHOOSE(MATCH(B32,{"Январь","Февраль","Март","Апрель","Май","Июнь","Июль","Август","Сентябрь","Октябрь","Ноябрь","Декабрь"},0),
"Jan","Feb","Mar","Apr","May","Jun","Jul","Aug","Sep","Oct","Nov","Dec")</f>
        <v>Mar</v>
      </c>
    </row>
    <row r="33" spans="1:9" x14ac:dyDescent="0.35">
      <c r="A33" s="6">
        <v>2022</v>
      </c>
      <c r="B33" s="7" t="s">
        <v>37</v>
      </c>
      <c r="C33" s="7" t="s">
        <v>22</v>
      </c>
      <c r="D33" s="7" t="s">
        <v>3</v>
      </c>
      <c r="E33" s="7" t="s">
        <v>15</v>
      </c>
      <c r="F33" s="8">
        <v>347900</v>
      </c>
      <c r="G33" s="9">
        <v>27</v>
      </c>
      <c r="H33" s="10" t="s">
        <v>47</v>
      </c>
      <c r="I33" s="5" t="str">
        <f>CHOOSE(MATCH(B33,{"Январь","Февраль","Март","Апрель","Май","Июнь","Июль","Август","Сентябрь","Октябрь","Ноябрь","Декабрь"},0),
"Jan","Feb","Mar","Apr","May","Jun","Jul","Aug","Sep","Oct","Nov","Dec")</f>
        <v>Mar</v>
      </c>
    </row>
    <row r="34" spans="1:9" x14ac:dyDescent="0.35">
      <c r="A34" s="6">
        <v>2022</v>
      </c>
      <c r="B34" s="7" t="s">
        <v>48</v>
      </c>
      <c r="C34" s="7" t="s">
        <v>17</v>
      </c>
      <c r="D34" s="7" t="s">
        <v>11</v>
      </c>
      <c r="E34" s="7" t="s">
        <v>8</v>
      </c>
      <c r="F34" s="8">
        <v>761340</v>
      </c>
      <c r="G34" s="9">
        <v>36</v>
      </c>
      <c r="H34" s="10" t="s">
        <v>49</v>
      </c>
      <c r="I34" s="5" t="str">
        <f>CHOOSE(MATCH(B34,{"Январь","Февраль","Март","Апрель","Май","Июнь","Июль","Август","Сентябрь","Октябрь","Ноябрь","Декабрь"},0),
"Jan","Feb","Mar","Apr","May","Jun","Jul","Aug","Sep","Oct","Nov","Dec")</f>
        <v>Apr</v>
      </c>
    </row>
    <row r="35" spans="1:9" x14ac:dyDescent="0.35">
      <c r="A35" s="6">
        <v>2022</v>
      </c>
      <c r="B35" s="7" t="s">
        <v>48</v>
      </c>
      <c r="C35" s="7" t="s">
        <v>2</v>
      </c>
      <c r="D35" s="7" t="s">
        <v>14</v>
      </c>
      <c r="E35" s="7" t="s">
        <v>12</v>
      </c>
      <c r="F35" s="8">
        <v>220870</v>
      </c>
      <c r="G35" s="9">
        <v>16</v>
      </c>
      <c r="H35" s="10" t="s">
        <v>50</v>
      </c>
      <c r="I35" s="5" t="str">
        <f>CHOOSE(MATCH(B35,{"Январь","Февраль","Март","Апрель","Май","Июнь","Июль","Август","Сентябрь","Октябрь","Ноябрь","Декабрь"},0),
"Jan","Feb","Mar","Apr","May","Jun","Jul","Aug","Sep","Oct","Nov","Dec")</f>
        <v>Apr</v>
      </c>
    </row>
    <row r="36" spans="1:9" x14ac:dyDescent="0.35">
      <c r="A36" s="6">
        <v>2022</v>
      </c>
      <c r="B36" s="7" t="s">
        <v>48</v>
      </c>
      <c r="C36" s="7" t="s">
        <v>2</v>
      </c>
      <c r="D36" s="7" t="s">
        <v>18</v>
      </c>
      <c r="E36" s="7" t="s">
        <v>4</v>
      </c>
      <c r="F36" s="8">
        <v>389350</v>
      </c>
      <c r="G36" s="9">
        <v>20</v>
      </c>
      <c r="H36" s="10" t="s">
        <v>51</v>
      </c>
      <c r="I36" s="5" t="str">
        <f>CHOOSE(MATCH(B36,{"Январь","Февраль","Март","Апрель","Май","Июнь","Июль","Август","Сентябрь","Октябрь","Ноябрь","Декабрь"},0),
"Jan","Feb","Mar","Apr","May","Jun","Jul","Aug","Sep","Oct","Nov","Dec")</f>
        <v>Apr</v>
      </c>
    </row>
    <row r="37" spans="1:9" x14ac:dyDescent="0.35">
      <c r="A37" s="6">
        <v>2022</v>
      </c>
      <c r="B37" s="7" t="s">
        <v>48</v>
      </c>
      <c r="C37" s="7" t="s">
        <v>10</v>
      </c>
      <c r="D37" s="7" t="s">
        <v>18</v>
      </c>
      <c r="E37" s="7" t="s">
        <v>8</v>
      </c>
      <c r="F37" s="8">
        <v>316890</v>
      </c>
      <c r="G37" s="9">
        <v>13</v>
      </c>
      <c r="H37" s="10" t="s">
        <v>52</v>
      </c>
      <c r="I37" s="5" t="str">
        <f>CHOOSE(MATCH(B37,{"Январь","Февраль","Март","Апрель","Май","Июнь","Июль","Август","Сентябрь","Октябрь","Ноябрь","Декабрь"},0),
"Jan","Feb","Mar","Apr","May","Jun","Jul","Aug","Sep","Oct","Nov","Dec")</f>
        <v>Apr</v>
      </c>
    </row>
    <row r="38" spans="1:9" x14ac:dyDescent="0.35">
      <c r="A38" s="6">
        <v>2022</v>
      </c>
      <c r="B38" s="7" t="s">
        <v>48</v>
      </c>
      <c r="C38" s="7" t="s">
        <v>6</v>
      </c>
      <c r="D38" s="7" t="s">
        <v>14</v>
      </c>
      <c r="E38" s="7" t="s">
        <v>8</v>
      </c>
      <c r="F38" s="8">
        <v>460170</v>
      </c>
      <c r="G38" s="9">
        <v>25</v>
      </c>
      <c r="H38" s="10" t="s">
        <v>53</v>
      </c>
      <c r="I38" s="5" t="str">
        <f>CHOOSE(MATCH(B38,{"Январь","Февраль","Март","Апрель","Май","Июнь","Июль","Август","Сентябрь","Октябрь","Ноябрь","Декабрь"},0),
"Jan","Feb","Mar","Apr","May","Jun","Jul","Aug","Sep","Oct","Nov","Dec")</f>
        <v>Apr</v>
      </c>
    </row>
    <row r="39" spans="1:9" x14ac:dyDescent="0.35">
      <c r="A39" s="6">
        <v>2022</v>
      </c>
      <c r="B39" s="7" t="s">
        <v>48</v>
      </c>
      <c r="C39" s="7" t="s">
        <v>10</v>
      </c>
      <c r="D39" s="7" t="s">
        <v>18</v>
      </c>
      <c r="E39" s="7" t="s">
        <v>12</v>
      </c>
      <c r="F39" s="8">
        <v>253650</v>
      </c>
      <c r="G39" s="9">
        <v>16</v>
      </c>
      <c r="H39" s="10" t="s">
        <v>54</v>
      </c>
      <c r="I39" s="5" t="str">
        <f>CHOOSE(MATCH(B39,{"Январь","Февраль","Март","Апрель","Май","Июнь","Июль","Август","Сентябрь","Октябрь","Ноябрь","Декабрь"},0),
"Jan","Feb","Mar","Apr","May","Jun","Jul","Aug","Sep","Oct","Nov","Dec")</f>
        <v>Apr</v>
      </c>
    </row>
    <row r="40" spans="1:9" x14ac:dyDescent="0.35">
      <c r="A40" s="6">
        <v>2022</v>
      </c>
      <c r="B40" s="7" t="s">
        <v>48</v>
      </c>
      <c r="C40" s="7" t="s">
        <v>17</v>
      </c>
      <c r="D40" s="7" t="s">
        <v>7</v>
      </c>
      <c r="E40" s="7" t="s">
        <v>4</v>
      </c>
      <c r="F40" s="8">
        <v>566420</v>
      </c>
      <c r="G40" s="9">
        <v>32</v>
      </c>
      <c r="H40" s="10" t="s">
        <v>55</v>
      </c>
      <c r="I40" s="5" t="str">
        <f>CHOOSE(MATCH(B40,{"Январь","Февраль","Март","Апрель","Май","Июнь","Июль","Август","Сентябрь","Октябрь","Ноябрь","Декабрь"},0),
"Jan","Feb","Mar","Apr","May","Jun","Jul","Aug","Sep","Oct","Nov","Dec")</f>
        <v>Apr</v>
      </c>
    </row>
    <row r="41" spans="1:9" x14ac:dyDescent="0.35">
      <c r="A41" s="6">
        <v>2022</v>
      </c>
      <c r="B41" s="7" t="s">
        <v>48</v>
      </c>
      <c r="C41" s="7" t="s">
        <v>22</v>
      </c>
      <c r="D41" s="7" t="s">
        <v>3</v>
      </c>
      <c r="E41" s="7" t="s">
        <v>12</v>
      </c>
      <c r="F41" s="8">
        <v>360170</v>
      </c>
      <c r="G41" s="9">
        <v>30</v>
      </c>
      <c r="H41" s="10" t="s">
        <v>56</v>
      </c>
      <c r="I41" s="5" t="str">
        <f>CHOOSE(MATCH(B41,{"Январь","Февраль","Март","Апрель","Май","Июнь","Июль","Август","Сентябрь","Октябрь","Ноябрь","Декабрь"},0),
"Jan","Feb","Mar","Apr","May","Jun","Jul","Aug","Sep","Oct","Nov","Dec")</f>
        <v>Apr</v>
      </c>
    </row>
    <row r="42" spans="1:9" x14ac:dyDescent="0.35">
      <c r="A42" s="6">
        <v>2022</v>
      </c>
      <c r="B42" s="7" t="s">
        <v>48</v>
      </c>
      <c r="C42" s="7" t="s">
        <v>10</v>
      </c>
      <c r="D42" s="7" t="s">
        <v>14</v>
      </c>
      <c r="E42" s="7" t="s">
        <v>8</v>
      </c>
      <c r="F42" s="8">
        <v>550050</v>
      </c>
      <c r="G42" s="9">
        <v>22</v>
      </c>
      <c r="H42" s="10" t="s">
        <v>57</v>
      </c>
      <c r="I42" s="5" t="str">
        <f>CHOOSE(MATCH(B42,{"Январь","Февраль","Март","Апрель","Май","Июнь","Июль","Август","Сентябрь","Октябрь","Ноябрь","Декабрь"},0),
"Jan","Feb","Mar","Apr","May","Jun","Jul","Aug","Sep","Oct","Nov","Dec")</f>
        <v>Apr</v>
      </c>
    </row>
    <row r="43" spans="1:9" x14ac:dyDescent="0.35">
      <c r="A43" s="6">
        <v>2022</v>
      </c>
      <c r="B43" s="7" t="s">
        <v>48</v>
      </c>
      <c r="C43" s="7" t="s">
        <v>6</v>
      </c>
      <c r="D43" s="7" t="s">
        <v>7</v>
      </c>
      <c r="E43" s="7" t="s">
        <v>12</v>
      </c>
      <c r="F43" s="8">
        <v>469230</v>
      </c>
      <c r="G43" s="9">
        <v>41</v>
      </c>
      <c r="H43" s="10" t="s">
        <v>58</v>
      </c>
      <c r="I43" s="5" t="str">
        <f>CHOOSE(MATCH(B43,{"Январь","Февраль","Март","Апрель","Май","Июнь","Июль","Август","Сентябрь","Октябрь","Ноябрь","Декабрь"},0),
"Jan","Feb","Mar","Apr","May","Jun","Jul","Aug","Sep","Oct","Nov","Dec")</f>
        <v>Apr</v>
      </c>
    </row>
    <row r="44" spans="1:9" x14ac:dyDescent="0.35">
      <c r="A44" s="6">
        <v>2022</v>
      </c>
      <c r="B44" s="7" t="s">
        <v>59</v>
      </c>
      <c r="C44" s="7" t="s">
        <v>10</v>
      </c>
      <c r="D44" s="7" t="s">
        <v>7</v>
      </c>
      <c r="E44" s="7" t="s">
        <v>12</v>
      </c>
      <c r="F44" s="8">
        <v>602600</v>
      </c>
      <c r="G44" s="9">
        <v>38</v>
      </c>
      <c r="H44" s="10" t="s">
        <v>60</v>
      </c>
      <c r="I44" s="5" t="str">
        <f>CHOOSE(MATCH(B44,{"Январь","Февраль","Март","Апрель","Май","Июнь","Июль","Август","Сентябрь","Октябрь","Ноябрь","Декабрь"},0),
"Jan","Feb","Mar","Apr","May","Jun","Jul","Aug","Sep","Oct","Nov","Dec")</f>
        <v>May</v>
      </c>
    </row>
    <row r="45" spans="1:9" x14ac:dyDescent="0.35">
      <c r="A45" s="6">
        <v>2022</v>
      </c>
      <c r="B45" s="7" t="s">
        <v>59</v>
      </c>
      <c r="C45" s="7" t="s">
        <v>2</v>
      </c>
      <c r="D45" s="7" t="s">
        <v>7</v>
      </c>
      <c r="E45" s="7" t="s">
        <v>15</v>
      </c>
      <c r="F45" s="8">
        <v>195710</v>
      </c>
      <c r="G45" s="9">
        <v>13</v>
      </c>
      <c r="H45" s="10" t="s">
        <v>61</v>
      </c>
      <c r="I45" s="5" t="str">
        <f>CHOOSE(MATCH(B45,{"Январь","Февраль","Март","Апрель","Май","Июнь","Июль","Август","Сентябрь","Октябрь","Ноябрь","Декабрь"},0),
"Jan","Feb","Mar","Apr","May","Jun","Jul","Aug","Sep","Oct","Nov","Dec")</f>
        <v>May</v>
      </c>
    </row>
    <row r="46" spans="1:9" x14ac:dyDescent="0.35">
      <c r="A46" s="6">
        <v>2022</v>
      </c>
      <c r="B46" s="7" t="s">
        <v>59</v>
      </c>
      <c r="C46" s="7" t="s">
        <v>10</v>
      </c>
      <c r="D46" s="7" t="s">
        <v>3</v>
      </c>
      <c r="E46" s="7" t="s">
        <v>4</v>
      </c>
      <c r="F46" s="8">
        <v>286620</v>
      </c>
      <c r="G46" s="9">
        <v>12</v>
      </c>
      <c r="H46" s="10" t="s">
        <v>62</v>
      </c>
      <c r="I46" s="5" t="str">
        <f>CHOOSE(MATCH(B46,{"Январь","Февраль","Март","Апрель","Май","Июнь","Июль","Август","Сентябрь","Октябрь","Ноябрь","Декабрь"},0),
"Jan","Feb","Mar","Apr","May","Jun","Jul","Aug","Sep","Oct","Nov","Dec")</f>
        <v>May</v>
      </c>
    </row>
    <row r="47" spans="1:9" x14ac:dyDescent="0.35">
      <c r="A47" s="6">
        <v>2022</v>
      </c>
      <c r="B47" s="7" t="s">
        <v>59</v>
      </c>
      <c r="C47" s="7" t="s">
        <v>10</v>
      </c>
      <c r="D47" s="7" t="s">
        <v>11</v>
      </c>
      <c r="E47" s="7" t="s">
        <v>12</v>
      </c>
      <c r="F47" s="8">
        <v>339030</v>
      </c>
      <c r="G47" s="9">
        <v>21</v>
      </c>
      <c r="H47" s="10" t="s">
        <v>63</v>
      </c>
      <c r="I47" s="5" t="str">
        <f>CHOOSE(MATCH(B47,{"Январь","Февраль","Март","Апрель","Май","Июнь","Июль","Август","Сентябрь","Октябрь","Ноябрь","Декабрь"},0),
"Jan","Feb","Mar","Apr","May","Jun","Jul","Aug","Sep","Oct","Nov","Dec")</f>
        <v>May</v>
      </c>
    </row>
    <row r="48" spans="1:9" x14ac:dyDescent="0.35">
      <c r="A48" s="6">
        <v>2022</v>
      </c>
      <c r="B48" s="7" t="s">
        <v>59</v>
      </c>
      <c r="C48" s="7" t="s">
        <v>6</v>
      </c>
      <c r="D48" s="7" t="s">
        <v>18</v>
      </c>
      <c r="E48" s="7" t="s">
        <v>15</v>
      </c>
      <c r="F48" s="8">
        <v>468720</v>
      </c>
      <c r="G48" s="9">
        <v>33</v>
      </c>
      <c r="H48" s="10" t="s">
        <v>64</v>
      </c>
      <c r="I48" s="5" t="str">
        <f>CHOOSE(MATCH(B48,{"Январь","Февраль","Март","Апрель","Май","Июнь","Июль","Август","Сентябрь","Октябрь","Ноябрь","Декабрь"},0),
"Jan","Feb","Mar","Apr","May","Jun","Jul","Aug","Sep","Oct","Nov","Dec")</f>
        <v>May</v>
      </c>
    </row>
    <row r="49" spans="1:9" x14ac:dyDescent="0.35">
      <c r="A49" s="6">
        <v>2022</v>
      </c>
      <c r="B49" s="7" t="s">
        <v>59</v>
      </c>
      <c r="C49" s="7" t="s">
        <v>2</v>
      </c>
      <c r="D49" s="7" t="s">
        <v>3</v>
      </c>
      <c r="E49" s="7" t="s">
        <v>4</v>
      </c>
      <c r="F49" s="8">
        <v>668220</v>
      </c>
      <c r="G49" s="9">
        <v>35</v>
      </c>
      <c r="H49" s="10" t="s">
        <v>65</v>
      </c>
      <c r="I49" s="5" t="str">
        <f>CHOOSE(MATCH(B49,{"Январь","Февраль","Март","Апрель","Май","Июнь","Июль","Август","Сентябрь","Октябрь","Ноябрь","Декабрь"},0),
"Jan","Feb","Mar","Apr","May","Jun","Jul","Aug","Sep","Oct","Nov","Dec")</f>
        <v>May</v>
      </c>
    </row>
    <row r="50" spans="1:9" x14ac:dyDescent="0.35">
      <c r="A50" s="6">
        <v>2022</v>
      </c>
      <c r="B50" s="7" t="s">
        <v>59</v>
      </c>
      <c r="C50" s="7" t="s">
        <v>6</v>
      </c>
      <c r="D50" s="7" t="s">
        <v>7</v>
      </c>
      <c r="E50" s="7" t="s">
        <v>12</v>
      </c>
      <c r="F50" s="8">
        <v>289640</v>
      </c>
      <c r="G50" s="9">
        <v>24</v>
      </c>
      <c r="H50" s="10" t="s">
        <v>66</v>
      </c>
      <c r="I50" s="5" t="str">
        <f>CHOOSE(MATCH(B50,{"Январь","Февраль","Март","Апрель","Май","Июнь","Июль","Август","Сентябрь","Октябрь","Ноябрь","Декабрь"},0),
"Jan","Feb","Mar","Apr","May","Jun","Jul","Aug","Sep","Oct","Nov","Dec")</f>
        <v>May</v>
      </c>
    </row>
    <row r="51" spans="1:9" x14ac:dyDescent="0.35">
      <c r="A51" s="6">
        <v>2022</v>
      </c>
      <c r="B51" s="7" t="s">
        <v>59</v>
      </c>
      <c r="C51" s="7" t="s">
        <v>10</v>
      </c>
      <c r="D51" s="7" t="s">
        <v>14</v>
      </c>
      <c r="E51" s="7" t="s">
        <v>15</v>
      </c>
      <c r="F51" s="8">
        <v>668420</v>
      </c>
      <c r="G51" s="9">
        <v>35</v>
      </c>
      <c r="H51" s="10" t="s">
        <v>67</v>
      </c>
      <c r="I51" s="5" t="str">
        <f>CHOOSE(MATCH(B51,{"Январь","Февраль","Март","Апрель","Май","Июнь","Июль","Август","Сентябрь","Октябрь","Ноябрь","Декабрь"},0),
"Jan","Feb","Mar","Apr","May","Jun","Jul","Aug","Sep","Oct","Nov","Dec")</f>
        <v>May</v>
      </c>
    </row>
    <row r="52" spans="1:9" x14ac:dyDescent="0.35">
      <c r="A52" s="6">
        <v>2022</v>
      </c>
      <c r="B52" s="7" t="s">
        <v>59</v>
      </c>
      <c r="C52" s="7" t="s">
        <v>2</v>
      </c>
      <c r="D52" s="7" t="s">
        <v>14</v>
      </c>
      <c r="E52" s="7" t="s">
        <v>4</v>
      </c>
      <c r="F52" s="8">
        <v>402320</v>
      </c>
      <c r="G52" s="9">
        <v>21</v>
      </c>
      <c r="H52" s="10" t="s">
        <v>68</v>
      </c>
      <c r="I52" s="5" t="str">
        <f>CHOOSE(MATCH(B52,{"Январь","Февраль","Март","Апрель","Май","Июнь","Июль","Август","Сентябрь","Октябрь","Ноябрь","Декабрь"},0),
"Jan","Feb","Mar","Apr","May","Jun","Jul","Aug","Sep","Oct","Nov","Dec")</f>
        <v>May</v>
      </c>
    </row>
    <row r="53" spans="1:9" x14ac:dyDescent="0.35">
      <c r="A53" s="6">
        <v>2022</v>
      </c>
      <c r="B53" s="7" t="s">
        <v>59</v>
      </c>
      <c r="C53" s="7" t="s">
        <v>17</v>
      </c>
      <c r="D53" s="7" t="s">
        <v>3</v>
      </c>
      <c r="E53" s="7" t="s">
        <v>8</v>
      </c>
      <c r="F53" s="8">
        <v>242500</v>
      </c>
      <c r="G53" s="9">
        <v>12</v>
      </c>
      <c r="H53" s="10" t="s">
        <v>69</v>
      </c>
      <c r="I53" s="5" t="str">
        <f>CHOOSE(MATCH(B53,{"Январь","Февраль","Март","Апрель","Май","Июнь","Июль","Август","Сентябрь","Октябрь","Ноябрь","Декабрь"},0),
"Jan","Feb","Mar","Apr","May","Jun","Jul","Aug","Sep","Oct","Nov","Dec")</f>
        <v>May</v>
      </c>
    </row>
    <row r="54" spans="1:9" x14ac:dyDescent="0.35">
      <c r="A54" s="6">
        <v>2022</v>
      </c>
      <c r="B54" s="7" t="s">
        <v>70</v>
      </c>
      <c r="C54" s="7" t="s">
        <v>10</v>
      </c>
      <c r="D54" s="7" t="s">
        <v>14</v>
      </c>
      <c r="E54" s="7" t="s">
        <v>8</v>
      </c>
      <c r="F54" s="8">
        <v>956590</v>
      </c>
      <c r="G54" s="9">
        <v>37</v>
      </c>
      <c r="H54" s="10" t="s">
        <v>71</v>
      </c>
      <c r="I54" s="5" t="str">
        <f>CHOOSE(MATCH(B54,{"Январь","Февраль","Март","Апрель","Май","Июнь","Июль","Август","Сентябрь","Октябрь","Ноябрь","Декабрь"},0),
"Jan","Feb","Mar","Apr","May","Jun","Jul","Aug","Sep","Oct","Nov","Dec")</f>
        <v>Jun</v>
      </c>
    </row>
    <row r="55" spans="1:9" x14ac:dyDescent="0.35">
      <c r="A55" s="6">
        <v>2022</v>
      </c>
      <c r="B55" s="7" t="s">
        <v>70</v>
      </c>
      <c r="C55" s="7" t="s">
        <v>6</v>
      </c>
      <c r="D55" s="7" t="s">
        <v>11</v>
      </c>
      <c r="E55" s="7" t="s">
        <v>4</v>
      </c>
      <c r="F55" s="8">
        <v>598170</v>
      </c>
      <c r="G55" s="9">
        <v>37</v>
      </c>
      <c r="H55" s="10" t="s">
        <v>72</v>
      </c>
      <c r="I55" s="5" t="str">
        <f>CHOOSE(MATCH(B55,{"Январь","Февраль","Март","Апрель","Май","Июнь","Июль","Август","Сентябрь","Октябрь","Ноябрь","Декабрь"},0),
"Jan","Feb","Mar","Apr","May","Jun","Jul","Aug","Sep","Oct","Nov","Dec")</f>
        <v>Jun</v>
      </c>
    </row>
    <row r="56" spans="1:9" x14ac:dyDescent="0.35">
      <c r="A56" s="6">
        <v>2022</v>
      </c>
      <c r="B56" s="7" t="s">
        <v>70</v>
      </c>
      <c r="C56" s="7" t="s">
        <v>10</v>
      </c>
      <c r="D56" s="7" t="s">
        <v>11</v>
      </c>
      <c r="E56" s="7" t="s">
        <v>4</v>
      </c>
      <c r="F56" s="8">
        <v>558690</v>
      </c>
      <c r="G56" s="9">
        <v>24</v>
      </c>
      <c r="H56" s="10" t="s">
        <v>73</v>
      </c>
      <c r="I56" s="5" t="str">
        <f>CHOOSE(MATCH(B56,{"Январь","Февраль","Март","Апрель","Май","Июнь","Июль","Август","Сентябрь","Октябрь","Ноябрь","Декабрь"},0),
"Jan","Feb","Mar","Apr","May","Jun","Jul","Aug","Sep","Oct","Nov","Dec")</f>
        <v>Jun</v>
      </c>
    </row>
    <row r="57" spans="1:9" x14ac:dyDescent="0.35">
      <c r="A57" s="6">
        <v>2022</v>
      </c>
      <c r="B57" s="7" t="s">
        <v>70</v>
      </c>
      <c r="C57" s="7" t="s">
        <v>2</v>
      </c>
      <c r="D57" s="7" t="s">
        <v>18</v>
      </c>
      <c r="E57" s="7" t="s">
        <v>4</v>
      </c>
      <c r="F57" s="8">
        <v>336610</v>
      </c>
      <c r="G57" s="9">
        <v>18</v>
      </c>
      <c r="H57" s="10" t="s">
        <v>74</v>
      </c>
      <c r="I57" s="5" t="str">
        <f>CHOOSE(MATCH(B57,{"Январь","Февраль","Март","Апрель","Май","Июнь","Июль","Август","Сентябрь","Октябрь","Ноябрь","Декабрь"},0),
"Jan","Feb","Mar","Apr","May","Jun","Jul","Aug","Sep","Oct","Nov","Dec")</f>
        <v>Jun</v>
      </c>
    </row>
    <row r="58" spans="1:9" x14ac:dyDescent="0.35">
      <c r="A58" s="6">
        <v>2022</v>
      </c>
      <c r="B58" s="7" t="s">
        <v>70</v>
      </c>
      <c r="C58" s="7" t="s">
        <v>2</v>
      </c>
      <c r="D58" s="7" t="s">
        <v>18</v>
      </c>
      <c r="E58" s="7" t="s">
        <v>12</v>
      </c>
      <c r="F58" s="8">
        <v>346820</v>
      </c>
      <c r="G58" s="9">
        <v>26</v>
      </c>
      <c r="H58" s="10" t="s">
        <v>75</v>
      </c>
      <c r="I58" s="5" t="str">
        <f>CHOOSE(MATCH(B58,{"Январь","Февраль","Март","Апрель","Май","Июнь","Июль","Август","Сентябрь","Октябрь","Ноябрь","Декабрь"},0),
"Jan","Feb","Mar","Apr","May","Jun","Jul","Aug","Sep","Oct","Nov","Dec")</f>
        <v>Jun</v>
      </c>
    </row>
    <row r="59" spans="1:9" x14ac:dyDescent="0.35">
      <c r="A59" s="6">
        <v>2022</v>
      </c>
      <c r="B59" s="7" t="s">
        <v>70</v>
      </c>
      <c r="C59" s="7" t="s">
        <v>2</v>
      </c>
      <c r="D59" s="7" t="s">
        <v>18</v>
      </c>
      <c r="E59" s="7" t="s">
        <v>15</v>
      </c>
      <c r="F59" s="8">
        <v>585450</v>
      </c>
      <c r="G59" s="9">
        <v>36</v>
      </c>
      <c r="H59" s="10" t="s">
        <v>76</v>
      </c>
      <c r="I59" s="5" t="str">
        <f>CHOOSE(MATCH(B59,{"Январь","Февраль","Март","Апрель","Май","Июнь","Июль","Август","Сентябрь","Октябрь","Ноябрь","Декабрь"},0),
"Jan","Feb","Mar","Apr","May","Jun","Jul","Aug","Sep","Oct","Nov","Dec")</f>
        <v>Jun</v>
      </c>
    </row>
    <row r="60" spans="1:9" x14ac:dyDescent="0.35">
      <c r="A60" s="6">
        <v>2022</v>
      </c>
      <c r="B60" s="7" t="s">
        <v>70</v>
      </c>
      <c r="C60" s="7" t="s">
        <v>10</v>
      </c>
      <c r="D60" s="7" t="s">
        <v>18</v>
      </c>
      <c r="E60" s="7" t="s">
        <v>12</v>
      </c>
      <c r="F60" s="8">
        <v>507640</v>
      </c>
      <c r="G60" s="9">
        <v>32</v>
      </c>
      <c r="H60" s="10" t="s">
        <v>77</v>
      </c>
      <c r="I60" s="5" t="str">
        <f>CHOOSE(MATCH(B60,{"Январь","Февраль","Март","Апрель","Май","Июнь","Июль","Август","Сентябрь","Октябрь","Ноябрь","Декабрь"},0),
"Jan","Feb","Mar","Apr","May","Jun","Jul","Aug","Sep","Oct","Nov","Dec")</f>
        <v>Jun</v>
      </c>
    </row>
    <row r="61" spans="1:9" x14ac:dyDescent="0.35">
      <c r="A61" s="6">
        <v>2022</v>
      </c>
      <c r="B61" s="7" t="s">
        <v>70</v>
      </c>
      <c r="C61" s="7" t="s">
        <v>17</v>
      </c>
      <c r="D61" s="7" t="s">
        <v>14</v>
      </c>
      <c r="E61" s="7" t="s">
        <v>8</v>
      </c>
      <c r="F61" s="8">
        <v>700190</v>
      </c>
      <c r="G61" s="9">
        <v>34</v>
      </c>
      <c r="H61" s="10" t="s">
        <v>78</v>
      </c>
      <c r="I61" s="5" t="str">
        <f>CHOOSE(MATCH(B61,{"Январь","Февраль","Март","Апрель","Май","Июнь","Июль","Август","Сентябрь","Октябрь","Ноябрь","Декабрь"},0),
"Jan","Feb","Mar","Apr","May","Jun","Jul","Aug","Sep","Oct","Nov","Dec")</f>
        <v>Jun</v>
      </c>
    </row>
    <row r="62" spans="1:9" x14ac:dyDescent="0.35">
      <c r="A62" s="6">
        <v>2022</v>
      </c>
      <c r="B62" s="7" t="s">
        <v>70</v>
      </c>
      <c r="C62" s="7" t="s">
        <v>10</v>
      </c>
      <c r="D62" s="7" t="s">
        <v>7</v>
      </c>
      <c r="E62" s="7" t="s">
        <v>15</v>
      </c>
      <c r="F62" s="8">
        <v>494240</v>
      </c>
      <c r="G62" s="9">
        <v>27</v>
      </c>
      <c r="H62" s="10" t="s">
        <v>79</v>
      </c>
      <c r="I62" s="5" t="str">
        <f>CHOOSE(MATCH(B62,{"Январь","Февраль","Март","Апрель","Май","Июнь","Июль","Август","Сентябрь","Октябрь","Ноябрь","Декабрь"},0),
"Jan","Feb","Mar","Apr","May","Jun","Jul","Aug","Sep","Oct","Nov","Dec")</f>
        <v>Jun</v>
      </c>
    </row>
    <row r="63" spans="1:9" x14ac:dyDescent="0.35">
      <c r="A63" s="6">
        <v>2022</v>
      </c>
      <c r="B63" s="7" t="s">
        <v>70</v>
      </c>
      <c r="C63" s="7" t="s">
        <v>6</v>
      </c>
      <c r="D63" s="7" t="s">
        <v>14</v>
      </c>
      <c r="E63" s="7" t="s">
        <v>8</v>
      </c>
      <c r="F63" s="8">
        <v>547240</v>
      </c>
      <c r="G63" s="9">
        <v>29</v>
      </c>
      <c r="H63" s="10" t="s">
        <v>80</v>
      </c>
      <c r="I63" s="5" t="str">
        <f>CHOOSE(MATCH(B63,{"Январь","Февраль","Март","Апрель","Май","Июнь","Июль","Август","Сентябрь","Октябрь","Ноябрь","Декабрь"},0),
"Jan","Feb","Mar","Apr","May","Jun","Jul","Aug","Sep","Oct","Nov","Dec")</f>
        <v>Jun</v>
      </c>
    </row>
    <row r="64" spans="1:9" x14ac:dyDescent="0.35">
      <c r="A64" s="6">
        <v>2022</v>
      </c>
      <c r="B64" s="7" t="s">
        <v>81</v>
      </c>
      <c r="C64" s="7" t="s">
        <v>2</v>
      </c>
      <c r="D64" s="7" t="s">
        <v>18</v>
      </c>
      <c r="E64" s="7" t="s">
        <v>8</v>
      </c>
      <c r="F64" s="8">
        <v>344860</v>
      </c>
      <c r="G64" s="9">
        <v>16</v>
      </c>
      <c r="H64" s="10" t="s">
        <v>82</v>
      </c>
      <c r="I64" s="5" t="str">
        <f>CHOOSE(MATCH(B64,{"Январь","Февраль","Март","Апрель","Май","Июнь","Июль","Август","Сентябрь","Октябрь","Ноябрь","Декабрь"},0),
"Jan","Feb","Mar","Apr","May","Jun","Jul","Aug","Sep","Oct","Nov","Dec")</f>
        <v>Jul</v>
      </c>
    </row>
    <row r="65" spans="1:9" x14ac:dyDescent="0.35">
      <c r="A65" s="6">
        <v>2022</v>
      </c>
      <c r="B65" s="7" t="s">
        <v>81</v>
      </c>
      <c r="C65" s="7" t="s">
        <v>10</v>
      </c>
      <c r="D65" s="7" t="s">
        <v>14</v>
      </c>
      <c r="E65" s="7" t="s">
        <v>12</v>
      </c>
      <c r="F65" s="8">
        <v>249820</v>
      </c>
      <c r="G65" s="9">
        <v>16</v>
      </c>
      <c r="H65" s="10" t="s">
        <v>83</v>
      </c>
      <c r="I65" s="5" t="str">
        <f>CHOOSE(MATCH(B65,{"Январь","Февраль","Март","Апрель","Май","Июнь","Июль","Август","Сентябрь","Октябрь","Ноябрь","Декабрь"},0),
"Jan","Feb","Mar","Apr","May","Jun","Jul","Aug","Sep","Oct","Nov","Dec")</f>
        <v>Jul</v>
      </c>
    </row>
    <row r="66" spans="1:9" x14ac:dyDescent="0.35">
      <c r="A66" s="6">
        <v>2022</v>
      </c>
      <c r="B66" s="7" t="s">
        <v>81</v>
      </c>
      <c r="C66" s="7" t="s">
        <v>22</v>
      </c>
      <c r="D66" s="7" t="s">
        <v>7</v>
      </c>
      <c r="E66" s="7" t="s">
        <v>15</v>
      </c>
      <c r="F66" s="8">
        <v>349440</v>
      </c>
      <c r="G66" s="9">
        <v>27</v>
      </c>
      <c r="H66" s="10" t="s">
        <v>84</v>
      </c>
      <c r="I66" s="5" t="str">
        <f>CHOOSE(MATCH(B66,{"Январь","Февраль","Март","Апрель","Май","Июнь","Июль","Август","Сентябрь","Октябрь","Ноябрь","Декабрь"},0),
"Jan","Feb","Mar","Apr","May","Jun","Jul","Aug","Sep","Oct","Nov","Dec")</f>
        <v>Jul</v>
      </c>
    </row>
    <row r="67" spans="1:9" x14ac:dyDescent="0.35">
      <c r="A67" s="6">
        <v>2022</v>
      </c>
      <c r="B67" s="7" t="s">
        <v>81</v>
      </c>
      <c r="C67" s="7" t="s">
        <v>6</v>
      </c>
      <c r="D67" s="7" t="s">
        <v>14</v>
      </c>
      <c r="E67" s="7" t="s">
        <v>4</v>
      </c>
      <c r="F67" s="8">
        <v>245390</v>
      </c>
      <c r="G67" s="9">
        <v>16</v>
      </c>
      <c r="H67" s="10" t="s">
        <v>85</v>
      </c>
      <c r="I67" s="5" t="str">
        <f>CHOOSE(MATCH(B67,{"Январь","Февраль","Март","Апрель","Май","Июнь","Июль","Август","Сентябрь","Октябрь","Ноябрь","Декабрь"},0),
"Jan","Feb","Mar","Apr","May","Jun","Jul","Aug","Sep","Oct","Nov","Dec")</f>
        <v>Jul</v>
      </c>
    </row>
    <row r="68" spans="1:9" x14ac:dyDescent="0.35">
      <c r="A68" s="6">
        <v>2022</v>
      </c>
      <c r="B68" s="7" t="s">
        <v>81</v>
      </c>
      <c r="C68" s="7" t="s">
        <v>17</v>
      </c>
      <c r="D68" s="7" t="s">
        <v>3</v>
      </c>
      <c r="E68" s="7" t="s">
        <v>12</v>
      </c>
      <c r="F68" s="8">
        <v>217110</v>
      </c>
      <c r="G68" s="9">
        <v>16</v>
      </c>
      <c r="H68" s="10" t="s">
        <v>86</v>
      </c>
      <c r="I68" s="5" t="str">
        <f>CHOOSE(MATCH(B68,{"Январь","Февраль","Март","Апрель","Май","Июнь","Июль","Август","Сентябрь","Октябрь","Ноябрь","Декабрь"},0),
"Jan","Feb","Mar","Apr","May","Jun","Jul","Aug","Sep","Oct","Nov","Dec")</f>
        <v>Jul</v>
      </c>
    </row>
    <row r="69" spans="1:9" x14ac:dyDescent="0.35">
      <c r="A69" s="6">
        <v>2022</v>
      </c>
      <c r="B69" s="7" t="s">
        <v>81</v>
      </c>
      <c r="C69" s="7" t="s">
        <v>6</v>
      </c>
      <c r="D69" s="7" t="s">
        <v>11</v>
      </c>
      <c r="E69" s="7" t="s">
        <v>8</v>
      </c>
      <c r="F69" s="8">
        <v>729190</v>
      </c>
      <c r="G69" s="9">
        <v>38</v>
      </c>
      <c r="H69" s="10" t="s">
        <v>87</v>
      </c>
      <c r="I69" s="5" t="str">
        <f>CHOOSE(MATCH(B69,{"Январь","Февраль","Март","Апрель","Май","Июнь","Июль","Август","Сентябрь","Октябрь","Ноябрь","Декабрь"},0),
"Jan","Feb","Mar","Apr","May","Jun","Jul","Aug","Sep","Oct","Nov","Dec")</f>
        <v>Jul</v>
      </c>
    </row>
    <row r="70" spans="1:9" x14ac:dyDescent="0.35">
      <c r="A70" s="6">
        <v>2022</v>
      </c>
      <c r="B70" s="7" t="s">
        <v>81</v>
      </c>
      <c r="C70" s="7" t="s">
        <v>17</v>
      </c>
      <c r="D70" s="7" t="s">
        <v>14</v>
      </c>
      <c r="E70" s="7" t="s">
        <v>4</v>
      </c>
      <c r="F70" s="8">
        <v>709350</v>
      </c>
      <c r="G70" s="9">
        <v>39</v>
      </c>
      <c r="H70" s="10" t="s">
        <v>88</v>
      </c>
      <c r="I70" s="5" t="str">
        <f>CHOOSE(MATCH(B70,{"Январь","Февраль","Март","Апрель","Май","Июнь","Июль","Август","Сентябрь","Октябрь","Ноябрь","Декабрь"},0),
"Jan","Feb","Mar","Apr","May","Jun","Jul","Aug","Sep","Oct","Nov","Dec")</f>
        <v>Jul</v>
      </c>
    </row>
    <row r="71" spans="1:9" x14ac:dyDescent="0.35">
      <c r="A71" s="6">
        <v>2022</v>
      </c>
      <c r="B71" s="7" t="s">
        <v>81</v>
      </c>
      <c r="C71" s="7" t="s">
        <v>6</v>
      </c>
      <c r="D71" s="7" t="s">
        <v>3</v>
      </c>
      <c r="E71" s="7" t="s">
        <v>8</v>
      </c>
      <c r="F71" s="8">
        <v>272920</v>
      </c>
      <c r="G71" s="9">
        <v>15</v>
      </c>
      <c r="H71" s="10" t="s">
        <v>89</v>
      </c>
      <c r="I71" s="5" t="str">
        <f>CHOOSE(MATCH(B71,{"Январь","Февраль","Март","Апрель","Май","Июнь","Июль","Август","Сентябрь","Октябрь","Ноябрь","Декабрь"},0),
"Jan","Feb","Mar","Apr","May","Jun","Jul","Aug","Sep","Oct","Nov","Dec")</f>
        <v>Jul</v>
      </c>
    </row>
    <row r="72" spans="1:9" x14ac:dyDescent="0.35">
      <c r="A72" s="6">
        <v>2022</v>
      </c>
      <c r="B72" s="7" t="s">
        <v>81</v>
      </c>
      <c r="C72" s="7" t="s">
        <v>2</v>
      </c>
      <c r="D72" s="7" t="s">
        <v>14</v>
      </c>
      <c r="E72" s="7" t="s">
        <v>15</v>
      </c>
      <c r="F72" s="8">
        <v>277500</v>
      </c>
      <c r="G72" s="9">
        <v>17</v>
      </c>
      <c r="H72" s="10" t="s">
        <v>90</v>
      </c>
      <c r="I72" s="5" t="str">
        <f>CHOOSE(MATCH(B72,{"Январь","Февраль","Март","Апрель","Май","Июнь","Июль","Август","Сентябрь","Октябрь","Ноябрь","Декабрь"},0),
"Jan","Feb","Mar","Apr","May","Jun","Jul","Aug","Sep","Oct","Nov","Dec")</f>
        <v>Jul</v>
      </c>
    </row>
    <row r="73" spans="1:9" x14ac:dyDescent="0.35">
      <c r="A73" s="6">
        <v>2022</v>
      </c>
      <c r="B73" s="7" t="s">
        <v>81</v>
      </c>
      <c r="C73" s="7" t="s">
        <v>17</v>
      </c>
      <c r="D73" s="7" t="s">
        <v>18</v>
      </c>
      <c r="E73" s="7" t="s">
        <v>12</v>
      </c>
      <c r="F73" s="8">
        <v>365980</v>
      </c>
      <c r="G73" s="9">
        <v>28</v>
      </c>
      <c r="H73" s="10" t="s">
        <v>91</v>
      </c>
      <c r="I73" s="5" t="str">
        <f>CHOOSE(MATCH(B73,{"Январь","Февраль","Март","Апрель","Май","Июнь","Июль","Август","Сентябрь","Октябрь","Ноябрь","Декабрь"},0),
"Jan","Feb","Mar","Apr","May","Jun","Jul","Aug","Sep","Oct","Nov","Dec")</f>
        <v>Jul</v>
      </c>
    </row>
    <row r="74" spans="1:9" x14ac:dyDescent="0.35">
      <c r="A74" s="6">
        <v>2022</v>
      </c>
      <c r="B74" s="7" t="s">
        <v>92</v>
      </c>
      <c r="C74" s="7" t="s">
        <v>10</v>
      </c>
      <c r="D74" s="7" t="s">
        <v>14</v>
      </c>
      <c r="E74" s="7" t="s">
        <v>8</v>
      </c>
      <c r="F74" s="8">
        <v>391170</v>
      </c>
      <c r="G74" s="9">
        <v>15</v>
      </c>
      <c r="H74" s="10" t="s">
        <v>93</v>
      </c>
      <c r="I74" s="5" t="str">
        <f>CHOOSE(MATCH(B74,{"Январь","Февраль","Март","Апрель","Май","Июнь","Июль","Август","Сентябрь","Октябрь","Ноябрь","Декабрь"},0),
"Jan","Feb","Mar","Apr","May","Jun","Jul","Aug","Sep","Oct","Nov","Dec")</f>
        <v>Aug</v>
      </c>
    </row>
    <row r="75" spans="1:9" x14ac:dyDescent="0.35">
      <c r="A75" s="6">
        <v>2022</v>
      </c>
      <c r="B75" s="7" t="s">
        <v>92</v>
      </c>
      <c r="C75" s="7" t="s">
        <v>2</v>
      </c>
      <c r="D75" s="7" t="s">
        <v>11</v>
      </c>
      <c r="E75" s="7" t="s">
        <v>12</v>
      </c>
      <c r="F75" s="8">
        <v>504280</v>
      </c>
      <c r="G75" s="9">
        <v>34</v>
      </c>
      <c r="H75" s="10" t="s">
        <v>94</v>
      </c>
      <c r="I75" s="5" t="str">
        <f>CHOOSE(MATCH(B75,{"Январь","Февраль","Март","Апрель","Май","Июнь","Июль","Август","Сентябрь","Октябрь","Ноябрь","Декабрь"},0),
"Jan","Feb","Mar","Apr","May","Jun","Jul","Aug","Sep","Oct","Nov","Dec")</f>
        <v>Aug</v>
      </c>
    </row>
    <row r="76" spans="1:9" x14ac:dyDescent="0.35">
      <c r="A76" s="6">
        <v>2022</v>
      </c>
      <c r="B76" s="7" t="s">
        <v>92</v>
      </c>
      <c r="C76" s="7" t="s">
        <v>17</v>
      </c>
      <c r="D76" s="7" t="s">
        <v>7</v>
      </c>
      <c r="E76" s="7" t="s">
        <v>4</v>
      </c>
      <c r="F76" s="8">
        <v>525930</v>
      </c>
      <c r="G76" s="9">
        <v>29</v>
      </c>
      <c r="H76" s="10" t="s">
        <v>95</v>
      </c>
      <c r="I76" s="5" t="str">
        <f>CHOOSE(MATCH(B76,{"Январь","Февраль","Март","Апрель","Май","Июнь","Июль","Август","Сентябрь","Октябрь","Ноябрь","Декабрь"},0),
"Jan","Feb","Mar","Apr","May","Jun","Jul","Aug","Sep","Oct","Nov","Dec")</f>
        <v>Aug</v>
      </c>
    </row>
    <row r="77" spans="1:9" x14ac:dyDescent="0.35">
      <c r="A77" s="6">
        <v>2022</v>
      </c>
      <c r="B77" s="7" t="s">
        <v>92</v>
      </c>
      <c r="C77" s="7" t="s">
        <v>22</v>
      </c>
      <c r="D77" s="7" t="s">
        <v>11</v>
      </c>
      <c r="E77" s="7" t="s">
        <v>4</v>
      </c>
      <c r="F77" s="8">
        <v>439620</v>
      </c>
      <c r="G77" s="9">
        <v>29</v>
      </c>
      <c r="H77" s="10" t="s">
        <v>96</v>
      </c>
      <c r="I77" s="5" t="str">
        <f>CHOOSE(MATCH(B77,{"Январь","Февраль","Март","Апрель","Май","Июнь","Июль","Август","Сентябрь","Октябрь","Ноябрь","Декабрь"},0),
"Jan","Feb","Mar","Apr","May","Jun","Jul","Aug","Sep","Oct","Nov","Dec")</f>
        <v>Aug</v>
      </c>
    </row>
    <row r="78" spans="1:9" x14ac:dyDescent="0.35">
      <c r="A78" s="6">
        <v>2022</v>
      </c>
      <c r="B78" s="7" t="s">
        <v>92</v>
      </c>
      <c r="C78" s="7" t="s">
        <v>17</v>
      </c>
      <c r="D78" s="7" t="s">
        <v>14</v>
      </c>
      <c r="E78" s="7" t="s">
        <v>8</v>
      </c>
      <c r="F78" s="8">
        <v>777640</v>
      </c>
      <c r="G78" s="9">
        <v>38</v>
      </c>
      <c r="H78" s="10" t="s">
        <v>97</v>
      </c>
      <c r="I78" s="5" t="str">
        <f>CHOOSE(MATCH(B78,{"Январь","Февраль","Март","Апрель","Май","Июнь","Июль","Август","Сентябрь","Октябрь","Ноябрь","Декабрь"},0),
"Jan","Feb","Mar","Apr","May","Jun","Jul","Aug","Sep","Oct","Nov","Dec")</f>
        <v>Aug</v>
      </c>
    </row>
    <row r="79" spans="1:9" x14ac:dyDescent="0.35">
      <c r="A79" s="6">
        <v>2022</v>
      </c>
      <c r="B79" s="7" t="s">
        <v>92</v>
      </c>
      <c r="C79" s="7" t="s">
        <v>2</v>
      </c>
      <c r="D79" s="7" t="s">
        <v>7</v>
      </c>
      <c r="E79" s="7" t="s">
        <v>4</v>
      </c>
      <c r="F79" s="8">
        <v>340430</v>
      </c>
      <c r="G79" s="9">
        <v>19</v>
      </c>
      <c r="H79" s="10" t="s">
        <v>98</v>
      </c>
      <c r="I79" s="5" t="str">
        <f>CHOOSE(MATCH(B79,{"Январь","Февраль","Март","Апрель","Май","Июнь","Июль","Август","Сентябрь","Октябрь","Ноябрь","Декабрь"},0),
"Jan","Feb","Mar","Apr","May","Jun","Jul","Aug","Sep","Oct","Nov","Dec")</f>
        <v>Aug</v>
      </c>
    </row>
    <row r="80" spans="1:9" x14ac:dyDescent="0.35">
      <c r="A80" s="6">
        <v>2022</v>
      </c>
      <c r="B80" s="7" t="s">
        <v>92</v>
      </c>
      <c r="C80" s="7" t="s">
        <v>17</v>
      </c>
      <c r="D80" s="7" t="s">
        <v>11</v>
      </c>
      <c r="E80" s="7" t="s">
        <v>8</v>
      </c>
      <c r="F80" s="8">
        <v>469960</v>
      </c>
      <c r="G80" s="9">
        <v>22</v>
      </c>
      <c r="H80" s="10" t="s">
        <v>99</v>
      </c>
      <c r="I80" s="5" t="str">
        <f>CHOOSE(MATCH(B80,{"Январь","Февраль","Март","Апрель","Май","Июнь","Июль","Август","Сентябрь","Октябрь","Ноябрь","Декабрь"},0),
"Jan","Feb","Mar","Apr","May","Jun","Jul","Aug","Sep","Oct","Nov","Dec")</f>
        <v>Aug</v>
      </c>
    </row>
    <row r="81" spans="1:9" x14ac:dyDescent="0.35">
      <c r="A81" s="6">
        <v>2022</v>
      </c>
      <c r="B81" s="7" t="s">
        <v>92</v>
      </c>
      <c r="C81" s="7" t="s">
        <v>22</v>
      </c>
      <c r="D81" s="7" t="s">
        <v>7</v>
      </c>
      <c r="E81" s="7" t="s">
        <v>15</v>
      </c>
      <c r="F81" s="8">
        <v>205960</v>
      </c>
      <c r="G81" s="9">
        <v>15</v>
      </c>
      <c r="H81" s="10" t="s">
        <v>100</v>
      </c>
      <c r="I81" s="5" t="str">
        <f>CHOOSE(MATCH(B81,{"Январь","Февраль","Март","Апрель","Май","Июнь","Июль","Август","Сентябрь","Октябрь","Ноябрь","Декабрь"},0),
"Jan","Feb","Mar","Apr","May","Jun","Jul","Aug","Sep","Oct","Nov","Dec")</f>
        <v>Aug</v>
      </c>
    </row>
    <row r="82" spans="1:9" x14ac:dyDescent="0.35">
      <c r="A82" s="6">
        <v>2022</v>
      </c>
      <c r="B82" s="7" t="s">
        <v>92</v>
      </c>
      <c r="C82" s="7" t="s">
        <v>6</v>
      </c>
      <c r="D82" s="7" t="s">
        <v>14</v>
      </c>
      <c r="E82" s="7" t="s">
        <v>4</v>
      </c>
      <c r="F82" s="8">
        <v>439200</v>
      </c>
      <c r="G82" s="9">
        <v>26</v>
      </c>
      <c r="H82" s="10" t="s">
        <v>101</v>
      </c>
      <c r="I82" s="5" t="str">
        <f>CHOOSE(MATCH(B82,{"Январь","Февраль","Март","Апрель","Май","Июнь","Июль","Август","Сентябрь","Октябрь","Ноябрь","Декабрь"},0),
"Jan","Feb","Mar","Apr","May","Jun","Jul","Aug","Sep","Oct","Nov","Dec")</f>
        <v>Aug</v>
      </c>
    </row>
    <row r="83" spans="1:9" x14ac:dyDescent="0.35">
      <c r="A83" s="6">
        <v>2022</v>
      </c>
      <c r="B83" s="7" t="s">
        <v>92</v>
      </c>
      <c r="C83" s="7" t="s">
        <v>2</v>
      </c>
      <c r="D83" s="7" t="s">
        <v>14</v>
      </c>
      <c r="E83" s="7" t="s">
        <v>12</v>
      </c>
      <c r="F83" s="8">
        <v>420700</v>
      </c>
      <c r="G83" s="9">
        <v>29</v>
      </c>
      <c r="H83" s="10" t="s">
        <v>102</v>
      </c>
      <c r="I83" s="5" t="str">
        <f>CHOOSE(MATCH(B83,{"Январь","Февраль","Март","Апрель","Май","Июнь","Июль","Август","Сентябрь","Октябрь","Ноябрь","Декабрь"},0),
"Jan","Feb","Mar","Apr","May","Jun","Jul","Aug","Sep","Oct","Nov","Dec")</f>
        <v>Aug</v>
      </c>
    </row>
    <row r="84" spans="1:9" x14ac:dyDescent="0.35">
      <c r="A84" s="6">
        <v>2022</v>
      </c>
      <c r="B84" s="7" t="s">
        <v>103</v>
      </c>
      <c r="C84" s="7" t="s">
        <v>6</v>
      </c>
      <c r="D84" s="7" t="s">
        <v>7</v>
      </c>
      <c r="E84" s="7" t="s">
        <v>12</v>
      </c>
      <c r="F84" s="8">
        <v>348110</v>
      </c>
      <c r="G84" s="9">
        <v>29</v>
      </c>
      <c r="H84" s="10" t="s">
        <v>104</v>
      </c>
      <c r="I84" s="5" t="str">
        <f>CHOOSE(MATCH(B84,{"Январь","Февраль","Март","Апрель","Май","Июнь","Июль","Август","Сентябрь","Октябрь","Ноябрь","Декабрь"},0),
"Jan","Feb","Mar","Apr","May","Jun","Jul","Aug","Sep","Oct","Nov","Dec")</f>
        <v>Sep</v>
      </c>
    </row>
    <row r="85" spans="1:9" x14ac:dyDescent="0.35">
      <c r="A85" s="6">
        <v>2022</v>
      </c>
      <c r="B85" s="7" t="s">
        <v>103</v>
      </c>
      <c r="C85" s="7" t="s">
        <v>17</v>
      </c>
      <c r="D85" s="7" t="s">
        <v>18</v>
      </c>
      <c r="E85" s="7" t="s">
        <v>12</v>
      </c>
      <c r="F85" s="8">
        <v>318760</v>
      </c>
      <c r="G85" s="9">
        <v>23</v>
      </c>
      <c r="H85" s="10" t="s">
        <v>105</v>
      </c>
      <c r="I85" s="5" t="str">
        <f>CHOOSE(MATCH(B85,{"Январь","Февраль","Март","Апрель","Май","Июнь","Июль","Август","Сентябрь","Октябрь","Ноябрь","Декабрь"},0),
"Jan","Feb","Mar","Apr","May","Jun","Jul","Aug","Sep","Oct","Nov","Dec")</f>
        <v>Sep</v>
      </c>
    </row>
    <row r="86" spans="1:9" x14ac:dyDescent="0.35">
      <c r="A86" s="6">
        <v>2022</v>
      </c>
      <c r="B86" s="7" t="s">
        <v>103</v>
      </c>
      <c r="C86" s="7" t="s">
        <v>17</v>
      </c>
      <c r="D86" s="7" t="s">
        <v>14</v>
      </c>
      <c r="E86" s="7" t="s">
        <v>8</v>
      </c>
      <c r="F86" s="8">
        <v>263220</v>
      </c>
      <c r="G86" s="9">
        <v>13</v>
      </c>
      <c r="H86" s="10" t="s">
        <v>106</v>
      </c>
      <c r="I86" s="5" t="str">
        <f>CHOOSE(MATCH(B86,{"Январь","Февраль","Март","Апрель","Май","Июнь","Июль","Август","Сентябрь","Октябрь","Ноябрь","Декабрь"},0),
"Jan","Feb","Mar","Apr","May","Jun","Jul","Aug","Sep","Oct","Nov","Dec")</f>
        <v>Sep</v>
      </c>
    </row>
    <row r="87" spans="1:9" x14ac:dyDescent="0.35">
      <c r="A87" s="6">
        <v>2022</v>
      </c>
      <c r="B87" s="7" t="s">
        <v>103</v>
      </c>
      <c r="C87" s="7" t="s">
        <v>2</v>
      </c>
      <c r="D87" s="7" t="s">
        <v>11</v>
      </c>
      <c r="E87" s="7" t="s">
        <v>15</v>
      </c>
      <c r="F87" s="8">
        <v>438740</v>
      </c>
      <c r="G87" s="9">
        <v>27</v>
      </c>
      <c r="H87" s="10" t="s">
        <v>107</v>
      </c>
      <c r="I87" s="5" t="str">
        <f>CHOOSE(MATCH(B87,{"Январь","Февраль","Март","Апрель","Май","Июнь","Июль","Август","Сентябрь","Октябрь","Ноябрь","Декабрь"},0),
"Jan","Feb","Mar","Apr","May","Jun","Jul","Aug","Sep","Oct","Nov","Dec")</f>
        <v>Sep</v>
      </c>
    </row>
    <row r="88" spans="1:9" x14ac:dyDescent="0.35">
      <c r="A88" s="6">
        <v>2022</v>
      </c>
      <c r="B88" s="7" t="s">
        <v>103</v>
      </c>
      <c r="C88" s="7" t="s">
        <v>22</v>
      </c>
      <c r="D88" s="7" t="s">
        <v>11</v>
      </c>
      <c r="E88" s="7" t="s">
        <v>4</v>
      </c>
      <c r="F88" s="8">
        <v>579020</v>
      </c>
      <c r="G88" s="9">
        <v>36</v>
      </c>
      <c r="H88" s="10" t="s">
        <v>108</v>
      </c>
      <c r="I88" s="5" t="str">
        <f>CHOOSE(MATCH(B88,{"Январь","Февраль","Март","Апрель","Май","Июнь","Июль","Август","Сентябрь","Октябрь","Ноябрь","Декабрь"},0),
"Jan","Feb","Mar","Apr","May","Jun","Jul","Aug","Sep","Oct","Nov","Dec")</f>
        <v>Sep</v>
      </c>
    </row>
    <row r="89" spans="1:9" x14ac:dyDescent="0.35">
      <c r="A89" s="6">
        <v>2022</v>
      </c>
      <c r="B89" s="7" t="s">
        <v>103</v>
      </c>
      <c r="C89" s="7" t="s">
        <v>10</v>
      </c>
      <c r="D89" s="7" t="s">
        <v>14</v>
      </c>
      <c r="E89" s="7" t="s">
        <v>4</v>
      </c>
      <c r="F89" s="8">
        <v>826170</v>
      </c>
      <c r="G89" s="9">
        <v>37</v>
      </c>
      <c r="H89" s="10" t="s">
        <v>109</v>
      </c>
      <c r="I89" s="5" t="str">
        <f>CHOOSE(MATCH(B89,{"Январь","Февраль","Март","Апрель","Май","Июнь","Июль","Август","Сентябрь","Октябрь","Ноябрь","Декабрь"},0),
"Jan","Feb","Mar","Apr","May","Jun","Jul","Aug","Sep","Oct","Nov","Dec")</f>
        <v>Sep</v>
      </c>
    </row>
    <row r="90" spans="1:9" x14ac:dyDescent="0.35">
      <c r="A90" s="6">
        <v>2022</v>
      </c>
      <c r="B90" s="7" t="s">
        <v>103</v>
      </c>
      <c r="C90" s="7" t="s">
        <v>17</v>
      </c>
      <c r="D90" s="7" t="s">
        <v>18</v>
      </c>
      <c r="E90" s="7" t="s">
        <v>12</v>
      </c>
      <c r="F90" s="8">
        <v>261580</v>
      </c>
      <c r="G90" s="9">
        <v>20</v>
      </c>
      <c r="H90" s="10" t="s">
        <v>110</v>
      </c>
      <c r="I90" s="5" t="str">
        <f>CHOOSE(MATCH(B90,{"Январь","Февраль","Март","Апрель","Май","Июнь","Июль","Август","Сентябрь","Октябрь","Ноябрь","Декабрь"},0),
"Jan","Feb","Mar","Apr","May","Jun","Jul","Aug","Sep","Oct","Nov","Dec")</f>
        <v>Sep</v>
      </c>
    </row>
    <row r="91" spans="1:9" x14ac:dyDescent="0.35">
      <c r="A91" s="6">
        <v>2022</v>
      </c>
      <c r="B91" s="7" t="s">
        <v>103</v>
      </c>
      <c r="C91" s="7" t="s">
        <v>22</v>
      </c>
      <c r="D91" s="7" t="s">
        <v>7</v>
      </c>
      <c r="E91" s="7" t="s">
        <v>4</v>
      </c>
      <c r="F91" s="8">
        <v>234970</v>
      </c>
      <c r="G91" s="9">
        <v>16</v>
      </c>
      <c r="H91" s="10" t="s">
        <v>111</v>
      </c>
      <c r="I91" s="5" t="str">
        <f>CHOOSE(MATCH(B91,{"Январь","Февраль","Март","Апрель","Май","Июнь","Июль","Август","Сентябрь","Октябрь","Ноябрь","Декабрь"},0),
"Jan","Feb","Mar","Apr","May","Jun","Jul","Aug","Sep","Oct","Nov","Dec")</f>
        <v>Sep</v>
      </c>
    </row>
    <row r="92" spans="1:9" x14ac:dyDescent="0.35">
      <c r="A92" s="6">
        <v>2022</v>
      </c>
      <c r="B92" s="7" t="s">
        <v>103</v>
      </c>
      <c r="C92" s="7" t="s">
        <v>10</v>
      </c>
      <c r="D92" s="7" t="s">
        <v>14</v>
      </c>
      <c r="E92" s="7" t="s">
        <v>12</v>
      </c>
      <c r="F92" s="8">
        <v>310700</v>
      </c>
      <c r="G92" s="9">
        <v>19</v>
      </c>
      <c r="H92" s="10" t="s">
        <v>112</v>
      </c>
      <c r="I92" s="5" t="str">
        <f>CHOOSE(MATCH(B92,{"Январь","Февраль","Март","Апрель","Май","Июнь","Июль","Август","Сентябрь","Октябрь","Ноябрь","Декабрь"},0),
"Jan","Feb","Mar","Apr","May","Jun","Jul","Aug","Sep","Oct","Nov","Dec")</f>
        <v>Sep</v>
      </c>
    </row>
    <row r="93" spans="1:9" x14ac:dyDescent="0.35">
      <c r="A93" s="6">
        <v>2022</v>
      </c>
      <c r="B93" s="7" t="s">
        <v>103</v>
      </c>
      <c r="C93" s="7" t="s">
        <v>2</v>
      </c>
      <c r="D93" s="7" t="s">
        <v>18</v>
      </c>
      <c r="E93" s="7" t="s">
        <v>15</v>
      </c>
      <c r="F93" s="8">
        <v>207950</v>
      </c>
      <c r="G93" s="9">
        <v>13</v>
      </c>
      <c r="H93" s="10" t="s">
        <v>113</v>
      </c>
      <c r="I93" s="5" t="str">
        <f>CHOOSE(MATCH(B93,{"Январь","Февраль","Март","Апрель","Май","Июнь","Июль","Август","Сентябрь","Октябрь","Ноябрь","Декабрь"},0),
"Jan","Feb","Mar","Apr","May","Jun","Jul","Aug","Sep","Oct","Nov","Dec")</f>
        <v>Sep</v>
      </c>
    </row>
    <row r="94" spans="1:9" x14ac:dyDescent="0.35">
      <c r="A94" s="6">
        <v>2022</v>
      </c>
      <c r="B94" s="7" t="s">
        <v>114</v>
      </c>
      <c r="C94" s="7" t="s">
        <v>22</v>
      </c>
      <c r="D94" s="7" t="s">
        <v>18</v>
      </c>
      <c r="E94" s="7" t="s">
        <v>4</v>
      </c>
      <c r="F94" s="8">
        <v>324280</v>
      </c>
      <c r="G94" s="9">
        <v>22</v>
      </c>
      <c r="H94" s="10" t="s">
        <v>115</v>
      </c>
      <c r="I94" s="5" t="str">
        <f>CHOOSE(MATCH(B94,{"Январь","Февраль","Март","Апрель","Май","Июнь","Июль","Август","Сентябрь","Октябрь","Ноябрь","Декабрь"},0),
"Jan","Feb","Mar","Apr","May","Jun","Jul","Aug","Sep","Oct","Nov","Dec")</f>
        <v>Oct</v>
      </c>
    </row>
    <row r="95" spans="1:9" x14ac:dyDescent="0.35">
      <c r="A95" s="6">
        <v>2022</v>
      </c>
      <c r="B95" s="7" t="s">
        <v>114</v>
      </c>
      <c r="C95" s="7" t="s">
        <v>17</v>
      </c>
      <c r="D95" s="7" t="s">
        <v>7</v>
      </c>
      <c r="E95" s="7" t="s">
        <v>15</v>
      </c>
      <c r="F95" s="8">
        <v>561590</v>
      </c>
      <c r="G95" s="9">
        <v>38</v>
      </c>
      <c r="H95" s="10" t="s">
        <v>116</v>
      </c>
      <c r="I95" s="5" t="str">
        <f>CHOOSE(MATCH(B95,{"Январь","Февраль","Март","Апрель","Май","Июнь","Июль","Август","Сентябрь","Октябрь","Ноябрь","Декабрь"},0),
"Jan","Feb","Mar","Apr","May","Jun","Jul","Aug","Sep","Oct","Nov","Dec")</f>
        <v>Oct</v>
      </c>
    </row>
    <row r="96" spans="1:9" x14ac:dyDescent="0.35">
      <c r="A96" s="6">
        <v>2022</v>
      </c>
      <c r="B96" s="7" t="s">
        <v>114</v>
      </c>
      <c r="C96" s="7" t="s">
        <v>2</v>
      </c>
      <c r="D96" s="7" t="s">
        <v>3</v>
      </c>
      <c r="E96" s="7" t="s">
        <v>8</v>
      </c>
      <c r="F96" s="8">
        <v>734730</v>
      </c>
      <c r="G96" s="9">
        <v>32</v>
      </c>
      <c r="H96" s="10" t="s">
        <v>117</v>
      </c>
      <c r="I96" s="5" t="str">
        <f>CHOOSE(MATCH(B96,{"Январь","Февраль","Март","Апрель","Май","Июнь","Июль","Август","Сентябрь","Октябрь","Ноябрь","Декабрь"},0),
"Jan","Feb","Mar","Apr","May","Jun","Jul","Aug","Sep","Oct","Nov","Dec")</f>
        <v>Oct</v>
      </c>
    </row>
    <row r="97" spans="1:9" x14ac:dyDescent="0.35">
      <c r="A97" s="6">
        <v>2022</v>
      </c>
      <c r="B97" s="7" t="s">
        <v>114</v>
      </c>
      <c r="C97" s="7" t="s">
        <v>6</v>
      </c>
      <c r="D97" s="7" t="s">
        <v>11</v>
      </c>
      <c r="E97" s="7" t="s">
        <v>8</v>
      </c>
      <c r="F97" s="8">
        <v>683950</v>
      </c>
      <c r="G97" s="9">
        <v>36</v>
      </c>
      <c r="H97" s="10" t="s">
        <v>118</v>
      </c>
      <c r="I97" s="5" t="str">
        <f>CHOOSE(MATCH(B97,{"Январь","Февраль","Март","Апрель","Май","Июнь","Июль","Август","Сентябрь","Октябрь","Ноябрь","Декабрь"},0),
"Jan","Feb","Mar","Apr","May","Jun","Jul","Aug","Sep","Oct","Nov","Dec")</f>
        <v>Oct</v>
      </c>
    </row>
    <row r="98" spans="1:9" x14ac:dyDescent="0.35">
      <c r="A98" s="6">
        <v>2022</v>
      </c>
      <c r="B98" s="7" t="s">
        <v>114</v>
      </c>
      <c r="C98" s="7" t="s">
        <v>2</v>
      </c>
      <c r="D98" s="7" t="s">
        <v>11</v>
      </c>
      <c r="E98" s="7" t="s">
        <v>4</v>
      </c>
      <c r="F98" s="8">
        <v>498040</v>
      </c>
      <c r="G98" s="9">
        <v>26</v>
      </c>
      <c r="H98" s="10" t="s">
        <v>119</v>
      </c>
      <c r="I98" s="5" t="str">
        <f>CHOOSE(MATCH(B98,{"Январь","Февраль","Март","Апрель","Май","Июнь","Июль","Август","Сентябрь","Октябрь","Ноябрь","Декабрь"},0),
"Jan","Feb","Mar","Apr","May","Jun","Jul","Aug","Sep","Oct","Nov","Dec")</f>
        <v>Oct</v>
      </c>
    </row>
    <row r="99" spans="1:9" x14ac:dyDescent="0.35">
      <c r="A99" s="6">
        <v>2022</v>
      </c>
      <c r="B99" s="7" t="s">
        <v>114</v>
      </c>
      <c r="C99" s="7" t="s">
        <v>6</v>
      </c>
      <c r="D99" s="7" t="s">
        <v>18</v>
      </c>
      <c r="E99" s="7" t="s">
        <v>15</v>
      </c>
      <c r="F99" s="8">
        <v>553490</v>
      </c>
      <c r="G99" s="9">
        <v>41</v>
      </c>
      <c r="H99" s="10" t="s">
        <v>120</v>
      </c>
      <c r="I99" s="5" t="str">
        <f>CHOOSE(MATCH(B99,{"Январь","Февраль","Март","Апрель","Май","Июнь","Июль","Август","Сентябрь","Октябрь","Ноябрь","Декабрь"},0),
"Jan","Feb","Mar","Apr","May","Jun","Jul","Aug","Sep","Oct","Nov","Dec")</f>
        <v>Oct</v>
      </c>
    </row>
    <row r="100" spans="1:9" x14ac:dyDescent="0.35">
      <c r="A100" s="6">
        <v>2022</v>
      </c>
      <c r="B100" s="7" t="s">
        <v>114</v>
      </c>
      <c r="C100" s="7" t="s">
        <v>10</v>
      </c>
      <c r="D100" s="7" t="s">
        <v>11</v>
      </c>
      <c r="E100" s="7" t="s">
        <v>12</v>
      </c>
      <c r="F100" s="8">
        <v>469050</v>
      </c>
      <c r="G100" s="9">
        <v>27</v>
      </c>
      <c r="H100" s="10" t="s">
        <v>121</v>
      </c>
      <c r="I100" s="5" t="str">
        <f>CHOOSE(MATCH(B100,{"Январь","Февраль","Март","Апрель","Май","Июнь","Июль","Август","Сентябрь","Октябрь","Ноябрь","Декабрь"},0),
"Jan","Feb","Mar","Apr","May","Jun","Jul","Aug","Sep","Oct","Nov","Dec")</f>
        <v>Oct</v>
      </c>
    </row>
    <row r="101" spans="1:9" x14ac:dyDescent="0.35">
      <c r="A101" s="6">
        <v>2022</v>
      </c>
      <c r="B101" s="7" t="s">
        <v>114</v>
      </c>
      <c r="C101" s="7" t="s">
        <v>6</v>
      </c>
      <c r="D101" s="7" t="s">
        <v>11</v>
      </c>
      <c r="E101" s="7" t="s">
        <v>15</v>
      </c>
      <c r="F101" s="8">
        <v>314410</v>
      </c>
      <c r="G101" s="9">
        <v>21</v>
      </c>
      <c r="H101" s="10" t="s">
        <v>122</v>
      </c>
      <c r="I101" s="5" t="str">
        <f>CHOOSE(MATCH(B101,{"Январь","Февраль","Март","Апрель","Май","Июнь","Июль","Август","Сентябрь","Октябрь","Ноябрь","Декабрь"},0),
"Jan","Feb","Mar","Apr","May","Jun","Jul","Aug","Sep","Oct","Nov","Dec")</f>
        <v>Oct</v>
      </c>
    </row>
    <row r="102" spans="1:9" x14ac:dyDescent="0.35">
      <c r="A102" s="6">
        <v>2022</v>
      </c>
      <c r="B102" s="7" t="s">
        <v>114</v>
      </c>
      <c r="C102" s="7" t="s">
        <v>6</v>
      </c>
      <c r="D102" s="7" t="s">
        <v>3</v>
      </c>
      <c r="E102" s="7" t="s">
        <v>12</v>
      </c>
      <c r="F102" s="8">
        <v>444330</v>
      </c>
      <c r="G102" s="9">
        <v>37</v>
      </c>
      <c r="H102" s="10" t="s">
        <v>123</v>
      </c>
      <c r="I102" s="5" t="str">
        <f>CHOOSE(MATCH(B102,{"Январь","Февраль","Март","Апрель","Май","Июнь","Июль","Август","Сентябрь","Октябрь","Ноябрь","Декабрь"},0),
"Jan","Feb","Mar","Apr","May","Jun","Jul","Aug","Sep","Oct","Nov","Dec")</f>
        <v>Oct</v>
      </c>
    </row>
    <row r="103" spans="1:9" x14ac:dyDescent="0.35">
      <c r="A103" s="6">
        <v>2022</v>
      </c>
      <c r="B103" s="7" t="s">
        <v>114</v>
      </c>
      <c r="C103" s="7" t="s">
        <v>6</v>
      </c>
      <c r="D103" s="7" t="s">
        <v>7</v>
      </c>
      <c r="E103" s="7" t="s">
        <v>4</v>
      </c>
      <c r="F103" s="8">
        <v>264590</v>
      </c>
      <c r="G103" s="9">
        <v>17</v>
      </c>
      <c r="H103" s="10" t="s">
        <v>124</v>
      </c>
      <c r="I103" s="5" t="str">
        <f>CHOOSE(MATCH(B103,{"Январь","Февраль","Март","Апрель","Май","Июнь","Июль","Август","Сентябрь","Октябрь","Ноябрь","Декабрь"},0),
"Jan","Feb","Mar","Apr","May","Jun","Jul","Aug","Sep","Oct","Nov","Dec")</f>
        <v>Oct</v>
      </c>
    </row>
    <row r="104" spans="1:9" x14ac:dyDescent="0.35">
      <c r="A104" s="6">
        <v>2022</v>
      </c>
      <c r="B104" s="7" t="s">
        <v>125</v>
      </c>
      <c r="C104" s="7" t="s">
        <v>10</v>
      </c>
      <c r="D104" s="7" t="s">
        <v>14</v>
      </c>
      <c r="E104" s="7" t="s">
        <v>8</v>
      </c>
      <c r="F104" s="8">
        <v>698350</v>
      </c>
      <c r="G104" s="9">
        <v>27</v>
      </c>
      <c r="H104" s="10" t="s">
        <v>126</v>
      </c>
      <c r="I104" s="5" t="str">
        <f>CHOOSE(MATCH(B104,{"Январь","Февраль","Март","Апрель","Май","Июнь","Июль","Август","Сентябрь","Октябрь","Ноябрь","Декабрь"},0),
"Jan","Feb","Mar","Apr","May","Jun","Jul","Aug","Sep","Oct","Nov","Dec")</f>
        <v>Nov</v>
      </c>
    </row>
    <row r="105" spans="1:9" x14ac:dyDescent="0.35">
      <c r="A105" s="6">
        <v>2022</v>
      </c>
      <c r="B105" s="7" t="s">
        <v>125</v>
      </c>
      <c r="C105" s="7" t="s">
        <v>10</v>
      </c>
      <c r="D105" s="7" t="s">
        <v>7</v>
      </c>
      <c r="E105" s="7" t="s">
        <v>8</v>
      </c>
      <c r="F105" s="8">
        <v>743230</v>
      </c>
      <c r="G105" s="9">
        <v>30</v>
      </c>
      <c r="H105" s="10" t="s">
        <v>127</v>
      </c>
      <c r="I105" s="5" t="str">
        <f>CHOOSE(MATCH(B105,{"Январь","Февраль","Март","Апрель","Май","Июнь","Июль","Август","Сентябрь","Октябрь","Ноябрь","Декабрь"},0),
"Jan","Feb","Mar","Apr","May","Jun","Jul","Aug","Sep","Oct","Nov","Dec")</f>
        <v>Nov</v>
      </c>
    </row>
    <row r="106" spans="1:9" x14ac:dyDescent="0.35">
      <c r="A106" s="6">
        <v>2022</v>
      </c>
      <c r="B106" s="7" t="s">
        <v>125</v>
      </c>
      <c r="C106" s="7" t="s">
        <v>2</v>
      </c>
      <c r="D106" s="7" t="s">
        <v>14</v>
      </c>
      <c r="E106" s="7" t="s">
        <v>12</v>
      </c>
      <c r="F106" s="8">
        <v>390590</v>
      </c>
      <c r="G106" s="9">
        <v>28</v>
      </c>
      <c r="H106" s="10" t="s">
        <v>128</v>
      </c>
      <c r="I106" s="5" t="str">
        <f>CHOOSE(MATCH(B106,{"Январь","Февраль","Март","Апрель","Май","Июнь","Июль","Август","Сентябрь","Октябрь","Ноябрь","Декабрь"},0),
"Jan","Feb","Mar","Apr","May","Jun","Jul","Aug","Sep","Oct","Nov","Dec")</f>
        <v>Nov</v>
      </c>
    </row>
    <row r="107" spans="1:9" x14ac:dyDescent="0.35">
      <c r="A107" s="6">
        <v>2022</v>
      </c>
      <c r="B107" s="7" t="s">
        <v>125</v>
      </c>
      <c r="C107" s="7" t="s">
        <v>22</v>
      </c>
      <c r="D107" s="7" t="s">
        <v>11</v>
      </c>
      <c r="E107" s="7" t="s">
        <v>8</v>
      </c>
      <c r="F107" s="8">
        <v>620670</v>
      </c>
      <c r="G107" s="9">
        <v>34</v>
      </c>
      <c r="H107" s="10" t="s">
        <v>129</v>
      </c>
      <c r="I107" s="5" t="str">
        <f>CHOOSE(MATCH(B107,{"Январь","Февраль","Март","Апрель","Май","Июнь","Июль","Август","Сентябрь","Октябрь","Ноябрь","Декабрь"},0),
"Jan","Feb","Mar","Apr","May","Jun","Jul","Aug","Sep","Oct","Nov","Dec")</f>
        <v>Nov</v>
      </c>
    </row>
    <row r="108" spans="1:9" x14ac:dyDescent="0.35">
      <c r="A108" s="6">
        <v>2022</v>
      </c>
      <c r="B108" s="7" t="s">
        <v>125</v>
      </c>
      <c r="C108" s="7" t="s">
        <v>6</v>
      </c>
      <c r="D108" s="7" t="s">
        <v>14</v>
      </c>
      <c r="E108" s="7" t="s">
        <v>8</v>
      </c>
      <c r="F108" s="8">
        <v>745810</v>
      </c>
      <c r="G108" s="9">
        <v>39</v>
      </c>
      <c r="H108" s="10" t="s">
        <v>130</v>
      </c>
      <c r="I108" s="5" t="str">
        <f>CHOOSE(MATCH(B108,{"Январь","Февраль","Март","Апрель","Май","Июнь","Июль","Август","Сентябрь","Октябрь","Ноябрь","Декабрь"},0),
"Jan","Feb","Mar","Apr","May","Jun","Jul","Aug","Sep","Oct","Nov","Dec")</f>
        <v>Nov</v>
      </c>
    </row>
    <row r="109" spans="1:9" x14ac:dyDescent="0.35">
      <c r="A109" s="6">
        <v>2022</v>
      </c>
      <c r="B109" s="7" t="s">
        <v>125</v>
      </c>
      <c r="C109" s="7" t="s">
        <v>6</v>
      </c>
      <c r="D109" s="7" t="s">
        <v>11</v>
      </c>
      <c r="E109" s="7" t="s">
        <v>15</v>
      </c>
      <c r="F109" s="8">
        <v>319370</v>
      </c>
      <c r="G109" s="9">
        <v>23</v>
      </c>
      <c r="H109" s="10" t="s">
        <v>131</v>
      </c>
      <c r="I109" s="5" t="str">
        <f>CHOOSE(MATCH(B109,{"Январь","Февраль","Март","Апрель","Май","Июнь","Июль","Август","Сентябрь","Октябрь","Ноябрь","Декабрь"},0),
"Jan","Feb","Mar","Apr","May","Jun","Jul","Aug","Sep","Oct","Nov","Dec")</f>
        <v>Nov</v>
      </c>
    </row>
    <row r="110" spans="1:9" x14ac:dyDescent="0.35">
      <c r="A110" s="6">
        <v>2022</v>
      </c>
      <c r="B110" s="7" t="s">
        <v>125</v>
      </c>
      <c r="C110" s="7" t="s">
        <v>2</v>
      </c>
      <c r="D110" s="7" t="s">
        <v>18</v>
      </c>
      <c r="E110" s="7" t="s">
        <v>15</v>
      </c>
      <c r="F110" s="8">
        <v>254240</v>
      </c>
      <c r="G110" s="9">
        <v>15</v>
      </c>
      <c r="H110" s="10" t="s">
        <v>132</v>
      </c>
      <c r="I110" s="5" t="str">
        <f>CHOOSE(MATCH(B110,{"Январь","Февраль","Март","Апрель","Май","Июнь","Июль","Август","Сентябрь","Октябрь","Ноябрь","Декабрь"},0),
"Jan","Feb","Mar","Apr","May","Jun","Jul","Aug","Sep","Oct","Nov","Dec")</f>
        <v>Nov</v>
      </c>
    </row>
    <row r="111" spans="1:9" x14ac:dyDescent="0.35">
      <c r="A111" s="6">
        <v>2022</v>
      </c>
      <c r="B111" s="7" t="s">
        <v>125</v>
      </c>
      <c r="C111" s="7" t="s">
        <v>10</v>
      </c>
      <c r="D111" s="7" t="s">
        <v>7</v>
      </c>
      <c r="E111" s="7" t="s">
        <v>4</v>
      </c>
      <c r="F111" s="8">
        <v>568030</v>
      </c>
      <c r="G111" s="9">
        <v>27</v>
      </c>
      <c r="H111" s="10" t="s">
        <v>133</v>
      </c>
      <c r="I111" s="5" t="str">
        <f>CHOOSE(MATCH(B111,{"Январь","Февраль","Март","Апрель","Май","Июнь","Июль","Август","Сентябрь","Октябрь","Ноябрь","Декабрь"},0),
"Jan","Feb","Mar","Apr","May","Jun","Jul","Aug","Sep","Oct","Nov","Dec")</f>
        <v>Nov</v>
      </c>
    </row>
    <row r="112" spans="1:9" x14ac:dyDescent="0.35">
      <c r="A112" s="6">
        <v>2022</v>
      </c>
      <c r="B112" s="7" t="s">
        <v>125</v>
      </c>
      <c r="C112" s="7" t="s">
        <v>2</v>
      </c>
      <c r="D112" s="7" t="s">
        <v>18</v>
      </c>
      <c r="E112" s="7" t="s">
        <v>8</v>
      </c>
      <c r="F112" s="8">
        <v>683130</v>
      </c>
      <c r="G112" s="9">
        <v>32</v>
      </c>
      <c r="H112" s="10" t="s">
        <v>134</v>
      </c>
      <c r="I112" s="5" t="str">
        <f>CHOOSE(MATCH(B112,{"Январь","Февраль","Март","Апрель","Май","Июнь","Июль","Август","Сентябрь","Октябрь","Ноябрь","Декабрь"},0),
"Jan","Feb","Mar","Apr","May","Jun","Jul","Aug","Sep","Oct","Nov","Dec")</f>
        <v>Nov</v>
      </c>
    </row>
    <row r="113" spans="1:9" x14ac:dyDescent="0.35">
      <c r="A113" s="6">
        <v>2022</v>
      </c>
      <c r="B113" s="7" t="s">
        <v>125</v>
      </c>
      <c r="C113" s="7" t="s">
        <v>22</v>
      </c>
      <c r="D113" s="7" t="s">
        <v>18</v>
      </c>
      <c r="E113" s="7" t="s">
        <v>4</v>
      </c>
      <c r="F113" s="8">
        <v>348330</v>
      </c>
      <c r="G113" s="9">
        <v>24</v>
      </c>
      <c r="H113" s="10" t="s">
        <v>135</v>
      </c>
      <c r="I113" s="5" t="str">
        <f>CHOOSE(MATCH(B113,{"Январь","Февраль","Март","Апрель","Май","Июнь","Июль","Август","Сентябрь","Октябрь","Ноябрь","Декабрь"},0),
"Jan","Feb","Mar","Apr","May","Jun","Jul","Aug","Sep","Oct","Nov","Dec")</f>
        <v>Nov</v>
      </c>
    </row>
    <row r="114" spans="1:9" x14ac:dyDescent="0.35">
      <c r="A114" s="6">
        <v>2022</v>
      </c>
      <c r="B114" s="7" t="s">
        <v>136</v>
      </c>
      <c r="C114" s="7" t="s">
        <v>17</v>
      </c>
      <c r="D114" s="7" t="s">
        <v>14</v>
      </c>
      <c r="E114" s="7" t="s">
        <v>4</v>
      </c>
      <c r="F114" s="8">
        <v>724970</v>
      </c>
      <c r="G114" s="9">
        <v>41</v>
      </c>
      <c r="H114" s="10" t="s">
        <v>137</v>
      </c>
      <c r="I114" s="5" t="str">
        <f>CHOOSE(MATCH(B114,{"Январь","Февраль","Март","Апрель","Май","Июнь","Июль","Август","Сентябрь","Октябрь","Ноябрь","Декабрь"},0),
"Jan","Feb","Mar","Apr","May","Jun","Jul","Aug","Sep","Oct","Nov","Dec")</f>
        <v>Dec</v>
      </c>
    </row>
    <row r="115" spans="1:9" x14ac:dyDescent="0.35">
      <c r="A115" s="6">
        <v>2022</v>
      </c>
      <c r="B115" s="7" t="s">
        <v>136</v>
      </c>
      <c r="C115" s="7" t="s">
        <v>6</v>
      </c>
      <c r="D115" s="7" t="s">
        <v>14</v>
      </c>
      <c r="E115" s="7" t="s">
        <v>12</v>
      </c>
      <c r="F115" s="8">
        <v>334910</v>
      </c>
      <c r="G115" s="9">
        <v>28</v>
      </c>
      <c r="H115" s="10" t="s">
        <v>138</v>
      </c>
      <c r="I115" s="5" t="str">
        <f>CHOOSE(MATCH(B115,{"Январь","Февраль","Март","Апрель","Май","Июнь","Июль","Август","Сентябрь","Октябрь","Ноябрь","Декабрь"},0),
"Jan","Feb","Mar","Apr","May","Jun","Jul","Aug","Sep","Oct","Nov","Dec")</f>
        <v>Dec</v>
      </c>
    </row>
    <row r="116" spans="1:9" x14ac:dyDescent="0.35">
      <c r="A116" s="6">
        <v>2022</v>
      </c>
      <c r="B116" s="7" t="s">
        <v>136</v>
      </c>
      <c r="C116" s="7" t="s">
        <v>2</v>
      </c>
      <c r="D116" s="7" t="s">
        <v>7</v>
      </c>
      <c r="E116" s="7" t="s">
        <v>12</v>
      </c>
      <c r="F116" s="8">
        <v>380170</v>
      </c>
      <c r="G116" s="9">
        <v>29</v>
      </c>
      <c r="H116" s="10" t="s">
        <v>139</v>
      </c>
      <c r="I116" s="5" t="str">
        <f>CHOOSE(MATCH(B116,{"Январь","Февраль","Март","Апрель","Май","Июнь","Июль","Август","Сентябрь","Октябрь","Ноябрь","Декабрь"},0),
"Jan","Feb","Mar","Apr","May","Jun","Jul","Aug","Sep","Oct","Nov","Dec")</f>
        <v>Dec</v>
      </c>
    </row>
    <row r="117" spans="1:9" x14ac:dyDescent="0.35">
      <c r="A117" s="6">
        <v>2022</v>
      </c>
      <c r="B117" s="7" t="s">
        <v>136</v>
      </c>
      <c r="C117" s="7" t="s">
        <v>17</v>
      </c>
      <c r="D117" s="7" t="s">
        <v>3</v>
      </c>
      <c r="E117" s="7" t="s">
        <v>8</v>
      </c>
      <c r="F117" s="8">
        <v>326620</v>
      </c>
      <c r="G117" s="9">
        <v>16</v>
      </c>
      <c r="H117" s="10" t="s">
        <v>140</v>
      </c>
      <c r="I117" s="5" t="str">
        <f>CHOOSE(MATCH(B117,{"Январь","Февраль","Март","Апрель","Май","Июнь","Июль","Август","Сентябрь","Октябрь","Ноябрь","Декабрь"},0),
"Jan","Feb","Mar","Apr","May","Jun","Jul","Aug","Sep","Oct","Nov","Dec")</f>
        <v>Dec</v>
      </c>
    </row>
    <row r="118" spans="1:9" x14ac:dyDescent="0.35">
      <c r="A118" s="6">
        <v>2022</v>
      </c>
      <c r="B118" s="7" t="s">
        <v>136</v>
      </c>
      <c r="C118" s="7" t="s">
        <v>6</v>
      </c>
      <c r="D118" s="7" t="s">
        <v>14</v>
      </c>
      <c r="E118" s="7" t="s">
        <v>8</v>
      </c>
      <c r="F118" s="8">
        <v>591640</v>
      </c>
      <c r="G118" s="9">
        <v>31</v>
      </c>
      <c r="H118" s="10" t="s">
        <v>141</v>
      </c>
      <c r="I118" s="5" t="str">
        <f>CHOOSE(MATCH(B118,{"Январь","Февраль","Март","Апрель","Май","Июнь","Июль","Август","Сентябрь","Октябрь","Ноябрь","Декабрь"},0),
"Jan","Feb","Mar","Apr","May","Jun","Jul","Aug","Sep","Oct","Nov","Dec")</f>
        <v>Dec</v>
      </c>
    </row>
    <row r="119" spans="1:9" x14ac:dyDescent="0.35">
      <c r="A119" s="6">
        <v>2022</v>
      </c>
      <c r="B119" s="7" t="s">
        <v>136</v>
      </c>
      <c r="C119" s="7" t="s">
        <v>22</v>
      </c>
      <c r="D119" s="7" t="s">
        <v>7</v>
      </c>
      <c r="E119" s="7" t="s">
        <v>8</v>
      </c>
      <c r="F119" s="8">
        <v>191220</v>
      </c>
      <c r="G119" s="9">
        <v>12</v>
      </c>
      <c r="H119" s="10" t="s">
        <v>142</v>
      </c>
      <c r="I119" s="5" t="str">
        <f>CHOOSE(MATCH(B119,{"Январь","Февраль","Март","Апрель","Май","Июнь","Июль","Август","Сентябрь","Октябрь","Ноябрь","Декабрь"},0),
"Jan","Feb","Mar","Apr","May","Jun","Jul","Aug","Sep","Oct","Nov","Dec")</f>
        <v>Dec</v>
      </c>
    </row>
    <row r="120" spans="1:9" x14ac:dyDescent="0.35">
      <c r="A120" s="6">
        <v>2022</v>
      </c>
      <c r="B120" s="7" t="s">
        <v>136</v>
      </c>
      <c r="C120" s="7" t="s">
        <v>2</v>
      </c>
      <c r="D120" s="7" t="s">
        <v>7</v>
      </c>
      <c r="E120" s="7" t="s">
        <v>8</v>
      </c>
      <c r="F120" s="8">
        <v>365210</v>
      </c>
      <c r="G120" s="9">
        <v>18</v>
      </c>
      <c r="H120" s="10" t="s">
        <v>143</v>
      </c>
      <c r="I120" s="5" t="str">
        <f>CHOOSE(MATCH(B120,{"Январь","Февраль","Март","Апрель","Май","Июнь","Июль","Август","Сентябрь","Октябрь","Ноябрь","Декабрь"},0),
"Jan","Feb","Mar","Apr","May","Jun","Jul","Aug","Sep","Oct","Nov","Dec")</f>
        <v>Dec</v>
      </c>
    </row>
    <row r="121" spans="1:9" x14ac:dyDescent="0.35">
      <c r="A121" s="6">
        <v>2022</v>
      </c>
      <c r="B121" s="7" t="s">
        <v>136</v>
      </c>
      <c r="C121" s="7" t="s">
        <v>17</v>
      </c>
      <c r="D121" s="7" t="s">
        <v>7</v>
      </c>
      <c r="E121" s="7" t="s">
        <v>15</v>
      </c>
      <c r="F121" s="8">
        <v>312000</v>
      </c>
      <c r="G121" s="9">
        <v>22</v>
      </c>
      <c r="H121" s="10" t="s">
        <v>144</v>
      </c>
      <c r="I121" s="5" t="str">
        <f>CHOOSE(MATCH(B121,{"Январь","Февраль","Март","Апрель","Май","Июнь","Июль","Август","Сентябрь","Октябрь","Ноябрь","Декабрь"},0),
"Jan","Feb","Mar","Apr","May","Jun","Jul","Aug","Sep","Oct","Nov","Dec")</f>
        <v>Dec</v>
      </c>
    </row>
    <row r="122" spans="1:9" x14ac:dyDescent="0.35">
      <c r="A122" s="6">
        <v>2022</v>
      </c>
      <c r="B122" s="7" t="s">
        <v>136</v>
      </c>
      <c r="C122" s="7" t="s">
        <v>2</v>
      </c>
      <c r="D122" s="7" t="s">
        <v>3</v>
      </c>
      <c r="E122" s="7" t="s">
        <v>4</v>
      </c>
      <c r="F122" s="8">
        <v>757120</v>
      </c>
      <c r="G122" s="9">
        <v>38</v>
      </c>
      <c r="H122" s="10" t="s">
        <v>145</v>
      </c>
      <c r="I122" s="5" t="str">
        <f>CHOOSE(MATCH(B122,{"Январь","Февраль","Март","Апрель","Май","Июнь","Июль","Август","Сентябрь","Октябрь","Ноябрь","Декабрь"},0),
"Jan","Feb","Mar","Apr","May","Jun","Jul","Aug","Sep","Oct","Nov","Dec")</f>
        <v>Dec</v>
      </c>
    </row>
    <row r="123" spans="1:9" x14ac:dyDescent="0.35">
      <c r="A123" s="6">
        <v>2022</v>
      </c>
      <c r="B123" s="7" t="s">
        <v>136</v>
      </c>
      <c r="C123" s="7" t="s">
        <v>6</v>
      </c>
      <c r="D123" s="7" t="s">
        <v>18</v>
      </c>
      <c r="E123" s="7" t="s">
        <v>4</v>
      </c>
      <c r="F123" s="8">
        <v>338630</v>
      </c>
      <c r="G123" s="9">
        <v>21</v>
      </c>
      <c r="H123" s="10" t="s">
        <v>146</v>
      </c>
      <c r="I123" s="5" t="str">
        <f>CHOOSE(MATCH(B123,{"Январь","Февраль","Март","Апрель","Май","Июнь","Июль","Август","Сентябрь","Октябрь","Ноябрь","Декабрь"},0),
"Jan","Feb","Mar","Apr","May","Jun","Jul","Aug","Sep","Oct","Nov","Dec")</f>
        <v>Dec</v>
      </c>
    </row>
    <row r="124" spans="1:9" x14ac:dyDescent="0.35">
      <c r="A124" s="6">
        <v>2023</v>
      </c>
      <c r="B124" s="7" t="s">
        <v>1</v>
      </c>
      <c r="C124" s="7" t="s">
        <v>10</v>
      </c>
      <c r="D124" s="7" t="s">
        <v>11</v>
      </c>
      <c r="E124" s="7" t="s">
        <v>4</v>
      </c>
      <c r="F124" s="8">
        <v>918250</v>
      </c>
      <c r="G124" s="9">
        <v>40</v>
      </c>
      <c r="H124" s="10" t="s">
        <v>147</v>
      </c>
      <c r="I124" s="5" t="str">
        <f>CHOOSE(MATCH(B124,{"Январь","Февраль","Март","Апрель","Май","Июнь","Июль","Август","Сентябрь","Октябрь","Ноябрь","Декабрь"},0),
"Jan","Feb","Mar","Apr","May","Jun","Jul","Aug","Sep","Oct","Nov","Dec")</f>
        <v>Jan</v>
      </c>
    </row>
    <row r="125" spans="1:9" x14ac:dyDescent="0.35">
      <c r="A125" s="6">
        <v>2023</v>
      </c>
      <c r="B125" s="7" t="s">
        <v>1</v>
      </c>
      <c r="C125" s="7" t="s">
        <v>17</v>
      </c>
      <c r="D125" s="7" t="s">
        <v>3</v>
      </c>
      <c r="E125" s="7" t="s">
        <v>4</v>
      </c>
      <c r="F125" s="8">
        <v>701990</v>
      </c>
      <c r="G125" s="9">
        <v>37</v>
      </c>
      <c r="H125" s="10" t="s">
        <v>148</v>
      </c>
      <c r="I125" s="5" t="str">
        <f>CHOOSE(MATCH(B125,{"Январь","Февраль","Март","Апрель","Май","Июнь","Июль","Август","Сентябрь","Октябрь","Ноябрь","Декабрь"},0),
"Jan","Feb","Mar","Apr","May","Jun","Jul","Aug","Sep","Oct","Nov","Dec")</f>
        <v>Jan</v>
      </c>
    </row>
    <row r="126" spans="1:9" x14ac:dyDescent="0.35">
      <c r="A126" s="6">
        <v>2023</v>
      </c>
      <c r="B126" s="7" t="s">
        <v>1</v>
      </c>
      <c r="C126" s="7" t="s">
        <v>17</v>
      </c>
      <c r="D126" s="7" t="s">
        <v>14</v>
      </c>
      <c r="E126" s="7" t="s">
        <v>8</v>
      </c>
      <c r="F126" s="8">
        <v>337150</v>
      </c>
      <c r="G126" s="9">
        <v>17</v>
      </c>
      <c r="H126" s="10" t="s">
        <v>149</v>
      </c>
      <c r="I126" s="5" t="str">
        <f>CHOOSE(MATCH(B126,{"Январь","Февраль","Март","Апрель","Май","Июнь","Июль","Август","Сентябрь","Октябрь","Ноябрь","Декабрь"},0),
"Jan","Feb","Mar","Apr","May","Jun","Jul","Aug","Sep","Oct","Nov","Dec")</f>
        <v>Jan</v>
      </c>
    </row>
    <row r="127" spans="1:9" x14ac:dyDescent="0.35">
      <c r="A127" s="6">
        <v>2023</v>
      </c>
      <c r="B127" s="7" t="s">
        <v>1</v>
      </c>
      <c r="C127" s="7" t="s">
        <v>2</v>
      </c>
      <c r="D127" s="7" t="s">
        <v>11</v>
      </c>
      <c r="E127" s="7" t="s">
        <v>15</v>
      </c>
      <c r="F127" s="8">
        <v>438160</v>
      </c>
      <c r="G127" s="9">
        <v>27</v>
      </c>
      <c r="H127" s="10" t="s">
        <v>150</v>
      </c>
      <c r="I127" s="5" t="str">
        <f>CHOOSE(MATCH(B127,{"Январь","Февраль","Март","Апрель","Май","Июнь","Июль","Август","Сентябрь","Октябрь","Ноябрь","Декабрь"},0),
"Jan","Feb","Mar","Apr","May","Jun","Jul","Aug","Sep","Oct","Nov","Dec")</f>
        <v>Jan</v>
      </c>
    </row>
    <row r="128" spans="1:9" x14ac:dyDescent="0.35">
      <c r="A128" s="6">
        <v>2023</v>
      </c>
      <c r="B128" s="7" t="s">
        <v>1</v>
      </c>
      <c r="C128" s="7" t="s">
        <v>17</v>
      </c>
      <c r="D128" s="7" t="s">
        <v>3</v>
      </c>
      <c r="E128" s="7" t="s">
        <v>8</v>
      </c>
      <c r="F128" s="8">
        <v>469810</v>
      </c>
      <c r="G128" s="9">
        <v>22</v>
      </c>
      <c r="H128" s="10" t="s">
        <v>151</v>
      </c>
      <c r="I128" s="5" t="str">
        <f>CHOOSE(MATCH(B128,{"Январь","Февраль","Март","Апрель","Май","Июнь","Июль","Август","Сентябрь","Октябрь","Ноябрь","Декабрь"},0),
"Jan","Feb","Mar","Apr","May","Jun","Jul","Aug","Sep","Oct","Nov","Dec")</f>
        <v>Jan</v>
      </c>
    </row>
    <row r="129" spans="1:9" x14ac:dyDescent="0.35">
      <c r="A129" s="6">
        <v>2023</v>
      </c>
      <c r="B129" s="7" t="s">
        <v>1</v>
      </c>
      <c r="C129" s="7" t="s">
        <v>10</v>
      </c>
      <c r="D129" s="7" t="s">
        <v>3</v>
      </c>
      <c r="E129" s="7" t="s">
        <v>15</v>
      </c>
      <c r="F129" s="8">
        <v>219680</v>
      </c>
      <c r="G129" s="9">
        <v>12</v>
      </c>
      <c r="H129" s="10" t="s">
        <v>152</v>
      </c>
      <c r="I129" s="5" t="str">
        <f>CHOOSE(MATCH(B129,{"Январь","Февраль","Март","Апрель","Май","Июнь","Июль","Август","Сентябрь","Октябрь","Ноябрь","Декабрь"},0),
"Jan","Feb","Mar","Apr","May","Jun","Jul","Aug","Sep","Oct","Nov","Dec")</f>
        <v>Jan</v>
      </c>
    </row>
    <row r="130" spans="1:9" x14ac:dyDescent="0.35">
      <c r="A130" s="6">
        <v>2023</v>
      </c>
      <c r="B130" s="7" t="s">
        <v>1</v>
      </c>
      <c r="C130" s="7" t="s">
        <v>6</v>
      </c>
      <c r="D130" s="7" t="s">
        <v>7</v>
      </c>
      <c r="E130" s="7" t="s">
        <v>4</v>
      </c>
      <c r="F130" s="8">
        <v>208620</v>
      </c>
      <c r="G130" s="9">
        <v>12</v>
      </c>
      <c r="H130" s="10" t="s">
        <v>153</v>
      </c>
      <c r="I130" s="5" t="str">
        <f>CHOOSE(MATCH(B130,{"Январь","Февраль","Март","Апрель","Май","Июнь","Июль","Август","Сентябрь","Октябрь","Ноябрь","Декабрь"},0),
"Jan","Feb","Mar","Apr","May","Jun","Jul","Aug","Sep","Oct","Nov","Dec")</f>
        <v>Jan</v>
      </c>
    </row>
    <row r="131" spans="1:9" x14ac:dyDescent="0.35">
      <c r="A131" s="6">
        <v>2023</v>
      </c>
      <c r="B131" s="7" t="s">
        <v>1</v>
      </c>
      <c r="C131" s="7" t="s">
        <v>2</v>
      </c>
      <c r="D131" s="7" t="s">
        <v>7</v>
      </c>
      <c r="E131" s="7" t="s">
        <v>15</v>
      </c>
      <c r="F131" s="8">
        <v>237350</v>
      </c>
      <c r="G131" s="9">
        <v>14</v>
      </c>
      <c r="H131" s="10" t="s">
        <v>154</v>
      </c>
      <c r="I131" s="5" t="str">
        <f>CHOOSE(MATCH(B131,{"Январь","Февраль","Март","Апрель","Май","Июнь","Июль","Август","Сентябрь","Октябрь","Ноябрь","Декабрь"},0),
"Jan","Feb","Mar","Apr","May","Jun","Jul","Aug","Sep","Oct","Nov","Dec")</f>
        <v>Jan</v>
      </c>
    </row>
    <row r="132" spans="1:9" x14ac:dyDescent="0.35">
      <c r="A132" s="6">
        <v>2023</v>
      </c>
      <c r="B132" s="7" t="s">
        <v>1</v>
      </c>
      <c r="C132" s="7" t="s">
        <v>17</v>
      </c>
      <c r="D132" s="7" t="s">
        <v>14</v>
      </c>
      <c r="E132" s="7" t="s">
        <v>8</v>
      </c>
      <c r="F132" s="8">
        <v>504610</v>
      </c>
      <c r="G132" s="9">
        <v>24</v>
      </c>
      <c r="H132" s="10" t="s">
        <v>155</v>
      </c>
      <c r="I132" s="5" t="str">
        <f>CHOOSE(MATCH(B132,{"Январь","Февраль","Март","Апрель","Май","Июнь","Июль","Август","Сентябрь","Октябрь","Ноябрь","Декабрь"},0),
"Jan","Feb","Mar","Apr","May","Jun","Jul","Aug","Sep","Oct","Nov","Dec")</f>
        <v>Jan</v>
      </c>
    </row>
    <row r="133" spans="1:9" x14ac:dyDescent="0.35">
      <c r="A133" s="6">
        <v>2023</v>
      </c>
      <c r="B133" s="7" t="s">
        <v>1</v>
      </c>
      <c r="C133" s="7" t="s">
        <v>22</v>
      </c>
      <c r="D133" s="7" t="s">
        <v>18</v>
      </c>
      <c r="E133" s="7" t="s">
        <v>15</v>
      </c>
      <c r="F133" s="8">
        <v>304410</v>
      </c>
      <c r="G133" s="9">
        <v>24</v>
      </c>
      <c r="H133" s="10" t="s">
        <v>156</v>
      </c>
      <c r="I133" s="5" t="str">
        <f>CHOOSE(MATCH(B133,{"Январь","Февраль","Март","Апрель","Май","Июнь","Июль","Август","Сентябрь","Октябрь","Ноябрь","Декабрь"},0),
"Jan","Feb","Mar","Apr","May","Jun","Jul","Aug","Sep","Oct","Nov","Dec")</f>
        <v>Jan</v>
      </c>
    </row>
    <row r="134" spans="1:9" x14ac:dyDescent="0.35">
      <c r="A134" s="6">
        <v>2023</v>
      </c>
      <c r="B134" s="7" t="s">
        <v>26</v>
      </c>
      <c r="C134" s="7" t="s">
        <v>2</v>
      </c>
      <c r="D134" s="7" t="s">
        <v>18</v>
      </c>
      <c r="E134" s="7" t="s">
        <v>8</v>
      </c>
      <c r="F134" s="8">
        <v>512150</v>
      </c>
      <c r="G134" s="9">
        <v>24</v>
      </c>
      <c r="H134" s="10" t="s">
        <v>157</v>
      </c>
      <c r="I134" s="5" t="str">
        <f>CHOOSE(MATCH(B134,{"Январь","Февраль","Март","Апрель","Май","Июнь","Июль","Август","Сентябрь","Октябрь","Ноябрь","Декабрь"},0),
"Jan","Feb","Mar","Apr","May","Jun","Jul","Aug","Sep","Oct","Nov","Dec")</f>
        <v>Feb</v>
      </c>
    </row>
    <row r="135" spans="1:9" x14ac:dyDescent="0.35">
      <c r="A135" s="6">
        <v>2023</v>
      </c>
      <c r="B135" s="7" t="s">
        <v>26</v>
      </c>
      <c r="C135" s="7" t="s">
        <v>6</v>
      </c>
      <c r="D135" s="7" t="s">
        <v>7</v>
      </c>
      <c r="E135" s="7" t="s">
        <v>15</v>
      </c>
      <c r="F135" s="8">
        <v>419660</v>
      </c>
      <c r="G135" s="9">
        <v>32</v>
      </c>
      <c r="H135" s="10" t="s">
        <v>158</v>
      </c>
      <c r="I135" s="5" t="str">
        <f>CHOOSE(MATCH(B135,{"Январь","Февраль","Март","Апрель","Май","Июнь","Июль","Август","Сентябрь","Октябрь","Ноябрь","Декабрь"},0),
"Jan","Feb","Mar","Apr","May","Jun","Jul","Aug","Sep","Oct","Nov","Dec")</f>
        <v>Feb</v>
      </c>
    </row>
    <row r="136" spans="1:9" x14ac:dyDescent="0.35">
      <c r="A136" s="6">
        <v>2023</v>
      </c>
      <c r="B136" s="7" t="s">
        <v>26</v>
      </c>
      <c r="C136" s="7" t="s">
        <v>22</v>
      </c>
      <c r="D136" s="7" t="s">
        <v>14</v>
      </c>
      <c r="E136" s="7" t="s">
        <v>15</v>
      </c>
      <c r="F136" s="8">
        <v>433030</v>
      </c>
      <c r="G136" s="9">
        <v>33</v>
      </c>
      <c r="H136" s="10" t="s">
        <v>159</v>
      </c>
      <c r="I136" s="5" t="str">
        <f>CHOOSE(MATCH(B136,{"Январь","Февраль","Март","Апрель","Май","Июнь","Июль","Август","Сентябрь","Октябрь","Ноябрь","Декабрь"},0),
"Jan","Feb","Mar","Apr","May","Jun","Jul","Aug","Sep","Oct","Nov","Dec")</f>
        <v>Feb</v>
      </c>
    </row>
    <row r="137" spans="1:9" x14ac:dyDescent="0.35">
      <c r="A137" s="6">
        <v>2023</v>
      </c>
      <c r="B137" s="7" t="s">
        <v>26</v>
      </c>
      <c r="C137" s="7" t="s">
        <v>10</v>
      </c>
      <c r="D137" s="7" t="s">
        <v>18</v>
      </c>
      <c r="E137" s="7" t="s">
        <v>12</v>
      </c>
      <c r="F137" s="8">
        <v>678440</v>
      </c>
      <c r="G137" s="9">
        <v>41</v>
      </c>
      <c r="H137" s="10" t="s">
        <v>160</v>
      </c>
      <c r="I137" s="5" t="str">
        <f>CHOOSE(MATCH(B137,{"Январь","Февраль","Март","Апрель","Май","Июнь","Июль","Август","Сентябрь","Октябрь","Ноябрь","Декабрь"},0),
"Jan","Feb","Mar","Apr","May","Jun","Jul","Aug","Sep","Oct","Nov","Dec")</f>
        <v>Feb</v>
      </c>
    </row>
    <row r="138" spans="1:9" x14ac:dyDescent="0.35">
      <c r="A138" s="6">
        <v>2023</v>
      </c>
      <c r="B138" s="7" t="s">
        <v>26</v>
      </c>
      <c r="C138" s="7" t="s">
        <v>2</v>
      </c>
      <c r="D138" s="7" t="s">
        <v>11</v>
      </c>
      <c r="E138" s="7" t="s">
        <v>12</v>
      </c>
      <c r="F138" s="8">
        <v>350970</v>
      </c>
      <c r="G138" s="9">
        <v>24</v>
      </c>
      <c r="H138" s="10" t="s">
        <v>161</v>
      </c>
      <c r="I138" s="5" t="str">
        <f>CHOOSE(MATCH(B138,{"Январь","Февраль","Март","Апрель","Май","Июнь","Июль","Август","Сентябрь","Октябрь","Ноябрь","Декабрь"},0),
"Jan","Feb","Mar","Apr","May","Jun","Jul","Aug","Sep","Oct","Nov","Dec")</f>
        <v>Feb</v>
      </c>
    </row>
    <row r="139" spans="1:9" x14ac:dyDescent="0.35">
      <c r="A139" s="6">
        <v>2023</v>
      </c>
      <c r="B139" s="7" t="s">
        <v>26</v>
      </c>
      <c r="C139" s="7" t="s">
        <v>6</v>
      </c>
      <c r="D139" s="7" t="s">
        <v>7</v>
      </c>
      <c r="E139" s="7" t="s">
        <v>15</v>
      </c>
      <c r="F139" s="8">
        <v>190830</v>
      </c>
      <c r="G139" s="9">
        <v>14</v>
      </c>
      <c r="H139" s="10" t="s">
        <v>162</v>
      </c>
      <c r="I139" s="5" t="str">
        <f>CHOOSE(MATCH(B139,{"Январь","Февраль","Март","Апрель","Май","Июнь","Июль","Август","Сентябрь","Октябрь","Ноябрь","Декабрь"},0),
"Jan","Feb","Mar","Apr","May","Jun","Jul","Aug","Sep","Oct","Nov","Dec")</f>
        <v>Feb</v>
      </c>
    </row>
    <row r="140" spans="1:9" x14ac:dyDescent="0.35">
      <c r="A140" s="6">
        <v>2023</v>
      </c>
      <c r="B140" s="7" t="s">
        <v>26</v>
      </c>
      <c r="C140" s="7" t="s">
        <v>17</v>
      </c>
      <c r="D140" s="7" t="s">
        <v>14</v>
      </c>
      <c r="E140" s="7" t="s">
        <v>4</v>
      </c>
      <c r="F140" s="8">
        <v>675160</v>
      </c>
      <c r="G140" s="9">
        <v>38</v>
      </c>
      <c r="H140" s="10" t="s">
        <v>163</v>
      </c>
      <c r="I140" s="5" t="str">
        <f>CHOOSE(MATCH(B140,{"Январь","Февраль","Март","Апрель","Май","Июнь","Июль","Август","Сентябрь","Октябрь","Ноябрь","Декабрь"},0),
"Jan","Feb","Mar","Apr","May","Jun","Jul","Aug","Sep","Oct","Nov","Dec")</f>
        <v>Feb</v>
      </c>
    </row>
    <row r="141" spans="1:9" x14ac:dyDescent="0.35">
      <c r="A141" s="6">
        <v>2023</v>
      </c>
      <c r="B141" s="7" t="s">
        <v>26</v>
      </c>
      <c r="C141" s="7" t="s">
        <v>6</v>
      </c>
      <c r="D141" s="7" t="s">
        <v>11</v>
      </c>
      <c r="E141" s="7" t="s">
        <v>8</v>
      </c>
      <c r="F141" s="8">
        <v>767100</v>
      </c>
      <c r="G141" s="9">
        <v>41</v>
      </c>
      <c r="H141" s="10" t="s">
        <v>164</v>
      </c>
      <c r="I141" s="5" t="str">
        <f>CHOOSE(MATCH(B141,{"Январь","Февраль","Март","Апрель","Май","Июнь","Июль","Август","Сентябрь","Октябрь","Ноябрь","Декабрь"},0),
"Jan","Feb","Mar","Apr","May","Jun","Jul","Aug","Sep","Oct","Nov","Dec")</f>
        <v>Feb</v>
      </c>
    </row>
    <row r="142" spans="1:9" x14ac:dyDescent="0.35">
      <c r="A142" s="6">
        <v>2023</v>
      </c>
      <c r="B142" s="7" t="s">
        <v>26</v>
      </c>
      <c r="C142" s="7" t="s">
        <v>6</v>
      </c>
      <c r="D142" s="7" t="s">
        <v>3</v>
      </c>
      <c r="E142" s="7" t="s">
        <v>15</v>
      </c>
      <c r="F142" s="8">
        <v>417130</v>
      </c>
      <c r="G142" s="9">
        <v>29</v>
      </c>
      <c r="H142" s="10" t="s">
        <v>165</v>
      </c>
      <c r="I142" s="5" t="str">
        <f>CHOOSE(MATCH(B142,{"Январь","Февраль","Март","Апрель","Май","Июнь","Июль","Август","Сентябрь","Октябрь","Ноябрь","Декабрь"},0),
"Jan","Feb","Mar","Apr","May","Jun","Jul","Aug","Sep","Oct","Nov","Dec")</f>
        <v>Feb</v>
      </c>
    </row>
    <row r="143" spans="1:9" x14ac:dyDescent="0.35">
      <c r="A143" s="6">
        <v>2023</v>
      </c>
      <c r="B143" s="7" t="s">
        <v>26</v>
      </c>
      <c r="C143" s="7" t="s">
        <v>22</v>
      </c>
      <c r="D143" s="7" t="s">
        <v>18</v>
      </c>
      <c r="E143" s="7" t="s">
        <v>15</v>
      </c>
      <c r="F143" s="8">
        <v>376540</v>
      </c>
      <c r="G143" s="9">
        <v>29</v>
      </c>
      <c r="H143" s="10" t="s">
        <v>166</v>
      </c>
      <c r="I143" s="5" t="str">
        <f>CHOOSE(MATCH(B143,{"Январь","Февраль","Март","Апрель","Май","Июнь","Июль","Август","Сентябрь","Октябрь","Ноябрь","Декабрь"},0),
"Jan","Feb","Mar","Apr","May","Jun","Jul","Aug","Sep","Oct","Nov","Dec")</f>
        <v>Feb</v>
      </c>
    </row>
    <row r="144" spans="1:9" x14ac:dyDescent="0.35">
      <c r="A144" s="6">
        <v>2023</v>
      </c>
      <c r="B144" s="7" t="s">
        <v>37</v>
      </c>
      <c r="C144" s="7" t="s">
        <v>6</v>
      </c>
      <c r="D144" s="7" t="s">
        <v>11</v>
      </c>
      <c r="E144" s="7" t="s">
        <v>12</v>
      </c>
      <c r="F144" s="8">
        <v>195860</v>
      </c>
      <c r="G144" s="9">
        <v>15</v>
      </c>
      <c r="H144" s="10" t="s">
        <v>167</v>
      </c>
      <c r="I144" s="5" t="str">
        <f>CHOOSE(MATCH(B144,{"Январь","Февраль","Март","Апрель","Май","Июнь","Июль","Август","Сентябрь","Октябрь","Ноябрь","Декабрь"},0),
"Jan","Feb","Mar","Apr","May","Jun","Jul","Aug","Sep","Oct","Nov","Dec")</f>
        <v>Mar</v>
      </c>
    </row>
    <row r="145" spans="1:9" x14ac:dyDescent="0.35">
      <c r="A145" s="6">
        <v>2023</v>
      </c>
      <c r="B145" s="7" t="s">
        <v>37</v>
      </c>
      <c r="C145" s="7" t="s">
        <v>10</v>
      </c>
      <c r="D145" s="7" t="s">
        <v>14</v>
      </c>
      <c r="E145" s="7" t="s">
        <v>12</v>
      </c>
      <c r="F145" s="8">
        <v>353700</v>
      </c>
      <c r="G145" s="9">
        <v>21</v>
      </c>
      <c r="H145" s="10" t="s">
        <v>168</v>
      </c>
      <c r="I145" s="5" t="str">
        <f>CHOOSE(MATCH(B145,{"Январь","Февраль","Март","Апрель","Май","Июнь","Июль","Август","Сентябрь","Октябрь","Ноябрь","Декабрь"},0),
"Jan","Feb","Mar","Apr","May","Jun","Jul","Aug","Sep","Oct","Nov","Dec")</f>
        <v>Mar</v>
      </c>
    </row>
    <row r="146" spans="1:9" x14ac:dyDescent="0.35">
      <c r="A146" s="6">
        <v>2023</v>
      </c>
      <c r="B146" s="7" t="s">
        <v>37</v>
      </c>
      <c r="C146" s="7" t="s">
        <v>6</v>
      </c>
      <c r="D146" s="7" t="s">
        <v>14</v>
      </c>
      <c r="E146" s="7" t="s">
        <v>4</v>
      </c>
      <c r="F146" s="8">
        <v>249440</v>
      </c>
      <c r="G146" s="9">
        <v>16</v>
      </c>
      <c r="H146" s="10" t="s">
        <v>169</v>
      </c>
      <c r="I146" s="5" t="str">
        <f>CHOOSE(MATCH(B146,{"Январь","Февраль","Март","Апрель","Май","Июнь","Июль","Август","Сентябрь","Октябрь","Ноябрь","Декабрь"},0),
"Jan","Feb","Mar","Apr","May","Jun","Jul","Aug","Sep","Oct","Nov","Dec")</f>
        <v>Mar</v>
      </c>
    </row>
    <row r="147" spans="1:9" x14ac:dyDescent="0.35">
      <c r="A147" s="6">
        <v>2023</v>
      </c>
      <c r="B147" s="7" t="s">
        <v>37</v>
      </c>
      <c r="C147" s="7" t="s">
        <v>6</v>
      </c>
      <c r="D147" s="7" t="s">
        <v>3</v>
      </c>
      <c r="E147" s="7" t="s">
        <v>4</v>
      </c>
      <c r="F147" s="8">
        <v>685210</v>
      </c>
      <c r="G147" s="9">
        <v>41</v>
      </c>
      <c r="H147" s="10" t="s">
        <v>170</v>
      </c>
      <c r="I147" s="5" t="str">
        <f>CHOOSE(MATCH(B147,{"Январь","Февраль","Март","Апрель","Май","Июнь","Июль","Август","Сентябрь","Октябрь","Ноябрь","Декабрь"},0),
"Jan","Feb","Mar","Apr","May","Jun","Jul","Aug","Sep","Oct","Nov","Dec")</f>
        <v>Mar</v>
      </c>
    </row>
    <row r="148" spans="1:9" x14ac:dyDescent="0.35">
      <c r="A148" s="6">
        <v>2023</v>
      </c>
      <c r="B148" s="7" t="s">
        <v>37</v>
      </c>
      <c r="C148" s="7" t="s">
        <v>10</v>
      </c>
      <c r="D148" s="7" t="s">
        <v>3</v>
      </c>
      <c r="E148" s="7" t="s">
        <v>4</v>
      </c>
      <c r="F148" s="8">
        <v>796430</v>
      </c>
      <c r="G148" s="9">
        <v>34</v>
      </c>
      <c r="H148" s="10" t="s">
        <v>171</v>
      </c>
      <c r="I148" s="5" t="str">
        <f>CHOOSE(MATCH(B148,{"Январь","Февраль","Март","Апрель","Май","Июнь","Июль","Август","Сентябрь","Октябрь","Ноябрь","Декабрь"},0),
"Jan","Feb","Mar","Apr","May","Jun","Jul","Aug","Sep","Oct","Nov","Dec")</f>
        <v>Mar</v>
      </c>
    </row>
    <row r="149" spans="1:9" x14ac:dyDescent="0.35">
      <c r="A149" s="6">
        <v>2023</v>
      </c>
      <c r="B149" s="7" t="s">
        <v>37</v>
      </c>
      <c r="C149" s="7" t="s">
        <v>10</v>
      </c>
      <c r="D149" s="7" t="s">
        <v>14</v>
      </c>
      <c r="E149" s="7" t="s">
        <v>8</v>
      </c>
      <c r="F149" s="8">
        <v>642290</v>
      </c>
      <c r="G149" s="9">
        <v>25</v>
      </c>
      <c r="H149" s="10" t="s">
        <v>172</v>
      </c>
      <c r="I149" s="5" t="str">
        <f>CHOOSE(MATCH(B149,{"Январь","Февраль","Март","Апрель","Май","Июнь","Июль","Август","Сентябрь","Октябрь","Ноябрь","Декабрь"},0),
"Jan","Feb","Mar","Apr","May","Jun","Jul","Aug","Sep","Oct","Nov","Dec")</f>
        <v>Mar</v>
      </c>
    </row>
    <row r="150" spans="1:9" x14ac:dyDescent="0.35">
      <c r="A150" s="6">
        <v>2023</v>
      </c>
      <c r="B150" s="7" t="s">
        <v>37</v>
      </c>
      <c r="C150" s="7" t="s">
        <v>2</v>
      </c>
      <c r="D150" s="7" t="s">
        <v>7</v>
      </c>
      <c r="E150" s="7" t="s">
        <v>8</v>
      </c>
      <c r="F150" s="8">
        <v>456480</v>
      </c>
      <c r="G150" s="9">
        <v>22</v>
      </c>
      <c r="H150" s="10" t="s">
        <v>173</v>
      </c>
      <c r="I150" s="5" t="str">
        <f>CHOOSE(MATCH(B150,{"Январь","Февраль","Март","Апрель","Май","Июнь","Июль","Август","Сентябрь","Октябрь","Ноябрь","Декабрь"},0),
"Jan","Feb","Mar","Apr","May","Jun","Jul","Aug","Sep","Oct","Nov","Dec")</f>
        <v>Mar</v>
      </c>
    </row>
    <row r="151" spans="1:9" x14ac:dyDescent="0.35">
      <c r="A151" s="6">
        <v>2023</v>
      </c>
      <c r="B151" s="7" t="s">
        <v>37</v>
      </c>
      <c r="C151" s="7" t="s">
        <v>17</v>
      </c>
      <c r="D151" s="7" t="s">
        <v>11</v>
      </c>
      <c r="E151" s="7" t="s">
        <v>4</v>
      </c>
      <c r="F151" s="8">
        <v>741130</v>
      </c>
      <c r="G151" s="9">
        <v>40</v>
      </c>
      <c r="H151" s="10" t="s">
        <v>174</v>
      </c>
      <c r="I151" s="5" t="str">
        <f>CHOOSE(MATCH(B151,{"Январь","Февраль","Март","Апрель","Май","Июнь","Июль","Август","Сентябрь","Октябрь","Ноябрь","Декабрь"},0),
"Jan","Feb","Mar","Apr","May","Jun","Jul","Aug","Sep","Oct","Nov","Dec")</f>
        <v>Mar</v>
      </c>
    </row>
    <row r="152" spans="1:9" x14ac:dyDescent="0.35">
      <c r="A152" s="6">
        <v>2023</v>
      </c>
      <c r="B152" s="7" t="s">
        <v>37</v>
      </c>
      <c r="C152" s="7" t="s">
        <v>10</v>
      </c>
      <c r="D152" s="7" t="s">
        <v>7</v>
      </c>
      <c r="E152" s="7" t="s">
        <v>15</v>
      </c>
      <c r="F152" s="8">
        <v>724740</v>
      </c>
      <c r="G152" s="9">
        <v>39</v>
      </c>
      <c r="H152" s="10" t="s">
        <v>175</v>
      </c>
      <c r="I152" s="5" t="str">
        <f>CHOOSE(MATCH(B152,{"Январь","Февраль","Март","Апрель","Май","Июнь","Июль","Август","Сентябрь","Октябрь","Ноябрь","Декабрь"},0),
"Jan","Feb","Mar","Apr","May","Jun","Jul","Aug","Sep","Oct","Nov","Dec")</f>
        <v>Mar</v>
      </c>
    </row>
    <row r="153" spans="1:9" x14ac:dyDescent="0.35">
      <c r="A153" s="6">
        <v>2023</v>
      </c>
      <c r="B153" s="7" t="s">
        <v>37</v>
      </c>
      <c r="C153" s="7" t="s">
        <v>22</v>
      </c>
      <c r="D153" s="7" t="s">
        <v>14</v>
      </c>
      <c r="E153" s="7" t="s">
        <v>8</v>
      </c>
      <c r="F153" s="8">
        <v>449600</v>
      </c>
      <c r="G153" s="9">
        <v>25</v>
      </c>
      <c r="H153" s="10" t="s">
        <v>176</v>
      </c>
      <c r="I153" s="5" t="str">
        <f>CHOOSE(MATCH(B153,{"Январь","Февраль","Март","Апрель","Май","Июнь","Июль","Август","Сентябрь","Октябрь","Ноябрь","Декабрь"},0),
"Jan","Feb","Mar","Apr","May","Jun","Jul","Aug","Sep","Oct","Nov","Dec")</f>
        <v>Mar</v>
      </c>
    </row>
    <row r="154" spans="1:9" x14ac:dyDescent="0.35">
      <c r="A154" s="6">
        <v>2023</v>
      </c>
      <c r="B154" s="7" t="s">
        <v>48</v>
      </c>
      <c r="C154" s="7" t="s">
        <v>6</v>
      </c>
      <c r="D154" s="7" t="s">
        <v>14</v>
      </c>
      <c r="E154" s="7" t="s">
        <v>8</v>
      </c>
      <c r="F154" s="8">
        <v>721860</v>
      </c>
      <c r="G154" s="9">
        <v>38</v>
      </c>
      <c r="H154" s="10" t="s">
        <v>177</v>
      </c>
      <c r="I154" s="5" t="str">
        <f>CHOOSE(MATCH(B154,{"Январь","Февраль","Март","Апрель","Май","Июнь","Июль","Август","Сентябрь","Октябрь","Ноябрь","Декабрь"},0),
"Jan","Feb","Mar","Apr","May","Jun","Jul","Aug","Sep","Oct","Nov","Dec")</f>
        <v>Apr</v>
      </c>
    </row>
    <row r="155" spans="1:9" x14ac:dyDescent="0.35">
      <c r="A155" s="6">
        <v>2023</v>
      </c>
      <c r="B155" s="7" t="s">
        <v>48</v>
      </c>
      <c r="C155" s="7" t="s">
        <v>17</v>
      </c>
      <c r="D155" s="7" t="s">
        <v>14</v>
      </c>
      <c r="E155" s="7" t="s">
        <v>4</v>
      </c>
      <c r="F155" s="8">
        <v>478270</v>
      </c>
      <c r="G155" s="9">
        <v>26</v>
      </c>
      <c r="H155" s="10" t="s">
        <v>178</v>
      </c>
      <c r="I155" s="5" t="str">
        <f>CHOOSE(MATCH(B155,{"Январь","Февраль","Март","Апрель","Май","Июнь","Июль","Август","Сентябрь","Октябрь","Ноябрь","Декабрь"},0),
"Jan","Feb","Mar","Apr","May","Jun","Jul","Aug","Sep","Oct","Nov","Dec")</f>
        <v>Apr</v>
      </c>
    </row>
    <row r="156" spans="1:9" x14ac:dyDescent="0.35">
      <c r="A156" s="6">
        <v>2023</v>
      </c>
      <c r="B156" s="7" t="s">
        <v>48</v>
      </c>
      <c r="C156" s="7" t="s">
        <v>10</v>
      </c>
      <c r="D156" s="7" t="s">
        <v>3</v>
      </c>
      <c r="E156" s="7" t="s">
        <v>8</v>
      </c>
      <c r="F156" s="8">
        <v>520780</v>
      </c>
      <c r="G156" s="9">
        <v>20</v>
      </c>
      <c r="H156" s="10" t="s">
        <v>179</v>
      </c>
      <c r="I156" s="5" t="str">
        <f>CHOOSE(MATCH(B156,{"Январь","Февраль","Март","Апрель","Май","Июнь","Июль","Август","Сентябрь","Октябрь","Ноябрь","Декабрь"},0),
"Jan","Feb","Mar","Apr","May","Jun","Jul","Aug","Sep","Oct","Nov","Dec")</f>
        <v>Apr</v>
      </c>
    </row>
    <row r="157" spans="1:9" x14ac:dyDescent="0.35">
      <c r="A157" s="6">
        <v>2023</v>
      </c>
      <c r="B157" s="7" t="s">
        <v>48</v>
      </c>
      <c r="C157" s="7" t="s">
        <v>2</v>
      </c>
      <c r="D157" s="7" t="s">
        <v>11</v>
      </c>
      <c r="E157" s="7" t="s">
        <v>15</v>
      </c>
      <c r="F157" s="8">
        <v>252410</v>
      </c>
      <c r="G157" s="9">
        <v>16</v>
      </c>
      <c r="H157" s="10" t="s">
        <v>180</v>
      </c>
      <c r="I157" s="5" t="str">
        <f>CHOOSE(MATCH(B157,{"Январь","Февраль","Март","Апрель","Май","Июнь","Июль","Август","Сентябрь","Октябрь","Ноябрь","Декабрь"},0),
"Jan","Feb","Mar","Apr","May","Jun","Jul","Aug","Sep","Oct","Nov","Dec")</f>
        <v>Apr</v>
      </c>
    </row>
    <row r="158" spans="1:9" x14ac:dyDescent="0.35">
      <c r="A158" s="6">
        <v>2023</v>
      </c>
      <c r="B158" s="7" t="s">
        <v>48</v>
      </c>
      <c r="C158" s="7" t="s">
        <v>22</v>
      </c>
      <c r="D158" s="7" t="s">
        <v>18</v>
      </c>
      <c r="E158" s="7" t="s">
        <v>12</v>
      </c>
      <c r="F158" s="8">
        <v>454970</v>
      </c>
      <c r="G158" s="9">
        <v>42</v>
      </c>
      <c r="H158" s="10" t="s">
        <v>181</v>
      </c>
      <c r="I158" s="5" t="str">
        <f>CHOOSE(MATCH(B158,{"Январь","Февраль","Март","Апрель","Май","Июнь","Июль","Август","Сентябрь","Октябрь","Ноябрь","Декабрь"},0),
"Jan","Feb","Mar","Apr","May","Jun","Jul","Aug","Sep","Oct","Nov","Dec")</f>
        <v>Apr</v>
      </c>
    </row>
    <row r="159" spans="1:9" x14ac:dyDescent="0.35">
      <c r="A159" s="6">
        <v>2023</v>
      </c>
      <c r="B159" s="7" t="s">
        <v>48</v>
      </c>
      <c r="C159" s="7" t="s">
        <v>17</v>
      </c>
      <c r="D159" s="7" t="s">
        <v>3</v>
      </c>
      <c r="E159" s="7" t="s">
        <v>12</v>
      </c>
      <c r="F159" s="8">
        <v>404100</v>
      </c>
      <c r="G159" s="9">
        <v>30</v>
      </c>
      <c r="H159" s="10" t="s">
        <v>182</v>
      </c>
      <c r="I159" s="5" t="str">
        <f>CHOOSE(MATCH(B159,{"Январь","Февраль","Март","Апрель","Май","Июнь","Июль","Август","Сентябрь","Октябрь","Ноябрь","Декабрь"},0),
"Jan","Feb","Mar","Apr","May","Jun","Jul","Aug","Sep","Oct","Nov","Dec")</f>
        <v>Apr</v>
      </c>
    </row>
    <row r="160" spans="1:9" x14ac:dyDescent="0.35">
      <c r="A160" s="6">
        <v>2023</v>
      </c>
      <c r="B160" s="7" t="s">
        <v>48</v>
      </c>
      <c r="C160" s="7" t="s">
        <v>2</v>
      </c>
      <c r="D160" s="7" t="s">
        <v>3</v>
      </c>
      <c r="E160" s="7" t="s">
        <v>4</v>
      </c>
      <c r="F160" s="8">
        <v>524630</v>
      </c>
      <c r="G160" s="9">
        <v>27</v>
      </c>
      <c r="H160" s="10" t="s">
        <v>183</v>
      </c>
      <c r="I160" s="5" t="str">
        <f>CHOOSE(MATCH(B160,{"Январь","Февраль","Март","Апрель","Май","Июнь","Июль","Август","Сентябрь","Октябрь","Ноябрь","Декабрь"},0),
"Jan","Feb","Mar","Apr","May","Jun","Jul","Aug","Sep","Oct","Nov","Dec")</f>
        <v>Apr</v>
      </c>
    </row>
    <row r="161" spans="1:9" x14ac:dyDescent="0.35">
      <c r="A161" s="6">
        <v>2023</v>
      </c>
      <c r="B161" s="7" t="s">
        <v>48</v>
      </c>
      <c r="C161" s="7" t="s">
        <v>22</v>
      </c>
      <c r="D161" s="7" t="s">
        <v>18</v>
      </c>
      <c r="E161" s="7" t="s">
        <v>4</v>
      </c>
      <c r="F161" s="8">
        <v>210160</v>
      </c>
      <c r="G161" s="9">
        <v>13</v>
      </c>
      <c r="H161" s="10" t="s">
        <v>184</v>
      </c>
      <c r="I161" s="5" t="str">
        <f>CHOOSE(MATCH(B161,{"Январь","Февраль","Март","Апрель","Май","Июнь","Июль","Август","Сентябрь","Октябрь","Ноябрь","Декабрь"},0),
"Jan","Feb","Mar","Apr","May","Jun","Jul","Aug","Sep","Oct","Nov","Dec")</f>
        <v>Apr</v>
      </c>
    </row>
    <row r="162" spans="1:9" x14ac:dyDescent="0.35">
      <c r="A162" s="6">
        <v>2023</v>
      </c>
      <c r="B162" s="7" t="s">
        <v>48</v>
      </c>
      <c r="C162" s="7" t="s">
        <v>6</v>
      </c>
      <c r="D162" s="7" t="s">
        <v>18</v>
      </c>
      <c r="E162" s="7" t="s">
        <v>12</v>
      </c>
      <c r="F162" s="8">
        <v>367470</v>
      </c>
      <c r="G162" s="9">
        <v>30</v>
      </c>
      <c r="H162" s="10" t="s">
        <v>185</v>
      </c>
      <c r="I162" s="5" t="str">
        <f>CHOOSE(MATCH(B162,{"Январь","Февраль","Март","Апрель","Май","Июнь","Июль","Август","Сентябрь","Октябрь","Ноябрь","Декабрь"},0),
"Jan","Feb","Mar","Apr","May","Jun","Jul","Aug","Sep","Oct","Nov","Dec")</f>
        <v>Apr</v>
      </c>
    </row>
    <row r="163" spans="1:9" x14ac:dyDescent="0.35">
      <c r="A163" s="6">
        <v>2023</v>
      </c>
      <c r="B163" s="7" t="s">
        <v>48</v>
      </c>
      <c r="C163" s="7" t="s">
        <v>10</v>
      </c>
      <c r="D163" s="7" t="s">
        <v>3</v>
      </c>
      <c r="E163" s="7" t="s">
        <v>12</v>
      </c>
      <c r="F163" s="8">
        <v>277070</v>
      </c>
      <c r="G163" s="9">
        <v>17</v>
      </c>
      <c r="H163" s="10" t="s">
        <v>186</v>
      </c>
      <c r="I163" s="5" t="str">
        <f>CHOOSE(MATCH(B163,{"Январь","Февраль","Март","Апрель","Май","Июнь","Июль","Август","Сентябрь","Октябрь","Ноябрь","Декабрь"},0),
"Jan","Feb","Mar","Apr","May","Jun","Jul","Aug","Sep","Oct","Nov","Dec")</f>
        <v>Apr</v>
      </c>
    </row>
    <row r="164" spans="1:9" x14ac:dyDescent="0.35">
      <c r="A164" s="6">
        <v>2023</v>
      </c>
      <c r="B164" s="7" t="s">
        <v>59</v>
      </c>
      <c r="C164" s="7" t="s">
        <v>10</v>
      </c>
      <c r="D164" s="7" t="s">
        <v>18</v>
      </c>
      <c r="E164" s="7" t="s">
        <v>4</v>
      </c>
      <c r="F164" s="8">
        <v>764240</v>
      </c>
      <c r="G164" s="9">
        <v>35</v>
      </c>
      <c r="H164" s="10" t="s">
        <v>187</v>
      </c>
      <c r="I164" s="5" t="str">
        <f>CHOOSE(MATCH(B164,{"Январь","Февраль","Март","Апрель","Май","Июнь","Июль","Август","Сентябрь","Октябрь","Ноябрь","Декабрь"},0),
"Jan","Feb","Mar","Apr","May","Jun","Jul","Aug","Sep","Oct","Nov","Dec")</f>
        <v>May</v>
      </c>
    </row>
    <row r="165" spans="1:9" x14ac:dyDescent="0.35">
      <c r="A165" s="6">
        <v>2023</v>
      </c>
      <c r="B165" s="7" t="s">
        <v>59</v>
      </c>
      <c r="C165" s="7" t="s">
        <v>6</v>
      </c>
      <c r="D165" s="7" t="s">
        <v>11</v>
      </c>
      <c r="E165" s="7" t="s">
        <v>15</v>
      </c>
      <c r="F165" s="8">
        <v>231050</v>
      </c>
      <c r="G165" s="9">
        <v>17</v>
      </c>
      <c r="H165" s="10" t="s">
        <v>188</v>
      </c>
      <c r="I165" s="5" t="str">
        <f>CHOOSE(MATCH(B165,{"Январь","Февраль","Март","Апрель","Май","Июнь","Июль","Август","Сентябрь","Октябрь","Ноябрь","Декабрь"},0),
"Jan","Feb","Mar","Apr","May","Jun","Jul","Aug","Sep","Oct","Nov","Dec")</f>
        <v>May</v>
      </c>
    </row>
    <row r="166" spans="1:9" x14ac:dyDescent="0.35">
      <c r="A166" s="6">
        <v>2023</v>
      </c>
      <c r="B166" s="7" t="s">
        <v>59</v>
      </c>
      <c r="C166" s="7" t="s">
        <v>6</v>
      </c>
      <c r="D166" s="7" t="s">
        <v>14</v>
      </c>
      <c r="E166" s="7" t="s">
        <v>8</v>
      </c>
      <c r="F166" s="8">
        <v>391250</v>
      </c>
      <c r="G166" s="9">
        <v>20</v>
      </c>
      <c r="H166" s="10" t="s">
        <v>189</v>
      </c>
      <c r="I166" s="5" t="str">
        <f>CHOOSE(MATCH(B166,{"Январь","Февраль","Март","Апрель","Май","Июнь","Июль","Август","Сентябрь","Октябрь","Ноябрь","Декабрь"},0),
"Jan","Feb","Mar","Apr","May","Jun","Jul","Aug","Sep","Oct","Nov","Dec")</f>
        <v>May</v>
      </c>
    </row>
    <row r="167" spans="1:9" x14ac:dyDescent="0.35">
      <c r="A167" s="6">
        <v>2023</v>
      </c>
      <c r="B167" s="7" t="s">
        <v>59</v>
      </c>
      <c r="C167" s="7" t="s">
        <v>17</v>
      </c>
      <c r="D167" s="7" t="s">
        <v>11</v>
      </c>
      <c r="E167" s="7" t="s">
        <v>15</v>
      </c>
      <c r="F167" s="8">
        <v>559360</v>
      </c>
      <c r="G167" s="9">
        <v>36</v>
      </c>
      <c r="H167" s="10" t="s">
        <v>190</v>
      </c>
      <c r="I167" s="5" t="str">
        <f>CHOOSE(MATCH(B167,{"Январь","Февраль","Март","Апрель","Май","Июнь","Июль","Август","Сентябрь","Октябрь","Ноябрь","Декабрь"},0),
"Jan","Feb","Mar","Apr","May","Jun","Jul","Aug","Sep","Oct","Nov","Dec")</f>
        <v>May</v>
      </c>
    </row>
    <row r="168" spans="1:9" x14ac:dyDescent="0.35">
      <c r="A168" s="6">
        <v>2023</v>
      </c>
      <c r="B168" s="7" t="s">
        <v>59</v>
      </c>
      <c r="C168" s="7" t="s">
        <v>6</v>
      </c>
      <c r="D168" s="7" t="s">
        <v>14</v>
      </c>
      <c r="E168" s="7" t="s">
        <v>12</v>
      </c>
      <c r="F168" s="8">
        <v>152080</v>
      </c>
      <c r="G168" s="9">
        <v>13</v>
      </c>
      <c r="H168" s="10" t="s">
        <v>191</v>
      </c>
      <c r="I168" s="5" t="str">
        <f>CHOOSE(MATCH(B168,{"Январь","Февраль","Март","Апрель","Май","Июнь","Июль","Август","Сентябрь","Октябрь","Ноябрь","Декабрь"},0),
"Jan","Feb","Mar","Apr","May","Jun","Jul","Aug","Sep","Oct","Nov","Dec")</f>
        <v>May</v>
      </c>
    </row>
    <row r="169" spans="1:9" x14ac:dyDescent="0.35">
      <c r="A169" s="6">
        <v>2023</v>
      </c>
      <c r="B169" s="7" t="s">
        <v>59</v>
      </c>
      <c r="C169" s="7" t="s">
        <v>10</v>
      </c>
      <c r="D169" s="7" t="s">
        <v>11</v>
      </c>
      <c r="E169" s="7" t="s">
        <v>15</v>
      </c>
      <c r="F169" s="8">
        <v>253050</v>
      </c>
      <c r="G169" s="9">
        <v>14</v>
      </c>
      <c r="H169" s="10" t="s">
        <v>192</v>
      </c>
      <c r="I169" s="5" t="str">
        <f>CHOOSE(MATCH(B169,{"Январь","Февраль","Март","Апрель","Май","Июнь","Июль","Август","Сентябрь","Октябрь","Ноябрь","Декабрь"},0),
"Jan","Feb","Mar","Apr","May","Jun","Jul","Aug","Sep","Oct","Nov","Dec")</f>
        <v>May</v>
      </c>
    </row>
    <row r="170" spans="1:9" x14ac:dyDescent="0.35">
      <c r="A170" s="6">
        <v>2023</v>
      </c>
      <c r="B170" s="7" t="s">
        <v>59</v>
      </c>
      <c r="C170" s="7" t="s">
        <v>22</v>
      </c>
      <c r="D170" s="7" t="s">
        <v>7</v>
      </c>
      <c r="E170" s="7" t="s">
        <v>8</v>
      </c>
      <c r="F170" s="8">
        <v>476680</v>
      </c>
      <c r="G170" s="9">
        <v>27</v>
      </c>
      <c r="H170" s="10" t="s">
        <v>193</v>
      </c>
      <c r="I170" s="5" t="str">
        <f>CHOOSE(MATCH(B170,{"Январь","Февраль","Март","Апрель","Май","Июнь","Июль","Август","Сентябрь","Октябрь","Ноябрь","Декабрь"},0),
"Jan","Feb","Mar","Apr","May","Jun","Jul","Aug","Sep","Oct","Nov","Dec")</f>
        <v>May</v>
      </c>
    </row>
    <row r="171" spans="1:9" x14ac:dyDescent="0.35">
      <c r="A171" s="6">
        <v>2023</v>
      </c>
      <c r="B171" s="7" t="s">
        <v>59</v>
      </c>
      <c r="C171" s="7" t="s">
        <v>17</v>
      </c>
      <c r="D171" s="7" t="s">
        <v>18</v>
      </c>
      <c r="E171" s="7" t="s">
        <v>12</v>
      </c>
      <c r="F171" s="8">
        <v>312570</v>
      </c>
      <c r="G171" s="9">
        <v>23</v>
      </c>
      <c r="H171" s="10" t="s">
        <v>194</v>
      </c>
      <c r="I171" s="5" t="str">
        <f>CHOOSE(MATCH(B171,{"Январь","Февраль","Март","Апрель","Май","Июнь","Июль","Август","Сентябрь","Октябрь","Ноябрь","Декабрь"},0),
"Jan","Feb","Mar","Apr","May","Jun","Jul","Aug","Sep","Oct","Nov","Dec")</f>
        <v>May</v>
      </c>
    </row>
    <row r="172" spans="1:9" x14ac:dyDescent="0.35">
      <c r="A172" s="6">
        <v>2023</v>
      </c>
      <c r="B172" s="7" t="s">
        <v>59</v>
      </c>
      <c r="C172" s="7" t="s">
        <v>22</v>
      </c>
      <c r="D172" s="7" t="s">
        <v>7</v>
      </c>
      <c r="E172" s="7" t="s">
        <v>4</v>
      </c>
      <c r="F172" s="8">
        <v>336920</v>
      </c>
      <c r="G172" s="9">
        <v>22</v>
      </c>
      <c r="H172" s="10" t="s">
        <v>195</v>
      </c>
      <c r="I172" s="5" t="str">
        <f>CHOOSE(MATCH(B172,{"Январь","Февраль","Март","Апрель","Май","Июнь","Июль","Август","Сентябрь","Октябрь","Ноябрь","Декабрь"},0),
"Jan","Feb","Mar","Apr","May","Jun","Jul","Aug","Sep","Oct","Nov","Dec")</f>
        <v>May</v>
      </c>
    </row>
    <row r="173" spans="1:9" x14ac:dyDescent="0.35">
      <c r="A173" s="6">
        <v>2023</v>
      </c>
      <c r="B173" s="7" t="s">
        <v>59</v>
      </c>
      <c r="C173" s="7" t="s">
        <v>6</v>
      </c>
      <c r="D173" s="7" t="s">
        <v>3</v>
      </c>
      <c r="E173" s="7" t="s">
        <v>15</v>
      </c>
      <c r="F173" s="8">
        <v>540920</v>
      </c>
      <c r="G173" s="9">
        <v>37</v>
      </c>
      <c r="H173" s="10" t="s">
        <v>196</v>
      </c>
      <c r="I173" s="5" t="str">
        <f>CHOOSE(MATCH(B173,{"Январь","Февраль","Март","Апрель","Май","Июнь","Июль","Август","Сентябрь","Октябрь","Ноябрь","Декабрь"},0),
"Jan","Feb","Mar","Apr","May","Jun","Jul","Aug","Sep","Oct","Nov","Dec")</f>
        <v>May</v>
      </c>
    </row>
    <row r="174" spans="1:9" x14ac:dyDescent="0.35">
      <c r="A174" s="6">
        <v>2023</v>
      </c>
      <c r="B174" s="7" t="s">
        <v>70</v>
      </c>
      <c r="C174" s="7" t="s">
        <v>2</v>
      </c>
      <c r="D174" s="7" t="s">
        <v>7</v>
      </c>
      <c r="E174" s="7" t="s">
        <v>12</v>
      </c>
      <c r="F174" s="8">
        <v>312990</v>
      </c>
      <c r="G174" s="9">
        <v>24</v>
      </c>
      <c r="H174" s="10" t="s">
        <v>197</v>
      </c>
      <c r="I174" s="5" t="str">
        <f>CHOOSE(MATCH(B174,{"Январь","Февраль","Март","Апрель","Май","Июнь","Июль","Август","Сентябрь","Октябрь","Ноябрь","Декабрь"},0),
"Jan","Feb","Mar","Apr","May","Jun","Jul","Aug","Sep","Oct","Nov","Dec")</f>
        <v>Jun</v>
      </c>
    </row>
    <row r="175" spans="1:9" x14ac:dyDescent="0.35">
      <c r="A175" s="6">
        <v>2023</v>
      </c>
      <c r="B175" s="7" t="s">
        <v>70</v>
      </c>
      <c r="C175" s="7" t="s">
        <v>2</v>
      </c>
      <c r="D175" s="7" t="s">
        <v>11</v>
      </c>
      <c r="E175" s="7" t="s">
        <v>4</v>
      </c>
      <c r="F175" s="8">
        <v>269050</v>
      </c>
      <c r="G175" s="9">
        <v>13</v>
      </c>
      <c r="H175" s="10" t="s">
        <v>198</v>
      </c>
      <c r="I175" s="5" t="str">
        <f>CHOOSE(MATCH(B175,{"Январь","Февраль","Март","Апрель","Май","Июнь","Июль","Август","Сентябрь","Октябрь","Ноябрь","Декабрь"},0),
"Jan","Feb","Mar","Apr","May","Jun","Jul","Aug","Sep","Oct","Nov","Dec")</f>
        <v>Jun</v>
      </c>
    </row>
    <row r="176" spans="1:9" x14ac:dyDescent="0.35">
      <c r="A176" s="6">
        <v>2023</v>
      </c>
      <c r="B176" s="7" t="s">
        <v>70</v>
      </c>
      <c r="C176" s="7" t="s">
        <v>17</v>
      </c>
      <c r="D176" s="7" t="s">
        <v>7</v>
      </c>
      <c r="E176" s="7" t="s">
        <v>15</v>
      </c>
      <c r="F176" s="8">
        <v>380090</v>
      </c>
      <c r="G176" s="9">
        <v>26</v>
      </c>
      <c r="H176" s="10" t="s">
        <v>199</v>
      </c>
      <c r="I176" s="5" t="str">
        <f>CHOOSE(MATCH(B176,{"Январь","Февраль","Март","Апрель","Май","Июнь","Июль","Август","Сентябрь","Октябрь","Ноябрь","Декабрь"},0),
"Jan","Feb","Mar","Apr","May","Jun","Jul","Aug","Sep","Oct","Nov","Dec")</f>
        <v>Jun</v>
      </c>
    </row>
    <row r="177" spans="1:9" x14ac:dyDescent="0.35">
      <c r="A177" s="6">
        <v>2023</v>
      </c>
      <c r="B177" s="7" t="s">
        <v>70</v>
      </c>
      <c r="C177" s="7" t="s">
        <v>6</v>
      </c>
      <c r="D177" s="7" t="s">
        <v>7</v>
      </c>
      <c r="E177" s="7" t="s">
        <v>4</v>
      </c>
      <c r="F177" s="8">
        <v>524860</v>
      </c>
      <c r="G177" s="9">
        <v>33</v>
      </c>
      <c r="H177" s="10" t="s">
        <v>200</v>
      </c>
      <c r="I177" s="5" t="str">
        <f>CHOOSE(MATCH(B177,{"Январь","Февраль","Март","Апрель","Май","Июнь","Июль","Август","Сентябрь","Октябрь","Ноябрь","Декабрь"},0),
"Jan","Feb","Mar","Apr","May","Jun","Jul","Aug","Sep","Oct","Nov","Dec")</f>
        <v>Jun</v>
      </c>
    </row>
    <row r="178" spans="1:9" x14ac:dyDescent="0.35">
      <c r="A178" s="6">
        <v>2023</v>
      </c>
      <c r="B178" s="7" t="s">
        <v>70</v>
      </c>
      <c r="C178" s="7" t="s">
        <v>22</v>
      </c>
      <c r="D178" s="7" t="s">
        <v>7</v>
      </c>
      <c r="E178" s="7" t="s">
        <v>15</v>
      </c>
      <c r="F178" s="8">
        <v>468110</v>
      </c>
      <c r="G178" s="9">
        <v>37</v>
      </c>
      <c r="H178" s="10" t="s">
        <v>201</v>
      </c>
      <c r="I178" s="5" t="str">
        <f>CHOOSE(MATCH(B178,{"Январь","Февраль","Март","Апрель","Май","Июнь","Июль","Август","Сентябрь","Октябрь","Ноябрь","Декабрь"},0),
"Jan","Feb","Mar","Apr","May","Jun","Jul","Aug","Sep","Oct","Nov","Dec")</f>
        <v>Jun</v>
      </c>
    </row>
    <row r="179" spans="1:9" x14ac:dyDescent="0.35">
      <c r="A179" s="6">
        <v>2023</v>
      </c>
      <c r="B179" s="7" t="s">
        <v>70</v>
      </c>
      <c r="C179" s="7" t="s">
        <v>6</v>
      </c>
      <c r="D179" s="7" t="s">
        <v>7</v>
      </c>
      <c r="E179" s="7" t="s">
        <v>4</v>
      </c>
      <c r="F179" s="8">
        <v>501960</v>
      </c>
      <c r="G179" s="9">
        <v>31</v>
      </c>
      <c r="H179" s="10" t="s">
        <v>202</v>
      </c>
      <c r="I179" s="5" t="str">
        <f>CHOOSE(MATCH(B179,{"Январь","Февраль","Март","Апрель","Май","Июнь","Июль","Август","Сентябрь","Октябрь","Ноябрь","Декабрь"},0),
"Jan","Feb","Mar","Apr","May","Jun","Jul","Aug","Sep","Oct","Nov","Dec")</f>
        <v>Jun</v>
      </c>
    </row>
    <row r="180" spans="1:9" x14ac:dyDescent="0.35">
      <c r="A180" s="6">
        <v>2023</v>
      </c>
      <c r="B180" s="7" t="s">
        <v>70</v>
      </c>
      <c r="C180" s="7" t="s">
        <v>10</v>
      </c>
      <c r="D180" s="7" t="s">
        <v>3</v>
      </c>
      <c r="E180" s="7" t="s">
        <v>8</v>
      </c>
      <c r="F180" s="8">
        <v>317120</v>
      </c>
      <c r="G180" s="9">
        <v>12</v>
      </c>
      <c r="H180" s="10" t="s">
        <v>203</v>
      </c>
      <c r="I180" s="5" t="str">
        <f>CHOOSE(MATCH(B180,{"Январь","Февраль","Март","Апрель","Май","Июнь","Июль","Август","Сентябрь","Октябрь","Ноябрь","Декабрь"},0),
"Jan","Feb","Mar","Apr","May","Jun","Jul","Aug","Sep","Oct","Nov","Dec")</f>
        <v>Jun</v>
      </c>
    </row>
    <row r="181" spans="1:9" x14ac:dyDescent="0.35">
      <c r="A181" s="6">
        <v>2023</v>
      </c>
      <c r="B181" s="7" t="s">
        <v>70</v>
      </c>
      <c r="C181" s="7" t="s">
        <v>22</v>
      </c>
      <c r="D181" s="7" t="s">
        <v>3</v>
      </c>
      <c r="E181" s="7" t="s">
        <v>8</v>
      </c>
      <c r="F181" s="8">
        <v>587920</v>
      </c>
      <c r="G181" s="9">
        <v>33</v>
      </c>
      <c r="H181" s="10" t="s">
        <v>204</v>
      </c>
      <c r="I181" s="5" t="str">
        <f>CHOOSE(MATCH(B181,{"Январь","Февраль","Март","Апрель","Май","Июнь","Июль","Август","Сентябрь","Октябрь","Ноябрь","Декабрь"},0),
"Jan","Feb","Mar","Apr","May","Jun","Jul","Aug","Sep","Oct","Nov","Dec")</f>
        <v>Jun</v>
      </c>
    </row>
    <row r="182" spans="1:9" x14ac:dyDescent="0.35">
      <c r="A182" s="6">
        <v>2023</v>
      </c>
      <c r="B182" s="7" t="s">
        <v>70</v>
      </c>
      <c r="C182" s="7" t="s">
        <v>22</v>
      </c>
      <c r="D182" s="7" t="s">
        <v>3</v>
      </c>
      <c r="E182" s="7" t="s">
        <v>15</v>
      </c>
      <c r="F182" s="8">
        <v>172580</v>
      </c>
      <c r="G182" s="9">
        <v>14</v>
      </c>
      <c r="H182" s="10" t="s">
        <v>205</v>
      </c>
      <c r="I182" s="5" t="str">
        <f>CHOOSE(MATCH(B182,{"Январь","Февраль","Март","Апрель","Май","Июнь","Июль","Август","Сентябрь","Октябрь","Ноябрь","Декабрь"},0),
"Jan","Feb","Mar","Apr","May","Jun","Jul","Aug","Sep","Oct","Nov","Dec")</f>
        <v>Jun</v>
      </c>
    </row>
    <row r="183" spans="1:9" x14ac:dyDescent="0.35">
      <c r="A183" s="6">
        <v>2023</v>
      </c>
      <c r="B183" s="7" t="s">
        <v>70</v>
      </c>
      <c r="C183" s="7" t="s">
        <v>17</v>
      </c>
      <c r="D183" s="7" t="s">
        <v>3</v>
      </c>
      <c r="E183" s="7" t="s">
        <v>15</v>
      </c>
      <c r="F183" s="8">
        <v>523340</v>
      </c>
      <c r="G183" s="9">
        <v>34</v>
      </c>
      <c r="H183" s="10" t="s">
        <v>206</v>
      </c>
      <c r="I183" s="5" t="str">
        <f>CHOOSE(MATCH(B183,{"Январь","Февраль","Март","Апрель","Май","Июнь","Июль","Август","Сентябрь","Октябрь","Ноябрь","Декабрь"},0),
"Jan","Feb","Mar","Apr","May","Jun","Jul","Aug","Sep","Oct","Nov","Dec")</f>
        <v>Jun</v>
      </c>
    </row>
    <row r="184" spans="1:9" x14ac:dyDescent="0.35">
      <c r="A184" s="6">
        <v>2023</v>
      </c>
      <c r="B184" s="7" t="s">
        <v>81</v>
      </c>
      <c r="C184" s="7" t="s">
        <v>10</v>
      </c>
      <c r="D184" s="7" t="s">
        <v>7</v>
      </c>
      <c r="E184" s="7" t="s">
        <v>8</v>
      </c>
      <c r="F184" s="8">
        <v>931210</v>
      </c>
      <c r="G184" s="9">
        <v>38</v>
      </c>
      <c r="H184" s="10" t="s">
        <v>207</v>
      </c>
      <c r="I184" s="5" t="str">
        <f>CHOOSE(MATCH(B184,{"Январь","Февраль","Март","Апрель","Май","Июнь","Июль","Август","Сентябрь","Октябрь","Ноябрь","Декабрь"},0),
"Jan","Feb","Mar","Apr","May","Jun","Jul","Aug","Sep","Oct","Nov","Dec")</f>
        <v>Jul</v>
      </c>
    </row>
    <row r="185" spans="1:9" x14ac:dyDescent="0.35">
      <c r="A185" s="6">
        <v>2023</v>
      </c>
      <c r="B185" s="7" t="s">
        <v>81</v>
      </c>
      <c r="C185" s="7" t="s">
        <v>22</v>
      </c>
      <c r="D185" s="7" t="s">
        <v>18</v>
      </c>
      <c r="E185" s="7" t="s">
        <v>4</v>
      </c>
      <c r="F185" s="8">
        <v>615390</v>
      </c>
      <c r="G185" s="9">
        <v>40</v>
      </c>
      <c r="H185" s="10" t="s">
        <v>208</v>
      </c>
      <c r="I185" s="5" t="str">
        <f>CHOOSE(MATCH(B185,{"Январь","Февраль","Март","Апрель","Май","Июнь","Июль","Август","Сентябрь","Октябрь","Ноябрь","Декабрь"},0),
"Jan","Feb","Mar","Apr","May","Jun","Jul","Aug","Sep","Oct","Nov","Dec")</f>
        <v>Jul</v>
      </c>
    </row>
    <row r="186" spans="1:9" x14ac:dyDescent="0.35">
      <c r="A186" s="6">
        <v>2023</v>
      </c>
      <c r="B186" s="7" t="s">
        <v>81</v>
      </c>
      <c r="C186" s="7" t="s">
        <v>2</v>
      </c>
      <c r="D186" s="7" t="s">
        <v>3</v>
      </c>
      <c r="E186" s="7" t="s">
        <v>12</v>
      </c>
      <c r="F186" s="8">
        <v>185980</v>
      </c>
      <c r="G186" s="9">
        <v>13</v>
      </c>
      <c r="H186" s="10" t="s">
        <v>209</v>
      </c>
      <c r="I186" s="5" t="str">
        <f>CHOOSE(MATCH(B186,{"Январь","Февраль","Март","Апрель","Май","Июнь","Июль","Август","Сентябрь","Октябрь","Ноябрь","Декабрь"},0),
"Jan","Feb","Mar","Apr","May","Jun","Jul","Aug","Sep","Oct","Nov","Dec")</f>
        <v>Jul</v>
      </c>
    </row>
    <row r="187" spans="1:9" x14ac:dyDescent="0.35">
      <c r="A187" s="6">
        <v>2023</v>
      </c>
      <c r="B187" s="7" t="s">
        <v>81</v>
      </c>
      <c r="C187" s="7" t="s">
        <v>6</v>
      </c>
      <c r="D187" s="7" t="s">
        <v>3</v>
      </c>
      <c r="E187" s="7" t="s">
        <v>4</v>
      </c>
      <c r="F187" s="8">
        <v>310710</v>
      </c>
      <c r="G187" s="9">
        <v>19</v>
      </c>
      <c r="H187" s="10" t="s">
        <v>210</v>
      </c>
      <c r="I187" s="5" t="str">
        <f>CHOOSE(MATCH(B187,{"Январь","Февраль","Март","Апрель","Май","Июнь","Июль","Август","Сентябрь","Октябрь","Ноябрь","Декабрь"},0),
"Jan","Feb","Mar","Apr","May","Jun","Jul","Aug","Sep","Oct","Nov","Dec")</f>
        <v>Jul</v>
      </c>
    </row>
    <row r="188" spans="1:9" x14ac:dyDescent="0.35">
      <c r="A188" s="6">
        <v>2023</v>
      </c>
      <c r="B188" s="7" t="s">
        <v>81</v>
      </c>
      <c r="C188" s="7" t="s">
        <v>2</v>
      </c>
      <c r="D188" s="7" t="s">
        <v>18</v>
      </c>
      <c r="E188" s="7" t="s">
        <v>4</v>
      </c>
      <c r="F188" s="8">
        <v>633570</v>
      </c>
      <c r="G188" s="9">
        <v>34</v>
      </c>
      <c r="H188" s="10" t="s">
        <v>211</v>
      </c>
      <c r="I188" s="5" t="str">
        <f>CHOOSE(MATCH(B188,{"Январь","Февраль","Март","Апрель","Май","Июнь","Июль","Август","Сентябрь","Октябрь","Ноябрь","Декабрь"},0),
"Jan","Feb","Mar","Apr","May","Jun","Jul","Aug","Sep","Oct","Nov","Dec")</f>
        <v>Jul</v>
      </c>
    </row>
    <row r="189" spans="1:9" x14ac:dyDescent="0.35">
      <c r="A189" s="6">
        <v>2023</v>
      </c>
      <c r="B189" s="7" t="s">
        <v>81</v>
      </c>
      <c r="C189" s="7" t="s">
        <v>22</v>
      </c>
      <c r="D189" s="7" t="s">
        <v>18</v>
      </c>
      <c r="E189" s="7" t="s">
        <v>15</v>
      </c>
      <c r="F189" s="8">
        <v>284770</v>
      </c>
      <c r="G189" s="9">
        <v>21</v>
      </c>
      <c r="H189" s="10" t="s">
        <v>212</v>
      </c>
      <c r="I189" s="5" t="str">
        <f>CHOOSE(MATCH(B189,{"Январь","Февраль","Март","Апрель","Май","Июнь","Июль","Август","Сентябрь","Октябрь","Ноябрь","Декабрь"},0),
"Jan","Feb","Mar","Apr","May","Jun","Jul","Aug","Sep","Oct","Nov","Dec")</f>
        <v>Jul</v>
      </c>
    </row>
    <row r="190" spans="1:9" x14ac:dyDescent="0.35">
      <c r="A190" s="6">
        <v>2023</v>
      </c>
      <c r="B190" s="7" t="s">
        <v>81</v>
      </c>
      <c r="C190" s="7" t="s">
        <v>17</v>
      </c>
      <c r="D190" s="7" t="s">
        <v>3</v>
      </c>
      <c r="E190" s="7" t="s">
        <v>4</v>
      </c>
      <c r="F190" s="8">
        <v>227240</v>
      </c>
      <c r="G190" s="9">
        <v>13</v>
      </c>
      <c r="H190" s="10" t="s">
        <v>213</v>
      </c>
      <c r="I190" s="5" t="str">
        <f>CHOOSE(MATCH(B190,{"Январь","Февраль","Март","Апрель","Май","Июнь","Июль","Август","Сентябрь","Октябрь","Ноябрь","Декабрь"},0),
"Jan","Feb","Mar","Apr","May","Jun","Jul","Aug","Sep","Oct","Nov","Dec")</f>
        <v>Jul</v>
      </c>
    </row>
    <row r="191" spans="1:9" x14ac:dyDescent="0.35">
      <c r="A191" s="6">
        <v>2023</v>
      </c>
      <c r="B191" s="7" t="s">
        <v>81</v>
      </c>
      <c r="C191" s="7" t="s">
        <v>10</v>
      </c>
      <c r="D191" s="7" t="s">
        <v>7</v>
      </c>
      <c r="E191" s="7" t="s">
        <v>8</v>
      </c>
      <c r="F191" s="8">
        <v>944710</v>
      </c>
      <c r="G191" s="9">
        <v>38</v>
      </c>
      <c r="H191" s="10" t="s">
        <v>214</v>
      </c>
      <c r="I191" s="5" t="str">
        <f>CHOOSE(MATCH(B191,{"Январь","Февраль","Март","Апрель","Май","Июнь","Июль","Август","Сентябрь","Октябрь","Ноябрь","Декабрь"},0),
"Jan","Feb","Mar","Apr","May","Jun","Jul","Aug","Sep","Oct","Nov","Dec")</f>
        <v>Jul</v>
      </c>
    </row>
    <row r="192" spans="1:9" x14ac:dyDescent="0.35">
      <c r="A192" s="6">
        <v>2023</v>
      </c>
      <c r="B192" s="7" t="s">
        <v>81</v>
      </c>
      <c r="C192" s="7" t="s">
        <v>10</v>
      </c>
      <c r="D192" s="7" t="s">
        <v>7</v>
      </c>
      <c r="E192" s="7" t="s">
        <v>8</v>
      </c>
      <c r="F192" s="8">
        <v>682750</v>
      </c>
      <c r="G192" s="9">
        <v>27</v>
      </c>
      <c r="H192" s="10" t="s">
        <v>215</v>
      </c>
      <c r="I192" s="5" t="str">
        <f>CHOOSE(MATCH(B192,{"Январь","Февраль","Март","Апрель","Май","Июнь","Июль","Август","Сентябрь","Октябрь","Ноябрь","Декабрь"},0),
"Jan","Feb","Mar","Apr","May","Jun","Jul","Aug","Sep","Oct","Nov","Dec")</f>
        <v>Jul</v>
      </c>
    </row>
    <row r="193" spans="1:9" x14ac:dyDescent="0.35">
      <c r="A193" s="6">
        <v>2023</v>
      </c>
      <c r="B193" s="7" t="s">
        <v>81</v>
      </c>
      <c r="C193" s="7" t="s">
        <v>6</v>
      </c>
      <c r="D193" s="7" t="s">
        <v>7</v>
      </c>
      <c r="E193" s="7" t="s">
        <v>15</v>
      </c>
      <c r="F193" s="8">
        <v>485010</v>
      </c>
      <c r="G193" s="9">
        <v>36</v>
      </c>
      <c r="H193" s="10" t="s">
        <v>216</v>
      </c>
      <c r="I193" s="5" t="str">
        <f>CHOOSE(MATCH(B193,{"Январь","Февраль","Март","Апрель","Май","Июнь","Июль","Август","Сентябрь","Октябрь","Ноябрь","Декабрь"},0),
"Jan","Feb","Mar","Apr","May","Jun","Jul","Aug","Sep","Oct","Nov","Dec")</f>
        <v>Jul</v>
      </c>
    </row>
    <row r="194" spans="1:9" x14ac:dyDescent="0.35">
      <c r="A194" s="6">
        <v>2023</v>
      </c>
      <c r="B194" s="7" t="s">
        <v>92</v>
      </c>
      <c r="C194" s="7" t="s">
        <v>22</v>
      </c>
      <c r="D194" s="7" t="s">
        <v>7</v>
      </c>
      <c r="E194" s="7" t="s">
        <v>4</v>
      </c>
      <c r="F194" s="8">
        <v>346460</v>
      </c>
      <c r="G194" s="9">
        <v>23</v>
      </c>
      <c r="H194" s="10" t="s">
        <v>217</v>
      </c>
      <c r="I194" s="5" t="str">
        <f>CHOOSE(MATCH(B194,{"Январь","Февраль","Март","Апрель","Май","Июнь","Июль","Август","Сентябрь","Октябрь","Ноябрь","Декабрь"},0),
"Jan","Feb","Mar","Apr","May","Jun","Jul","Aug","Sep","Oct","Nov","Dec")</f>
        <v>Aug</v>
      </c>
    </row>
    <row r="195" spans="1:9" x14ac:dyDescent="0.35">
      <c r="A195" s="6">
        <v>2023</v>
      </c>
      <c r="B195" s="7" t="s">
        <v>92</v>
      </c>
      <c r="C195" s="7" t="s">
        <v>2</v>
      </c>
      <c r="D195" s="7" t="s">
        <v>11</v>
      </c>
      <c r="E195" s="7" t="s">
        <v>4</v>
      </c>
      <c r="F195" s="8">
        <v>549430</v>
      </c>
      <c r="G195" s="9">
        <v>28</v>
      </c>
      <c r="H195" s="10" t="s">
        <v>218</v>
      </c>
      <c r="I195" s="5" t="str">
        <f>CHOOSE(MATCH(B195,{"Январь","Февраль","Март","Апрель","Май","Июнь","Июль","Август","Сентябрь","Октябрь","Ноябрь","Декабрь"},0),
"Jan","Feb","Mar","Apr","May","Jun","Jul","Aug","Sep","Oct","Nov","Dec")</f>
        <v>Aug</v>
      </c>
    </row>
    <row r="196" spans="1:9" x14ac:dyDescent="0.35">
      <c r="A196" s="6">
        <v>2023</v>
      </c>
      <c r="B196" s="7" t="s">
        <v>92</v>
      </c>
      <c r="C196" s="7" t="s">
        <v>2</v>
      </c>
      <c r="D196" s="7" t="s">
        <v>3</v>
      </c>
      <c r="E196" s="7" t="s">
        <v>15</v>
      </c>
      <c r="F196" s="8">
        <v>251100</v>
      </c>
      <c r="G196" s="9">
        <v>16</v>
      </c>
      <c r="H196" s="10" t="s">
        <v>219</v>
      </c>
      <c r="I196" s="5" t="str">
        <f>CHOOSE(MATCH(B196,{"Январь","Февраль","Март","Апрель","Май","Июнь","Июль","Август","Сентябрь","Октябрь","Ноябрь","Декабрь"},0),
"Jan","Feb","Mar","Apr","May","Jun","Jul","Aug","Sep","Oct","Nov","Dec")</f>
        <v>Aug</v>
      </c>
    </row>
    <row r="197" spans="1:9" x14ac:dyDescent="0.35">
      <c r="A197" s="6">
        <v>2023</v>
      </c>
      <c r="B197" s="7" t="s">
        <v>92</v>
      </c>
      <c r="C197" s="7" t="s">
        <v>2</v>
      </c>
      <c r="D197" s="7" t="s">
        <v>18</v>
      </c>
      <c r="E197" s="7" t="s">
        <v>4</v>
      </c>
      <c r="F197" s="8">
        <v>270050</v>
      </c>
      <c r="G197" s="9">
        <v>15</v>
      </c>
      <c r="H197" s="10" t="s">
        <v>220</v>
      </c>
      <c r="I197" s="5" t="str">
        <f>CHOOSE(MATCH(B197,{"Январь","Февраль","Март","Апрель","Май","Июнь","Июль","Август","Сентябрь","Октябрь","Ноябрь","Декабрь"},0),
"Jan","Feb","Mar","Apr","May","Jun","Jul","Aug","Sep","Oct","Nov","Dec")</f>
        <v>Aug</v>
      </c>
    </row>
    <row r="198" spans="1:9" x14ac:dyDescent="0.35">
      <c r="A198" s="6">
        <v>2023</v>
      </c>
      <c r="B198" s="7" t="s">
        <v>92</v>
      </c>
      <c r="C198" s="7" t="s">
        <v>22</v>
      </c>
      <c r="D198" s="7" t="s">
        <v>18</v>
      </c>
      <c r="E198" s="7" t="s">
        <v>4</v>
      </c>
      <c r="F198" s="8">
        <v>548750</v>
      </c>
      <c r="G198" s="9">
        <v>36</v>
      </c>
      <c r="H198" s="10" t="s">
        <v>221</v>
      </c>
      <c r="I198" s="5" t="str">
        <f>CHOOSE(MATCH(B198,{"Январь","Февраль","Март","Апрель","Май","Июнь","Июль","Август","Сентябрь","Октябрь","Ноябрь","Декабрь"},0),
"Jan","Feb","Mar","Apr","May","Jun","Jul","Aug","Sep","Oct","Nov","Dec")</f>
        <v>Aug</v>
      </c>
    </row>
    <row r="199" spans="1:9" x14ac:dyDescent="0.35">
      <c r="A199" s="6">
        <v>2023</v>
      </c>
      <c r="B199" s="7" t="s">
        <v>92</v>
      </c>
      <c r="C199" s="7" t="s">
        <v>2</v>
      </c>
      <c r="D199" s="7" t="s">
        <v>14</v>
      </c>
      <c r="E199" s="7" t="s">
        <v>8</v>
      </c>
      <c r="F199" s="8">
        <v>418570</v>
      </c>
      <c r="G199" s="9">
        <v>19</v>
      </c>
      <c r="H199" s="10" t="s">
        <v>222</v>
      </c>
      <c r="I199" s="5" t="str">
        <f>CHOOSE(MATCH(B199,{"Январь","Февраль","Март","Апрель","Май","Июнь","Июль","Август","Сентябрь","Октябрь","Ноябрь","Декабрь"},0),
"Jan","Feb","Mar","Apr","May","Jun","Jul","Aug","Sep","Oct","Nov","Dec")</f>
        <v>Aug</v>
      </c>
    </row>
    <row r="200" spans="1:9" x14ac:dyDescent="0.35">
      <c r="A200" s="6">
        <v>2023</v>
      </c>
      <c r="B200" s="7" t="s">
        <v>92</v>
      </c>
      <c r="C200" s="7" t="s">
        <v>22</v>
      </c>
      <c r="D200" s="7" t="s">
        <v>18</v>
      </c>
      <c r="E200" s="7" t="s">
        <v>8</v>
      </c>
      <c r="F200" s="8">
        <v>256180</v>
      </c>
      <c r="G200" s="9">
        <v>14</v>
      </c>
      <c r="H200" s="10" t="s">
        <v>223</v>
      </c>
      <c r="I200" s="5" t="str">
        <f>CHOOSE(MATCH(B200,{"Январь","Февраль","Март","Апрель","Май","Июнь","Июль","Август","Сентябрь","Октябрь","Ноябрь","Декабрь"},0),
"Jan","Feb","Mar","Apr","May","Jun","Jul","Aug","Sep","Oct","Nov","Dec")</f>
        <v>Aug</v>
      </c>
    </row>
    <row r="201" spans="1:9" x14ac:dyDescent="0.35">
      <c r="A201" s="6">
        <v>2023</v>
      </c>
      <c r="B201" s="7" t="s">
        <v>92</v>
      </c>
      <c r="C201" s="7" t="s">
        <v>10</v>
      </c>
      <c r="D201" s="7" t="s">
        <v>7</v>
      </c>
      <c r="E201" s="7" t="s">
        <v>12</v>
      </c>
      <c r="F201" s="8">
        <v>565640</v>
      </c>
      <c r="G201" s="9">
        <v>35</v>
      </c>
      <c r="H201" s="10" t="s">
        <v>224</v>
      </c>
      <c r="I201" s="5" t="str">
        <f>CHOOSE(MATCH(B201,{"Январь","Февраль","Март","Апрель","Май","Июнь","Июль","Август","Сентябрь","Октябрь","Ноябрь","Декабрь"},0),
"Jan","Feb","Mar","Apr","May","Jun","Jul","Aug","Sep","Oct","Nov","Dec")</f>
        <v>Aug</v>
      </c>
    </row>
    <row r="202" spans="1:9" x14ac:dyDescent="0.35">
      <c r="A202" s="6">
        <v>2023</v>
      </c>
      <c r="B202" s="7" t="s">
        <v>92</v>
      </c>
      <c r="C202" s="7" t="s">
        <v>2</v>
      </c>
      <c r="D202" s="7" t="s">
        <v>7</v>
      </c>
      <c r="E202" s="7" t="s">
        <v>12</v>
      </c>
      <c r="F202" s="8">
        <v>379910</v>
      </c>
      <c r="G202" s="9">
        <v>29</v>
      </c>
      <c r="H202" s="10" t="s">
        <v>225</v>
      </c>
      <c r="I202" s="5" t="str">
        <f>CHOOSE(MATCH(B202,{"Январь","Февраль","Март","Апрель","Май","Июнь","Июль","Август","Сентябрь","Октябрь","Ноябрь","Декабрь"},0),
"Jan","Feb","Mar","Apr","May","Jun","Jul","Aug","Sep","Oct","Nov","Dec")</f>
        <v>Aug</v>
      </c>
    </row>
    <row r="203" spans="1:9" x14ac:dyDescent="0.35">
      <c r="A203" s="6">
        <v>2023</v>
      </c>
      <c r="B203" s="7" t="s">
        <v>92</v>
      </c>
      <c r="C203" s="7" t="s">
        <v>2</v>
      </c>
      <c r="D203" s="7" t="s">
        <v>7</v>
      </c>
      <c r="E203" s="7" t="s">
        <v>12</v>
      </c>
      <c r="F203" s="8">
        <v>376720</v>
      </c>
      <c r="G203" s="9">
        <v>27</v>
      </c>
      <c r="H203" s="10" t="s">
        <v>226</v>
      </c>
      <c r="I203" s="5" t="str">
        <f>CHOOSE(MATCH(B203,{"Январь","Февраль","Март","Апрель","Май","Июнь","Июль","Август","Сентябрь","Октябрь","Ноябрь","Декабрь"},0),
"Jan","Feb","Mar","Apr","May","Jun","Jul","Aug","Sep","Oct","Nov","Dec")</f>
        <v>Aug</v>
      </c>
    </row>
    <row r="204" spans="1:9" x14ac:dyDescent="0.35">
      <c r="A204" s="6">
        <v>2023</v>
      </c>
      <c r="B204" s="7" t="s">
        <v>103</v>
      </c>
      <c r="C204" s="7" t="s">
        <v>22</v>
      </c>
      <c r="D204" s="7" t="s">
        <v>18</v>
      </c>
      <c r="E204" s="7" t="s">
        <v>8</v>
      </c>
      <c r="F204" s="8">
        <v>573950</v>
      </c>
      <c r="G204" s="9">
        <v>34</v>
      </c>
      <c r="H204" s="10" t="s">
        <v>227</v>
      </c>
      <c r="I204" s="5" t="str">
        <f>CHOOSE(MATCH(B204,{"Январь","Февраль","Март","Апрель","Май","Июнь","Июль","Август","Сентябрь","Октябрь","Ноябрь","Декабрь"},0),
"Jan","Feb","Mar","Apr","May","Jun","Jul","Aug","Sep","Oct","Nov","Dec")</f>
        <v>Sep</v>
      </c>
    </row>
    <row r="205" spans="1:9" x14ac:dyDescent="0.35">
      <c r="A205" s="6">
        <v>2023</v>
      </c>
      <c r="B205" s="7" t="s">
        <v>103</v>
      </c>
      <c r="C205" s="7" t="s">
        <v>10</v>
      </c>
      <c r="D205" s="7" t="s">
        <v>18</v>
      </c>
      <c r="E205" s="7" t="s">
        <v>8</v>
      </c>
      <c r="F205" s="8">
        <v>1005920</v>
      </c>
      <c r="G205" s="9">
        <v>40</v>
      </c>
      <c r="H205" s="10" t="s">
        <v>228</v>
      </c>
      <c r="I205" s="5" t="str">
        <f>CHOOSE(MATCH(B205,{"Январь","Февраль","Март","Апрель","Май","Июнь","Июль","Август","Сентябрь","Октябрь","Ноябрь","Декабрь"},0),
"Jan","Feb","Mar","Apr","May","Jun","Jul","Aug","Sep","Oct","Nov","Dec")</f>
        <v>Sep</v>
      </c>
    </row>
    <row r="206" spans="1:9" x14ac:dyDescent="0.35">
      <c r="A206" s="6">
        <v>2023</v>
      </c>
      <c r="B206" s="7" t="s">
        <v>103</v>
      </c>
      <c r="C206" s="7" t="s">
        <v>6</v>
      </c>
      <c r="D206" s="7" t="s">
        <v>18</v>
      </c>
      <c r="E206" s="7" t="s">
        <v>8</v>
      </c>
      <c r="F206" s="8">
        <v>714390</v>
      </c>
      <c r="G206" s="9">
        <v>38</v>
      </c>
      <c r="H206" s="10" t="s">
        <v>229</v>
      </c>
      <c r="I206" s="5" t="str">
        <f>CHOOSE(MATCH(B206,{"Январь","Февраль","Март","Апрель","Май","Июнь","Июль","Август","Сентябрь","Октябрь","Ноябрь","Декабрь"},0),
"Jan","Feb","Mar","Apr","May","Jun","Jul","Aug","Sep","Oct","Nov","Dec")</f>
        <v>Sep</v>
      </c>
    </row>
    <row r="207" spans="1:9" x14ac:dyDescent="0.35">
      <c r="A207" s="6">
        <v>2023</v>
      </c>
      <c r="B207" s="7" t="s">
        <v>103</v>
      </c>
      <c r="C207" s="7" t="s">
        <v>6</v>
      </c>
      <c r="D207" s="7" t="s">
        <v>3</v>
      </c>
      <c r="E207" s="7" t="s">
        <v>15</v>
      </c>
      <c r="F207" s="8">
        <v>520410</v>
      </c>
      <c r="G207" s="9">
        <v>37</v>
      </c>
      <c r="H207" s="10" t="s">
        <v>230</v>
      </c>
      <c r="I207" s="5" t="str">
        <f>CHOOSE(MATCH(B207,{"Январь","Февраль","Март","Апрель","Май","Июнь","Июль","Август","Сентябрь","Октябрь","Ноябрь","Декабрь"},0),
"Jan","Feb","Mar","Apr","May","Jun","Jul","Aug","Sep","Oct","Nov","Dec")</f>
        <v>Sep</v>
      </c>
    </row>
    <row r="208" spans="1:9" x14ac:dyDescent="0.35">
      <c r="A208" s="6">
        <v>2023</v>
      </c>
      <c r="B208" s="7" t="s">
        <v>103</v>
      </c>
      <c r="C208" s="7" t="s">
        <v>10</v>
      </c>
      <c r="D208" s="7" t="s">
        <v>7</v>
      </c>
      <c r="E208" s="7" t="s">
        <v>15</v>
      </c>
      <c r="F208" s="8">
        <v>520880</v>
      </c>
      <c r="G208" s="9">
        <v>29</v>
      </c>
      <c r="H208" s="10" t="s">
        <v>231</v>
      </c>
      <c r="I208" s="5" t="str">
        <f>CHOOSE(MATCH(B208,{"Январь","Февраль","Март","Апрель","Май","Июнь","Июль","Август","Сентябрь","Октябрь","Ноябрь","Декабрь"},0),
"Jan","Feb","Mar","Apr","May","Jun","Jul","Aug","Sep","Oct","Nov","Dec")</f>
        <v>Sep</v>
      </c>
    </row>
    <row r="209" spans="1:9" x14ac:dyDescent="0.35">
      <c r="A209" s="6">
        <v>2023</v>
      </c>
      <c r="B209" s="7" t="s">
        <v>103</v>
      </c>
      <c r="C209" s="7" t="s">
        <v>22</v>
      </c>
      <c r="D209" s="7" t="s">
        <v>18</v>
      </c>
      <c r="E209" s="7" t="s">
        <v>8</v>
      </c>
      <c r="F209" s="8">
        <v>504960</v>
      </c>
      <c r="G209" s="9">
        <v>28</v>
      </c>
      <c r="H209" s="10" t="s">
        <v>232</v>
      </c>
      <c r="I209" s="5" t="str">
        <f>CHOOSE(MATCH(B209,{"Январь","Февраль","Март","Апрель","Май","Июнь","Июль","Август","Сентябрь","Октябрь","Ноябрь","Декабрь"},0),
"Jan","Feb","Mar","Apr","May","Jun","Jul","Aug","Sep","Oct","Nov","Dec")</f>
        <v>Sep</v>
      </c>
    </row>
    <row r="210" spans="1:9" x14ac:dyDescent="0.35">
      <c r="A210" s="6">
        <v>2023</v>
      </c>
      <c r="B210" s="7" t="s">
        <v>103</v>
      </c>
      <c r="C210" s="7" t="s">
        <v>6</v>
      </c>
      <c r="D210" s="7" t="s">
        <v>3</v>
      </c>
      <c r="E210" s="7" t="s">
        <v>15</v>
      </c>
      <c r="F210" s="8">
        <v>340400</v>
      </c>
      <c r="G210" s="9">
        <v>24</v>
      </c>
      <c r="H210" s="10" t="s">
        <v>233</v>
      </c>
      <c r="I210" s="5" t="str">
        <f>CHOOSE(MATCH(B210,{"Январь","Февраль","Март","Апрель","Май","Июнь","Июль","Август","Сентябрь","Октябрь","Ноябрь","Декабрь"},0),
"Jan","Feb","Mar","Apr","May","Jun","Jul","Aug","Sep","Oct","Nov","Dec")</f>
        <v>Sep</v>
      </c>
    </row>
    <row r="211" spans="1:9" x14ac:dyDescent="0.35">
      <c r="A211" s="6">
        <v>2023</v>
      </c>
      <c r="B211" s="7" t="s">
        <v>103</v>
      </c>
      <c r="C211" s="7" t="s">
        <v>22</v>
      </c>
      <c r="D211" s="7" t="s">
        <v>3</v>
      </c>
      <c r="E211" s="7" t="s">
        <v>15</v>
      </c>
      <c r="F211" s="8">
        <v>333020</v>
      </c>
      <c r="G211" s="9">
        <v>26</v>
      </c>
      <c r="H211" s="10" t="s">
        <v>234</v>
      </c>
      <c r="I211" s="5" t="str">
        <f>CHOOSE(MATCH(B211,{"Январь","Февраль","Март","Апрель","Май","Июнь","Июль","Август","Сентябрь","Октябрь","Ноябрь","Декабрь"},0),
"Jan","Feb","Mar","Apr","May","Jun","Jul","Aug","Sep","Oct","Nov","Dec")</f>
        <v>Sep</v>
      </c>
    </row>
    <row r="212" spans="1:9" x14ac:dyDescent="0.35">
      <c r="A212" s="6">
        <v>2023</v>
      </c>
      <c r="B212" s="7" t="s">
        <v>103</v>
      </c>
      <c r="C212" s="7" t="s">
        <v>6</v>
      </c>
      <c r="D212" s="7" t="s">
        <v>3</v>
      </c>
      <c r="E212" s="7" t="s">
        <v>12</v>
      </c>
      <c r="F212" s="8">
        <v>539650</v>
      </c>
      <c r="G212" s="9">
        <v>42</v>
      </c>
      <c r="H212" s="10" t="s">
        <v>235</v>
      </c>
      <c r="I212" s="5" t="str">
        <f>CHOOSE(MATCH(B212,{"Январь","Февраль","Март","Апрель","Май","Июнь","Июль","Август","Сентябрь","Октябрь","Ноябрь","Декабрь"},0),
"Jan","Feb","Mar","Apr","May","Jun","Jul","Aug","Sep","Oct","Nov","Dec")</f>
        <v>Sep</v>
      </c>
    </row>
    <row r="213" spans="1:9" x14ac:dyDescent="0.35">
      <c r="A213" s="6">
        <v>2023</v>
      </c>
      <c r="B213" s="7" t="s">
        <v>103</v>
      </c>
      <c r="C213" s="7" t="s">
        <v>2</v>
      </c>
      <c r="D213" s="7" t="s">
        <v>3</v>
      </c>
      <c r="E213" s="7" t="s">
        <v>15</v>
      </c>
      <c r="F213" s="8">
        <v>389060</v>
      </c>
      <c r="G213" s="9">
        <v>24</v>
      </c>
      <c r="H213" s="10" t="s">
        <v>236</v>
      </c>
      <c r="I213" s="5" t="str">
        <f>CHOOSE(MATCH(B213,{"Январь","Февраль","Март","Апрель","Май","Июнь","Июль","Август","Сентябрь","Октябрь","Ноябрь","Декабрь"},0),
"Jan","Feb","Mar","Apr","May","Jun","Jul","Aug","Sep","Oct","Nov","Dec")</f>
        <v>Sep</v>
      </c>
    </row>
    <row r="214" spans="1:9" x14ac:dyDescent="0.35">
      <c r="A214" s="6">
        <v>2023</v>
      </c>
      <c r="B214" s="7" t="s">
        <v>114</v>
      </c>
      <c r="C214" s="7" t="s">
        <v>2</v>
      </c>
      <c r="D214" s="7" t="s">
        <v>18</v>
      </c>
      <c r="E214" s="7" t="s">
        <v>15</v>
      </c>
      <c r="F214" s="8">
        <v>238880</v>
      </c>
      <c r="G214" s="9">
        <v>14</v>
      </c>
      <c r="H214" s="10" t="s">
        <v>237</v>
      </c>
      <c r="I214" s="5" t="str">
        <f>CHOOSE(MATCH(B214,{"Январь","Февраль","Март","Апрель","Май","Июнь","Июль","Август","Сентябрь","Октябрь","Ноябрь","Декабрь"},0),
"Jan","Feb","Mar","Apr","May","Jun","Jul","Aug","Sep","Oct","Nov","Dec")</f>
        <v>Oct</v>
      </c>
    </row>
    <row r="215" spans="1:9" x14ac:dyDescent="0.35">
      <c r="A215" s="6">
        <v>2023</v>
      </c>
      <c r="B215" s="7" t="s">
        <v>114</v>
      </c>
      <c r="C215" s="7" t="s">
        <v>10</v>
      </c>
      <c r="D215" s="7" t="s">
        <v>7</v>
      </c>
      <c r="E215" s="7" t="s">
        <v>12</v>
      </c>
      <c r="F215" s="8">
        <v>307580</v>
      </c>
      <c r="G215" s="9">
        <v>19</v>
      </c>
      <c r="H215" s="10" t="s">
        <v>238</v>
      </c>
      <c r="I215" s="5" t="str">
        <f>CHOOSE(MATCH(B215,{"Январь","Февраль","Март","Апрель","Май","Июнь","Июль","Август","Сентябрь","Октябрь","Ноябрь","Декабрь"},0),
"Jan","Feb","Mar","Apr","May","Jun","Jul","Aug","Sep","Oct","Nov","Dec")</f>
        <v>Oct</v>
      </c>
    </row>
    <row r="216" spans="1:9" x14ac:dyDescent="0.35">
      <c r="A216" s="6">
        <v>2023</v>
      </c>
      <c r="B216" s="7" t="s">
        <v>114</v>
      </c>
      <c r="C216" s="7" t="s">
        <v>17</v>
      </c>
      <c r="D216" s="7" t="s">
        <v>11</v>
      </c>
      <c r="E216" s="7" t="s">
        <v>15</v>
      </c>
      <c r="F216" s="8">
        <v>622600</v>
      </c>
      <c r="G216" s="9">
        <v>39</v>
      </c>
      <c r="H216" s="10" t="s">
        <v>239</v>
      </c>
      <c r="I216" s="5" t="str">
        <f>CHOOSE(MATCH(B216,{"Январь","Февраль","Март","Апрель","Май","Июнь","Июль","Август","Сентябрь","Октябрь","Ноябрь","Декабрь"},0),
"Jan","Feb","Mar","Apr","May","Jun","Jul","Aug","Sep","Oct","Nov","Dec")</f>
        <v>Oct</v>
      </c>
    </row>
    <row r="217" spans="1:9" x14ac:dyDescent="0.35">
      <c r="A217" s="6">
        <v>2023</v>
      </c>
      <c r="B217" s="7" t="s">
        <v>114</v>
      </c>
      <c r="C217" s="7" t="s">
        <v>17</v>
      </c>
      <c r="D217" s="7" t="s">
        <v>11</v>
      </c>
      <c r="E217" s="7" t="s">
        <v>12</v>
      </c>
      <c r="F217" s="8">
        <v>536350</v>
      </c>
      <c r="G217" s="9">
        <v>39</v>
      </c>
      <c r="H217" s="10" t="s">
        <v>240</v>
      </c>
      <c r="I217" s="5" t="str">
        <f>CHOOSE(MATCH(B217,{"Январь","Февраль","Март","Апрель","Май","Июнь","Июль","Август","Сентябрь","Октябрь","Ноябрь","Декабрь"},0),
"Jan","Feb","Mar","Apr","May","Jun","Jul","Aug","Sep","Oct","Nov","Dec")</f>
        <v>Oct</v>
      </c>
    </row>
    <row r="218" spans="1:9" x14ac:dyDescent="0.35">
      <c r="A218" s="6">
        <v>2023</v>
      </c>
      <c r="B218" s="7" t="s">
        <v>114</v>
      </c>
      <c r="C218" s="7" t="s">
        <v>22</v>
      </c>
      <c r="D218" s="7" t="s">
        <v>18</v>
      </c>
      <c r="E218" s="7" t="s">
        <v>4</v>
      </c>
      <c r="F218" s="8">
        <v>584200</v>
      </c>
      <c r="G218" s="9">
        <v>39</v>
      </c>
      <c r="H218" s="10" t="s">
        <v>241</v>
      </c>
      <c r="I218" s="5" t="str">
        <f>CHOOSE(MATCH(B218,{"Январь","Февраль","Март","Апрель","Май","Июнь","Июль","Август","Сентябрь","Октябрь","Ноябрь","Декабрь"},0),
"Jan","Feb","Mar","Apr","May","Jun","Jul","Aug","Sep","Oct","Nov","Dec")</f>
        <v>Oct</v>
      </c>
    </row>
    <row r="219" spans="1:9" x14ac:dyDescent="0.35">
      <c r="A219" s="6">
        <v>2023</v>
      </c>
      <c r="B219" s="7" t="s">
        <v>114</v>
      </c>
      <c r="C219" s="7" t="s">
        <v>6</v>
      </c>
      <c r="D219" s="7" t="s">
        <v>3</v>
      </c>
      <c r="E219" s="7" t="s">
        <v>8</v>
      </c>
      <c r="F219" s="8">
        <v>686360</v>
      </c>
      <c r="G219" s="9">
        <v>36</v>
      </c>
      <c r="H219" s="10" t="s">
        <v>242</v>
      </c>
      <c r="I219" s="5" t="str">
        <f>CHOOSE(MATCH(B219,{"Январь","Февраль","Март","Апрель","Май","Июнь","Июль","Август","Сентябрь","Октябрь","Ноябрь","Декабрь"},0),
"Jan","Feb","Mar","Apr","May","Jun","Jul","Aug","Sep","Oct","Nov","Dec")</f>
        <v>Oct</v>
      </c>
    </row>
    <row r="220" spans="1:9" x14ac:dyDescent="0.35">
      <c r="A220" s="6">
        <v>2023</v>
      </c>
      <c r="B220" s="7" t="s">
        <v>114</v>
      </c>
      <c r="C220" s="7" t="s">
        <v>10</v>
      </c>
      <c r="D220" s="7" t="s">
        <v>18</v>
      </c>
      <c r="E220" s="7" t="s">
        <v>12</v>
      </c>
      <c r="F220" s="8">
        <v>290410</v>
      </c>
      <c r="G220" s="9">
        <v>17</v>
      </c>
      <c r="H220" s="10" t="s">
        <v>243</v>
      </c>
      <c r="I220" s="5" t="str">
        <f>CHOOSE(MATCH(B220,{"Январь","Февраль","Март","Апрель","Май","Июнь","Июль","Август","Сентябрь","Октябрь","Ноябрь","Декабрь"},0),
"Jan","Feb","Mar","Apr","May","Jun","Jul","Aug","Sep","Oct","Nov","Dec")</f>
        <v>Oct</v>
      </c>
    </row>
    <row r="221" spans="1:9" x14ac:dyDescent="0.35">
      <c r="A221" s="6">
        <v>2023</v>
      </c>
      <c r="B221" s="7" t="s">
        <v>114</v>
      </c>
      <c r="C221" s="7" t="s">
        <v>10</v>
      </c>
      <c r="D221" s="7" t="s">
        <v>11</v>
      </c>
      <c r="E221" s="7" t="s">
        <v>15</v>
      </c>
      <c r="F221" s="8">
        <v>360970</v>
      </c>
      <c r="G221" s="9">
        <v>18</v>
      </c>
      <c r="H221" s="10" t="s">
        <v>244</v>
      </c>
      <c r="I221" s="5" t="str">
        <f>CHOOSE(MATCH(B221,{"Январь","Февраль","Март","Апрель","Май","Июнь","Июль","Август","Сентябрь","Октябрь","Ноябрь","Декабрь"},0),
"Jan","Feb","Mar","Apr","May","Jun","Jul","Aug","Sep","Oct","Nov","Dec")</f>
        <v>Oct</v>
      </c>
    </row>
    <row r="222" spans="1:9" x14ac:dyDescent="0.35">
      <c r="A222" s="6">
        <v>2023</v>
      </c>
      <c r="B222" s="7" t="s">
        <v>114</v>
      </c>
      <c r="C222" s="7" t="s">
        <v>22</v>
      </c>
      <c r="D222" s="7" t="s">
        <v>18</v>
      </c>
      <c r="E222" s="7" t="s">
        <v>8</v>
      </c>
      <c r="F222" s="8">
        <v>466580</v>
      </c>
      <c r="G222" s="9">
        <v>27</v>
      </c>
      <c r="H222" s="10" t="s">
        <v>245</v>
      </c>
      <c r="I222" s="5" t="str">
        <f>CHOOSE(MATCH(B222,{"Январь","Февраль","Март","Апрель","Май","Июнь","Июль","Август","Сентябрь","Октябрь","Ноябрь","Декабрь"},0),
"Jan","Feb","Mar","Apr","May","Jun","Jul","Aug","Sep","Oct","Nov","Dec")</f>
        <v>Oct</v>
      </c>
    </row>
    <row r="223" spans="1:9" x14ac:dyDescent="0.35">
      <c r="A223" s="6">
        <v>2023</v>
      </c>
      <c r="B223" s="7" t="s">
        <v>114</v>
      </c>
      <c r="C223" s="7" t="s">
        <v>6</v>
      </c>
      <c r="D223" s="7" t="s">
        <v>3</v>
      </c>
      <c r="E223" s="7" t="s">
        <v>8</v>
      </c>
      <c r="F223" s="8">
        <v>615640</v>
      </c>
      <c r="G223" s="9">
        <v>32</v>
      </c>
      <c r="H223" s="10" t="s">
        <v>246</v>
      </c>
      <c r="I223" s="5" t="str">
        <f>CHOOSE(MATCH(B223,{"Январь","Февраль","Март","Апрель","Май","Июнь","Июль","Август","Сентябрь","Октябрь","Ноябрь","Декабрь"},0),
"Jan","Feb","Mar","Apr","May","Jun","Jul","Aug","Sep","Oct","Nov","Dec")</f>
        <v>Oct</v>
      </c>
    </row>
    <row r="224" spans="1:9" x14ac:dyDescent="0.35">
      <c r="A224" s="6">
        <v>2023</v>
      </c>
      <c r="B224" s="7" t="s">
        <v>125</v>
      </c>
      <c r="C224" s="7" t="s">
        <v>22</v>
      </c>
      <c r="D224" s="7" t="s">
        <v>18</v>
      </c>
      <c r="E224" s="7" t="s">
        <v>12</v>
      </c>
      <c r="F224" s="8">
        <v>400020</v>
      </c>
      <c r="G224" s="9">
        <v>36</v>
      </c>
      <c r="H224" s="10" t="s">
        <v>247</v>
      </c>
      <c r="I224" s="5" t="str">
        <f>CHOOSE(MATCH(B224,{"Январь","Февраль","Март","Апрель","Май","Июнь","Июль","Август","Сентябрь","Октябрь","Ноябрь","Декабрь"},0),
"Jan","Feb","Mar","Apr","May","Jun","Jul","Aug","Sep","Oct","Nov","Dec")</f>
        <v>Nov</v>
      </c>
    </row>
    <row r="225" spans="1:9" x14ac:dyDescent="0.35">
      <c r="A225" s="6">
        <v>2023</v>
      </c>
      <c r="B225" s="7" t="s">
        <v>125</v>
      </c>
      <c r="C225" s="7" t="s">
        <v>22</v>
      </c>
      <c r="D225" s="7" t="s">
        <v>11</v>
      </c>
      <c r="E225" s="7" t="s">
        <v>8</v>
      </c>
      <c r="F225" s="8">
        <v>293720</v>
      </c>
      <c r="G225" s="9">
        <v>17</v>
      </c>
      <c r="H225" s="10" t="s">
        <v>248</v>
      </c>
      <c r="I225" s="5" t="str">
        <f>CHOOSE(MATCH(B225,{"Январь","Февраль","Март","Апрель","Май","Июнь","Июль","Август","Сентябрь","Октябрь","Ноябрь","Декабрь"},0),
"Jan","Feb","Mar","Apr","May","Jun","Jul","Aug","Sep","Oct","Nov","Dec")</f>
        <v>Nov</v>
      </c>
    </row>
    <row r="226" spans="1:9" x14ac:dyDescent="0.35">
      <c r="A226" s="6">
        <v>2023</v>
      </c>
      <c r="B226" s="7" t="s">
        <v>125</v>
      </c>
      <c r="C226" s="7" t="s">
        <v>17</v>
      </c>
      <c r="D226" s="7" t="s">
        <v>18</v>
      </c>
      <c r="E226" s="7" t="s">
        <v>12</v>
      </c>
      <c r="F226" s="8">
        <v>274140</v>
      </c>
      <c r="G226" s="9">
        <v>21</v>
      </c>
      <c r="H226" s="10" t="s">
        <v>249</v>
      </c>
      <c r="I226" s="5" t="str">
        <f>CHOOSE(MATCH(B226,{"Январь","Февраль","Март","Апрель","Май","Июнь","Июль","Август","Сентябрь","Октябрь","Ноябрь","Декабрь"},0),
"Jan","Feb","Mar","Apr","May","Jun","Jul","Aug","Sep","Oct","Nov","Dec")</f>
        <v>Nov</v>
      </c>
    </row>
    <row r="227" spans="1:9" x14ac:dyDescent="0.35">
      <c r="A227" s="6">
        <v>2023</v>
      </c>
      <c r="B227" s="7" t="s">
        <v>125</v>
      </c>
      <c r="C227" s="7" t="s">
        <v>6</v>
      </c>
      <c r="D227" s="7" t="s">
        <v>11</v>
      </c>
      <c r="E227" s="7" t="s">
        <v>15</v>
      </c>
      <c r="F227" s="8">
        <v>564710</v>
      </c>
      <c r="G227" s="9">
        <v>41</v>
      </c>
      <c r="H227" s="10" t="s">
        <v>250</v>
      </c>
      <c r="I227" s="5" t="str">
        <f>CHOOSE(MATCH(B227,{"Январь","Февраль","Март","Апрель","Май","Июнь","Июль","Август","Сентябрь","Октябрь","Ноябрь","Декабрь"},0),
"Jan","Feb","Mar","Apr","May","Jun","Jul","Aug","Sep","Oct","Nov","Dec")</f>
        <v>Nov</v>
      </c>
    </row>
    <row r="228" spans="1:9" x14ac:dyDescent="0.35">
      <c r="A228" s="6">
        <v>2023</v>
      </c>
      <c r="B228" s="7" t="s">
        <v>125</v>
      </c>
      <c r="C228" s="7" t="s">
        <v>22</v>
      </c>
      <c r="D228" s="7" t="s">
        <v>18</v>
      </c>
      <c r="E228" s="7" t="s">
        <v>4</v>
      </c>
      <c r="F228" s="8">
        <v>384480</v>
      </c>
      <c r="G228" s="9">
        <v>26</v>
      </c>
      <c r="H228" s="10" t="s">
        <v>251</v>
      </c>
      <c r="I228" s="5" t="str">
        <f>CHOOSE(MATCH(B228,{"Январь","Февраль","Март","Апрель","Май","Июнь","Июль","Август","Сентябрь","Октябрь","Ноябрь","Декабрь"},0),
"Jan","Feb","Mar","Apr","May","Jun","Jul","Aug","Sep","Oct","Nov","Dec")</f>
        <v>Nov</v>
      </c>
    </row>
    <row r="229" spans="1:9" x14ac:dyDescent="0.35">
      <c r="A229" s="6">
        <v>2023</v>
      </c>
      <c r="B229" s="7" t="s">
        <v>125</v>
      </c>
      <c r="C229" s="7" t="s">
        <v>10</v>
      </c>
      <c r="D229" s="7" t="s">
        <v>18</v>
      </c>
      <c r="E229" s="7" t="s">
        <v>4</v>
      </c>
      <c r="F229" s="8">
        <v>731940</v>
      </c>
      <c r="G229" s="9">
        <v>33</v>
      </c>
      <c r="H229" s="10" t="s">
        <v>252</v>
      </c>
      <c r="I229" s="5" t="str">
        <f>CHOOSE(MATCH(B229,{"Январь","Февраль","Март","Апрель","Май","Июнь","Июль","Август","Сентябрь","Октябрь","Ноябрь","Декабрь"},0),
"Jan","Feb","Mar","Apr","May","Jun","Jul","Aug","Sep","Oct","Nov","Dec")</f>
        <v>Nov</v>
      </c>
    </row>
    <row r="230" spans="1:9" x14ac:dyDescent="0.35">
      <c r="A230" s="6">
        <v>2023</v>
      </c>
      <c r="B230" s="7" t="s">
        <v>125</v>
      </c>
      <c r="C230" s="7" t="s">
        <v>6</v>
      </c>
      <c r="D230" s="7" t="s">
        <v>11</v>
      </c>
      <c r="E230" s="7" t="s">
        <v>4</v>
      </c>
      <c r="F230" s="8">
        <v>597340</v>
      </c>
      <c r="G230" s="9">
        <v>36</v>
      </c>
      <c r="H230" s="10" t="s">
        <v>253</v>
      </c>
      <c r="I230" s="5" t="str">
        <f>CHOOSE(MATCH(B230,{"Январь","Февраль","Март","Апрель","Май","Июнь","Июль","Август","Сентябрь","Октябрь","Ноябрь","Декабрь"},0),
"Jan","Feb","Mar","Apr","May","Jun","Jul","Aug","Sep","Oct","Nov","Dec")</f>
        <v>Nov</v>
      </c>
    </row>
    <row r="231" spans="1:9" x14ac:dyDescent="0.35">
      <c r="A231" s="6">
        <v>2023</v>
      </c>
      <c r="B231" s="7" t="s">
        <v>125</v>
      </c>
      <c r="C231" s="7" t="s">
        <v>2</v>
      </c>
      <c r="D231" s="7" t="s">
        <v>18</v>
      </c>
      <c r="E231" s="7" t="s">
        <v>8</v>
      </c>
      <c r="F231" s="8">
        <v>333300</v>
      </c>
      <c r="G231" s="9">
        <v>16</v>
      </c>
      <c r="H231" s="10" t="s">
        <v>254</v>
      </c>
      <c r="I231" s="5" t="str">
        <f>CHOOSE(MATCH(B231,{"Январь","Февраль","Март","Апрель","Май","Июнь","Июль","Август","Сентябрь","Октябрь","Ноябрь","Декабрь"},0),
"Jan","Feb","Mar","Apr","May","Jun","Jul","Aug","Sep","Oct","Nov","Dec")</f>
        <v>Nov</v>
      </c>
    </row>
    <row r="232" spans="1:9" x14ac:dyDescent="0.35">
      <c r="A232" s="6">
        <v>2023</v>
      </c>
      <c r="B232" s="7" t="s">
        <v>125</v>
      </c>
      <c r="C232" s="7" t="s">
        <v>6</v>
      </c>
      <c r="D232" s="7" t="s">
        <v>14</v>
      </c>
      <c r="E232" s="7" t="s">
        <v>8</v>
      </c>
      <c r="F232" s="8">
        <v>255460</v>
      </c>
      <c r="G232" s="9">
        <v>14</v>
      </c>
      <c r="H232" s="10" t="s">
        <v>255</v>
      </c>
      <c r="I232" s="5" t="str">
        <f>CHOOSE(MATCH(B232,{"Январь","Февраль","Март","Апрель","Май","Июнь","Июль","Август","Сентябрь","Октябрь","Ноябрь","Декабрь"},0),
"Jan","Feb","Mar","Apr","May","Jun","Jul","Aug","Sep","Oct","Nov","Dec")</f>
        <v>Nov</v>
      </c>
    </row>
    <row r="233" spans="1:9" x14ac:dyDescent="0.35">
      <c r="A233" s="6">
        <v>2023</v>
      </c>
      <c r="B233" s="7" t="s">
        <v>125</v>
      </c>
      <c r="C233" s="7" t="s">
        <v>22</v>
      </c>
      <c r="D233" s="7" t="s">
        <v>11</v>
      </c>
      <c r="E233" s="7" t="s">
        <v>8</v>
      </c>
      <c r="F233" s="8">
        <v>592680</v>
      </c>
      <c r="G233" s="9">
        <v>33</v>
      </c>
      <c r="H233" s="10" t="s">
        <v>256</v>
      </c>
      <c r="I233" s="5" t="str">
        <f>CHOOSE(MATCH(B233,{"Январь","Февраль","Март","Апрель","Май","Июнь","Июль","Август","Сентябрь","Октябрь","Ноябрь","Декабрь"},0),
"Jan","Feb","Mar","Apr","May","Jun","Jul","Aug","Sep","Oct","Nov","Dec")</f>
        <v>Nov</v>
      </c>
    </row>
    <row r="234" spans="1:9" x14ac:dyDescent="0.35">
      <c r="A234" s="6">
        <v>2023</v>
      </c>
      <c r="B234" s="7" t="s">
        <v>136</v>
      </c>
      <c r="C234" s="7" t="s">
        <v>2</v>
      </c>
      <c r="D234" s="7" t="s">
        <v>7</v>
      </c>
      <c r="E234" s="7" t="s">
        <v>12</v>
      </c>
      <c r="F234" s="8">
        <v>519650</v>
      </c>
      <c r="G234" s="9">
        <v>38</v>
      </c>
      <c r="H234" s="10" t="s">
        <v>257</v>
      </c>
      <c r="I234" s="5" t="str">
        <f>CHOOSE(MATCH(B234,{"Январь","Февраль","Март","Апрель","Май","Июнь","Июль","Август","Сентябрь","Октябрь","Ноябрь","Декабрь"},0),
"Jan","Feb","Mar","Apr","May","Jun","Jul","Aug","Sep","Oct","Nov","Dec")</f>
        <v>Dec</v>
      </c>
    </row>
    <row r="235" spans="1:9" x14ac:dyDescent="0.35">
      <c r="A235" s="6">
        <v>2023</v>
      </c>
      <c r="B235" s="7" t="s">
        <v>136</v>
      </c>
      <c r="C235" s="7" t="s">
        <v>17</v>
      </c>
      <c r="D235" s="7" t="s">
        <v>3</v>
      </c>
      <c r="E235" s="7" t="s">
        <v>15</v>
      </c>
      <c r="F235" s="8">
        <v>267170</v>
      </c>
      <c r="G235" s="9">
        <v>18</v>
      </c>
      <c r="H235" s="10" t="s">
        <v>258</v>
      </c>
      <c r="I235" s="5" t="str">
        <f>CHOOSE(MATCH(B235,{"Январь","Февраль","Март","Апрель","Май","Июнь","Июль","Август","Сентябрь","Октябрь","Ноябрь","Декабрь"},0),
"Jan","Feb","Mar","Apr","May","Jun","Jul","Aug","Sep","Oct","Nov","Dec")</f>
        <v>Dec</v>
      </c>
    </row>
    <row r="236" spans="1:9" x14ac:dyDescent="0.35">
      <c r="A236" s="6">
        <v>2023</v>
      </c>
      <c r="B236" s="7" t="s">
        <v>136</v>
      </c>
      <c r="C236" s="7" t="s">
        <v>6</v>
      </c>
      <c r="D236" s="7" t="s">
        <v>7</v>
      </c>
      <c r="E236" s="7" t="s">
        <v>8</v>
      </c>
      <c r="F236" s="8">
        <v>485270</v>
      </c>
      <c r="G236" s="9">
        <v>26</v>
      </c>
      <c r="H236" s="10" t="s">
        <v>259</v>
      </c>
      <c r="I236" s="5" t="str">
        <f>CHOOSE(MATCH(B236,{"Январь","Февраль","Март","Апрель","Май","Июнь","Июль","Август","Сентябрь","Октябрь","Ноябрь","Декабрь"},0),
"Jan","Feb","Mar","Apr","May","Jun","Jul","Aug","Sep","Oct","Nov","Dec")</f>
        <v>Dec</v>
      </c>
    </row>
    <row r="237" spans="1:9" x14ac:dyDescent="0.35">
      <c r="A237" s="6">
        <v>2023</v>
      </c>
      <c r="B237" s="7" t="s">
        <v>136</v>
      </c>
      <c r="C237" s="7" t="s">
        <v>10</v>
      </c>
      <c r="D237" s="7" t="s">
        <v>3</v>
      </c>
      <c r="E237" s="7" t="s">
        <v>4</v>
      </c>
      <c r="F237" s="8">
        <v>270940</v>
      </c>
      <c r="G237" s="9">
        <v>12</v>
      </c>
      <c r="H237" s="10" t="s">
        <v>260</v>
      </c>
      <c r="I237" s="5" t="str">
        <f>CHOOSE(MATCH(B237,{"Январь","Февраль","Март","Апрель","Май","Июнь","Июль","Август","Сентябрь","Октябрь","Ноябрь","Декабрь"},0),
"Jan","Feb","Mar","Apr","May","Jun","Jul","Aug","Sep","Oct","Nov","Dec")</f>
        <v>Dec</v>
      </c>
    </row>
    <row r="238" spans="1:9" x14ac:dyDescent="0.35">
      <c r="A238" s="6">
        <v>2023</v>
      </c>
      <c r="B238" s="7" t="s">
        <v>136</v>
      </c>
      <c r="C238" s="7" t="s">
        <v>22</v>
      </c>
      <c r="D238" s="7" t="s">
        <v>7</v>
      </c>
      <c r="E238" s="7" t="s">
        <v>15</v>
      </c>
      <c r="F238" s="8">
        <v>207810</v>
      </c>
      <c r="G238" s="9">
        <v>16</v>
      </c>
      <c r="H238" s="10" t="s">
        <v>261</v>
      </c>
      <c r="I238" s="5" t="str">
        <f>CHOOSE(MATCH(B238,{"Январь","Февраль","Март","Апрель","Май","Июнь","Июль","Август","Сентябрь","Октябрь","Ноябрь","Декабрь"},0),
"Jan","Feb","Mar","Apr","May","Jun","Jul","Aug","Sep","Oct","Nov","Dec")</f>
        <v>Dec</v>
      </c>
    </row>
    <row r="239" spans="1:9" x14ac:dyDescent="0.35">
      <c r="A239" s="6">
        <v>2023</v>
      </c>
      <c r="B239" s="7" t="s">
        <v>136</v>
      </c>
      <c r="C239" s="7" t="s">
        <v>2</v>
      </c>
      <c r="D239" s="7" t="s">
        <v>7</v>
      </c>
      <c r="E239" s="7" t="s">
        <v>12</v>
      </c>
      <c r="F239" s="8">
        <v>400360</v>
      </c>
      <c r="G239" s="9">
        <v>29</v>
      </c>
      <c r="H239" s="10" t="s">
        <v>262</v>
      </c>
      <c r="I239" s="5" t="str">
        <f>CHOOSE(MATCH(B239,{"Январь","Февраль","Март","Апрель","Май","Июнь","Июль","Август","Сентябрь","Октябрь","Ноябрь","Декабрь"},0),
"Jan","Feb","Mar","Apr","May","Jun","Jul","Aug","Sep","Oct","Nov","Dec")</f>
        <v>Dec</v>
      </c>
    </row>
    <row r="240" spans="1:9" x14ac:dyDescent="0.35">
      <c r="A240" s="6">
        <v>2023</v>
      </c>
      <c r="B240" s="7" t="s">
        <v>136</v>
      </c>
      <c r="C240" s="7" t="s">
        <v>10</v>
      </c>
      <c r="D240" s="7" t="s">
        <v>18</v>
      </c>
      <c r="E240" s="7" t="s">
        <v>15</v>
      </c>
      <c r="F240" s="8">
        <v>465720</v>
      </c>
      <c r="G240" s="9">
        <v>24</v>
      </c>
      <c r="H240" s="10" t="s">
        <v>263</v>
      </c>
      <c r="I240" s="5" t="str">
        <f>CHOOSE(MATCH(B240,{"Январь","Февраль","Март","Апрель","Май","Июнь","Июль","Август","Сентябрь","Октябрь","Ноябрь","Декабрь"},0),
"Jan","Feb","Mar","Apr","May","Jun","Jul","Aug","Sep","Oct","Nov","Dec")</f>
        <v>Dec</v>
      </c>
    </row>
    <row r="241" spans="1:9" x14ac:dyDescent="0.35">
      <c r="A241" s="6">
        <v>2023</v>
      </c>
      <c r="B241" s="7" t="s">
        <v>136</v>
      </c>
      <c r="C241" s="7" t="s">
        <v>17</v>
      </c>
      <c r="D241" s="7" t="s">
        <v>3</v>
      </c>
      <c r="E241" s="7" t="s">
        <v>4</v>
      </c>
      <c r="F241" s="8">
        <v>285920</v>
      </c>
      <c r="G241" s="9">
        <v>16</v>
      </c>
      <c r="H241" s="10" t="s">
        <v>264</v>
      </c>
      <c r="I241" s="5" t="str">
        <f>CHOOSE(MATCH(B241,{"Январь","Февраль","Март","Апрель","Май","Июнь","Июль","Август","Сентябрь","Октябрь","Ноябрь","Декабрь"},0),
"Jan","Feb","Mar","Apr","May","Jun","Jul","Aug","Sep","Oct","Nov","Dec")</f>
        <v>Dec</v>
      </c>
    </row>
    <row r="242" spans="1:9" x14ac:dyDescent="0.35">
      <c r="A242" s="6">
        <v>2023</v>
      </c>
      <c r="B242" s="7" t="s">
        <v>136</v>
      </c>
      <c r="C242" s="7" t="s">
        <v>22</v>
      </c>
      <c r="D242" s="7" t="s">
        <v>14</v>
      </c>
      <c r="E242" s="7" t="s">
        <v>15</v>
      </c>
      <c r="F242" s="8">
        <v>361280</v>
      </c>
      <c r="G242" s="9">
        <v>28</v>
      </c>
      <c r="H242" s="10" t="s">
        <v>265</v>
      </c>
      <c r="I242" s="5" t="str">
        <f>CHOOSE(MATCH(B242,{"Январь","Февраль","Март","Апрель","Май","Июнь","Июль","Август","Сентябрь","Октябрь","Ноябрь","Декабрь"},0),
"Jan","Feb","Mar","Apr","May","Jun","Jul","Aug","Sep","Oct","Nov","Dec")</f>
        <v>Dec</v>
      </c>
    </row>
    <row r="243" spans="1:9" x14ac:dyDescent="0.35">
      <c r="A243" s="6">
        <v>2023</v>
      </c>
      <c r="B243" s="7" t="s">
        <v>136</v>
      </c>
      <c r="C243" s="7" t="s">
        <v>17</v>
      </c>
      <c r="D243" s="7" t="s">
        <v>14</v>
      </c>
      <c r="E243" s="7" t="s">
        <v>4</v>
      </c>
      <c r="F243" s="8">
        <v>357440</v>
      </c>
      <c r="G243" s="9">
        <v>20</v>
      </c>
      <c r="H243" s="10" t="s">
        <v>266</v>
      </c>
      <c r="I243" s="5" t="str">
        <f>CHOOSE(MATCH(B243,{"Январь","Февраль","Март","Апрель","Май","Июнь","Июль","Август","Сентябрь","Октябрь","Ноябрь","Декабрь"},0),
"Jan","Feb","Mar","Apr","May","Jun","Jul","Aug","Sep","Oct","Nov","Dec")</f>
        <v>Dec</v>
      </c>
    </row>
    <row r="244" spans="1:9" x14ac:dyDescent="0.35">
      <c r="A244" s="6">
        <v>2024</v>
      </c>
      <c r="B244" s="7" t="s">
        <v>1</v>
      </c>
      <c r="C244" s="7" t="s">
        <v>10</v>
      </c>
      <c r="D244" s="7" t="s">
        <v>14</v>
      </c>
      <c r="E244" s="7" t="s">
        <v>15</v>
      </c>
      <c r="F244" s="8">
        <v>452900</v>
      </c>
      <c r="G244" s="9">
        <v>24</v>
      </c>
      <c r="H244" s="10" t="s">
        <v>267</v>
      </c>
      <c r="I244" s="5" t="str">
        <f>CHOOSE(MATCH(B244,{"Январь","Февраль","Март","Апрель","Май","Июнь","Июль","Август","Сентябрь","Октябрь","Ноябрь","Декабрь"},0),
"Jan","Feb","Mar","Apr","May","Jun","Jul","Aug","Sep","Oct","Nov","Dec")</f>
        <v>Jan</v>
      </c>
    </row>
    <row r="245" spans="1:9" x14ac:dyDescent="0.35">
      <c r="A245" s="6">
        <v>2024</v>
      </c>
      <c r="B245" s="7" t="s">
        <v>1</v>
      </c>
      <c r="C245" s="7" t="s">
        <v>22</v>
      </c>
      <c r="D245" s="7" t="s">
        <v>14</v>
      </c>
      <c r="E245" s="7" t="s">
        <v>12</v>
      </c>
      <c r="F245" s="8">
        <v>263670</v>
      </c>
      <c r="G245" s="9">
        <v>23</v>
      </c>
      <c r="H245" s="10" t="s">
        <v>268</v>
      </c>
      <c r="I245" s="5" t="str">
        <f>CHOOSE(MATCH(B245,{"Январь","Февраль","Март","Апрель","Май","Июнь","Июль","Август","Сентябрь","Октябрь","Ноябрь","Декабрь"},0),
"Jan","Feb","Mar","Apr","May","Jun","Jul","Aug","Sep","Oct","Nov","Dec")</f>
        <v>Jan</v>
      </c>
    </row>
    <row r="246" spans="1:9" x14ac:dyDescent="0.35">
      <c r="A246" s="6">
        <v>2024</v>
      </c>
      <c r="B246" s="7" t="s">
        <v>1</v>
      </c>
      <c r="C246" s="7" t="s">
        <v>6</v>
      </c>
      <c r="D246" s="7" t="s">
        <v>14</v>
      </c>
      <c r="E246" s="7" t="s">
        <v>12</v>
      </c>
      <c r="F246" s="8">
        <v>499900</v>
      </c>
      <c r="G246" s="9">
        <v>40</v>
      </c>
      <c r="H246" s="10" t="s">
        <v>269</v>
      </c>
      <c r="I246" s="5" t="str">
        <f>CHOOSE(MATCH(B246,{"Январь","Февраль","Март","Апрель","Май","Июнь","Июль","Август","Сентябрь","Октябрь","Ноябрь","Декабрь"},0),
"Jan","Feb","Mar","Apr","May","Jun","Jul","Aug","Sep","Oct","Nov","Dec")</f>
        <v>Jan</v>
      </c>
    </row>
    <row r="247" spans="1:9" x14ac:dyDescent="0.35">
      <c r="A247" s="6">
        <v>2024</v>
      </c>
      <c r="B247" s="7" t="s">
        <v>1</v>
      </c>
      <c r="C247" s="7" t="s">
        <v>22</v>
      </c>
      <c r="D247" s="7" t="s">
        <v>14</v>
      </c>
      <c r="E247" s="7" t="s">
        <v>4</v>
      </c>
      <c r="F247" s="8">
        <v>460880</v>
      </c>
      <c r="G247" s="9">
        <v>30</v>
      </c>
      <c r="H247" s="10" t="s">
        <v>270</v>
      </c>
      <c r="I247" s="5" t="str">
        <f>CHOOSE(MATCH(B247,{"Январь","Февраль","Март","Апрель","Май","Июнь","Июль","Август","Сентябрь","Октябрь","Ноябрь","Декабрь"},0),
"Jan","Feb","Mar","Apr","May","Jun","Jul","Aug","Sep","Oct","Nov","Dec")</f>
        <v>Jan</v>
      </c>
    </row>
    <row r="248" spans="1:9" x14ac:dyDescent="0.35">
      <c r="A248" s="6">
        <v>2024</v>
      </c>
      <c r="B248" s="7" t="s">
        <v>1</v>
      </c>
      <c r="C248" s="7" t="s">
        <v>17</v>
      </c>
      <c r="D248" s="7" t="s">
        <v>11</v>
      </c>
      <c r="E248" s="7" t="s">
        <v>4</v>
      </c>
      <c r="F248" s="8">
        <v>578820</v>
      </c>
      <c r="G248" s="9">
        <v>31</v>
      </c>
      <c r="H248" s="10" t="s">
        <v>271</v>
      </c>
      <c r="I248" s="5" t="str">
        <f>CHOOSE(MATCH(B248,{"Январь","Февраль","Март","Апрель","Май","Июнь","Июль","Август","Сентябрь","Октябрь","Ноябрь","Декабрь"},0),
"Jan","Feb","Mar","Apr","May","Jun","Jul","Aug","Sep","Oct","Nov","Dec")</f>
        <v>Jan</v>
      </c>
    </row>
    <row r="249" spans="1:9" x14ac:dyDescent="0.35">
      <c r="A249" s="6">
        <v>2024</v>
      </c>
      <c r="B249" s="7" t="s">
        <v>1</v>
      </c>
      <c r="C249" s="7" t="s">
        <v>17</v>
      </c>
      <c r="D249" s="7" t="s">
        <v>18</v>
      </c>
      <c r="E249" s="7" t="s">
        <v>12</v>
      </c>
      <c r="F249" s="8">
        <v>346890</v>
      </c>
      <c r="G249" s="9">
        <v>26</v>
      </c>
      <c r="H249" s="10" t="s">
        <v>272</v>
      </c>
      <c r="I249" s="5" t="str">
        <f>CHOOSE(MATCH(B249,{"Январь","Февраль","Март","Апрель","Май","Июнь","Июль","Август","Сентябрь","Октябрь","Ноябрь","Декабрь"},0),
"Jan","Feb","Mar","Apr","May","Jun","Jul","Aug","Sep","Oct","Nov","Dec")</f>
        <v>Jan</v>
      </c>
    </row>
    <row r="250" spans="1:9" x14ac:dyDescent="0.35">
      <c r="A250" s="6">
        <v>2024</v>
      </c>
      <c r="B250" s="7" t="s">
        <v>1</v>
      </c>
      <c r="C250" s="7" t="s">
        <v>6</v>
      </c>
      <c r="D250" s="7" t="s">
        <v>11</v>
      </c>
      <c r="E250" s="7" t="s">
        <v>15</v>
      </c>
      <c r="F250" s="8">
        <v>212630</v>
      </c>
      <c r="G250" s="9">
        <v>15</v>
      </c>
      <c r="H250" s="10" t="s">
        <v>273</v>
      </c>
      <c r="I250" s="5" t="str">
        <f>CHOOSE(MATCH(B250,{"Январь","Февраль","Март","Апрель","Май","Июнь","Июль","Август","Сентябрь","Октябрь","Ноябрь","Декабрь"},0),
"Jan","Feb","Mar","Apr","May","Jun","Jul","Aug","Sep","Oct","Nov","Dec")</f>
        <v>Jan</v>
      </c>
    </row>
    <row r="251" spans="1:9" x14ac:dyDescent="0.35">
      <c r="A251" s="6">
        <v>2024</v>
      </c>
      <c r="B251" s="7" t="s">
        <v>1</v>
      </c>
      <c r="C251" s="7" t="s">
        <v>22</v>
      </c>
      <c r="D251" s="7" t="s">
        <v>3</v>
      </c>
      <c r="E251" s="7" t="s">
        <v>12</v>
      </c>
      <c r="F251" s="8">
        <v>332710</v>
      </c>
      <c r="G251" s="9">
        <v>29</v>
      </c>
      <c r="H251" s="10" t="s">
        <v>274</v>
      </c>
      <c r="I251" s="5" t="str">
        <f>CHOOSE(MATCH(B251,{"Январь","Февраль","Март","Апрель","Май","Июнь","Июль","Август","Сентябрь","Октябрь","Ноябрь","Декабрь"},0),
"Jan","Feb","Mar","Apr","May","Jun","Jul","Aug","Sep","Oct","Nov","Dec")</f>
        <v>Jan</v>
      </c>
    </row>
    <row r="252" spans="1:9" x14ac:dyDescent="0.35">
      <c r="A252" s="6">
        <v>2024</v>
      </c>
      <c r="B252" s="7" t="s">
        <v>1</v>
      </c>
      <c r="C252" s="7" t="s">
        <v>22</v>
      </c>
      <c r="D252" s="7" t="s">
        <v>7</v>
      </c>
      <c r="E252" s="7" t="s">
        <v>15</v>
      </c>
      <c r="F252" s="8">
        <v>329960</v>
      </c>
      <c r="G252" s="9">
        <v>26</v>
      </c>
      <c r="H252" s="10" t="s">
        <v>275</v>
      </c>
      <c r="I252" s="5" t="str">
        <f>CHOOSE(MATCH(B252,{"Январь","Февраль","Март","Апрель","Май","Июнь","Июль","Август","Сентябрь","Октябрь","Ноябрь","Декабрь"},0),
"Jan","Feb","Mar","Apr","May","Jun","Jul","Aug","Sep","Oct","Nov","Dec")</f>
        <v>Jan</v>
      </c>
    </row>
    <row r="253" spans="1:9" x14ac:dyDescent="0.35">
      <c r="A253" s="6">
        <v>2024</v>
      </c>
      <c r="B253" s="7" t="s">
        <v>1</v>
      </c>
      <c r="C253" s="7" t="s">
        <v>22</v>
      </c>
      <c r="D253" s="7" t="s">
        <v>3</v>
      </c>
      <c r="E253" s="7" t="s">
        <v>12</v>
      </c>
      <c r="F253" s="8">
        <v>382280</v>
      </c>
      <c r="G253" s="9">
        <v>34</v>
      </c>
      <c r="H253" s="10" t="s">
        <v>276</v>
      </c>
      <c r="I253" s="5" t="str">
        <f>CHOOSE(MATCH(B253,{"Январь","Февраль","Март","Апрель","Май","Июнь","Июль","Август","Сентябрь","Октябрь","Ноябрь","Декабрь"},0),
"Jan","Feb","Mar","Apr","May","Jun","Jul","Aug","Sep","Oct","Nov","Dec")</f>
        <v>Jan</v>
      </c>
    </row>
    <row r="254" spans="1:9" x14ac:dyDescent="0.35">
      <c r="A254" s="6">
        <v>2024</v>
      </c>
      <c r="B254" s="7" t="s">
        <v>26</v>
      </c>
      <c r="C254" s="7" t="s">
        <v>6</v>
      </c>
      <c r="D254" s="7" t="s">
        <v>18</v>
      </c>
      <c r="E254" s="7" t="s">
        <v>12</v>
      </c>
      <c r="F254" s="8">
        <v>195220</v>
      </c>
      <c r="G254" s="9">
        <v>16</v>
      </c>
      <c r="H254" s="10" t="s">
        <v>277</v>
      </c>
      <c r="I254" s="5" t="str">
        <f>CHOOSE(MATCH(B254,{"Январь","Февраль","Март","Апрель","Май","Июнь","Июль","Август","Сентябрь","Октябрь","Ноябрь","Декабрь"},0),
"Jan","Feb","Mar","Apr","May","Jun","Jul","Aug","Sep","Oct","Nov","Dec")</f>
        <v>Feb</v>
      </c>
    </row>
    <row r="255" spans="1:9" x14ac:dyDescent="0.35">
      <c r="A255" s="6">
        <v>2024</v>
      </c>
      <c r="B255" s="7" t="s">
        <v>26</v>
      </c>
      <c r="C255" s="7" t="s">
        <v>6</v>
      </c>
      <c r="D255" s="7" t="s">
        <v>7</v>
      </c>
      <c r="E255" s="7" t="s">
        <v>8</v>
      </c>
      <c r="F255" s="8">
        <v>648030</v>
      </c>
      <c r="G255" s="9">
        <v>35</v>
      </c>
      <c r="H255" s="10" t="s">
        <v>278</v>
      </c>
      <c r="I255" s="5" t="str">
        <f>CHOOSE(MATCH(B255,{"Январь","Февраль","Март","Апрель","Май","Июнь","Июль","Август","Сентябрь","Октябрь","Ноябрь","Декабрь"},0),
"Jan","Feb","Mar","Apr","May","Jun","Jul","Aug","Sep","Oct","Nov","Dec")</f>
        <v>Feb</v>
      </c>
    </row>
    <row r="256" spans="1:9" x14ac:dyDescent="0.35">
      <c r="A256" s="6">
        <v>2024</v>
      </c>
      <c r="B256" s="7" t="s">
        <v>26</v>
      </c>
      <c r="C256" s="7" t="s">
        <v>22</v>
      </c>
      <c r="D256" s="7" t="s">
        <v>11</v>
      </c>
      <c r="E256" s="7" t="s">
        <v>15</v>
      </c>
      <c r="F256" s="8">
        <v>483110</v>
      </c>
      <c r="G256" s="9">
        <v>36</v>
      </c>
      <c r="H256" s="10" t="s">
        <v>279</v>
      </c>
      <c r="I256" s="5" t="str">
        <f>CHOOSE(MATCH(B256,{"Январь","Февраль","Март","Апрель","Май","Июнь","Июль","Август","Сентябрь","Октябрь","Ноябрь","Декабрь"},0),
"Jan","Feb","Mar","Apr","May","Jun","Jul","Aug","Sep","Oct","Nov","Dec")</f>
        <v>Feb</v>
      </c>
    </row>
    <row r="257" spans="1:9" x14ac:dyDescent="0.35">
      <c r="A257" s="6">
        <v>2024</v>
      </c>
      <c r="B257" s="7" t="s">
        <v>26</v>
      </c>
      <c r="C257" s="7" t="s">
        <v>10</v>
      </c>
      <c r="D257" s="7" t="s">
        <v>14</v>
      </c>
      <c r="E257" s="7" t="s">
        <v>15</v>
      </c>
      <c r="F257" s="8">
        <v>489860</v>
      </c>
      <c r="G257" s="9">
        <v>26</v>
      </c>
      <c r="H257" s="10" t="s">
        <v>280</v>
      </c>
      <c r="I257" s="5" t="str">
        <f>CHOOSE(MATCH(B257,{"Январь","Февраль","Март","Апрель","Май","Июнь","Июль","Август","Сентябрь","Октябрь","Ноябрь","Декабрь"},0),
"Jan","Feb","Mar","Apr","May","Jun","Jul","Aug","Sep","Oct","Nov","Dec")</f>
        <v>Feb</v>
      </c>
    </row>
    <row r="258" spans="1:9" x14ac:dyDescent="0.35">
      <c r="A258" s="6">
        <v>2024</v>
      </c>
      <c r="B258" s="7" t="s">
        <v>26</v>
      </c>
      <c r="C258" s="7" t="s">
        <v>10</v>
      </c>
      <c r="D258" s="7" t="s">
        <v>14</v>
      </c>
      <c r="E258" s="7" t="s">
        <v>4</v>
      </c>
      <c r="F258" s="8">
        <v>858300</v>
      </c>
      <c r="G258" s="9">
        <v>38</v>
      </c>
      <c r="H258" s="10" t="s">
        <v>281</v>
      </c>
      <c r="I258" s="5" t="str">
        <f>CHOOSE(MATCH(B258,{"Январь","Февраль","Март","Апрель","Май","Июнь","Июль","Август","Сентябрь","Октябрь","Ноябрь","Декабрь"},0),
"Jan","Feb","Mar","Apr","May","Jun","Jul","Aug","Sep","Oct","Nov","Dec")</f>
        <v>Feb</v>
      </c>
    </row>
    <row r="259" spans="1:9" x14ac:dyDescent="0.35">
      <c r="A259" s="6">
        <v>2024</v>
      </c>
      <c r="B259" s="7" t="s">
        <v>26</v>
      </c>
      <c r="C259" s="7" t="s">
        <v>2</v>
      </c>
      <c r="D259" s="7" t="s">
        <v>7</v>
      </c>
      <c r="E259" s="7" t="s">
        <v>15</v>
      </c>
      <c r="F259" s="8">
        <v>531490</v>
      </c>
      <c r="G259" s="9">
        <v>33</v>
      </c>
      <c r="H259" s="10" t="s">
        <v>282</v>
      </c>
      <c r="I259" s="5" t="str">
        <f>CHOOSE(MATCH(B259,{"Январь","Февраль","Март","Апрель","Май","Июнь","Июль","Август","Сентябрь","Октябрь","Ноябрь","Декабрь"},0),
"Jan","Feb","Mar","Apr","May","Jun","Jul","Aug","Sep","Oct","Nov","Dec")</f>
        <v>Feb</v>
      </c>
    </row>
    <row r="260" spans="1:9" x14ac:dyDescent="0.35">
      <c r="A260" s="6">
        <v>2024</v>
      </c>
      <c r="B260" s="7" t="s">
        <v>26</v>
      </c>
      <c r="C260" s="7" t="s">
        <v>10</v>
      </c>
      <c r="D260" s="7" t="s">
        <v>11</v>
      </c>
      <c r="E260" s="7" t="s">
        <v>8</v>
      </c>
      <c r="F260" s="8">
        <v>306130</v>
      </c>
      <c r="G260" s="9">
        <v>12</v>
      </c>
      <c r="H260" s="10" t="s">
        <v>283</v>
      </c>
      <c r="I260" s="5" t="str">
        <f>CHOOSE(MATCH(B260,{"Январь","Февраль","Март","Апрель","Май","Июнь","Июль","Август","Сентябрь","Октябрь","Ноябрь","Декабрь"},0),
"Jan","Feb","Mar","Apr","May","Jun","Jul","Aug","Sep","Oct","Nov","Dec")</f>
        <v>Feb</v>
      </c>
    </row>
    <row r="261" spans="1:9" x14ac:dyDescent="0.35">
      <c r="A261" s="6">
        <v>2024</v>
      </c>
      <c r="B261" s="7" t="s">
        <v>26</v>
      </c>
      <c r="C261" s="7" t="s">
        <v>6</v>
      </c>
      <c r="D261" s="7" t="s">
        <v>14</v>
      </c>
      <c r="E261" s="7" t="s">
        <v>12</v>
      </c>
      <c r="F261" s="8">
        <v>304220</v>
      </c>
      <c r="G261" s="9">
        <v>25</v>
      </c>
      <c r="H261" s="10" t="s">
        <v>284</v>
      </c>
      <c r="I261" s="5" t="str">
        <f>CHOOSE(MATCH(B261,{"Январь","Февраль","Март","Апрель","Май","Июнь","Июль","Август","Сентябрь","Октябрь","Ноябрь","Декабрь"},0),
"Jan","Feb","Mar","Apr","May","Jun","Jul","Aug","Sep","Oct","Nov","Dec")</f>
        <v>Feb</v>
      </c>
    </row>
    <row r="262" spans="1:9" x14ac:dyDescent="0.35">
      <c r="A262" s="6">
        <v>2024</v>
      </c>
      <c r="B262" s="7" t="s">
        <v>26</v>
      </c>
      <c r="C262" s="7" t="s">
        <v>2</v>
      </c>
      <c r="D262" s="7" t="s">
        <v>11</v>
      </c>
      <c r="E262" s="7" t="s">
        <v>8</v>
      </c>
      <c r="F262" s="8">
        <v>456590</v>
      </c>
      <c r="G262" s="9">
        <v>20</v>
      </c>
      <c r="H262" s="10" t="s">
        <v>285</v>
      </c>
      <c r="I262" s="5" t="str">
        <f>CHOOSE(MATCH(B262,{"Январь","Февраль","Март","Апрель","Май","Июнь","Июль","Август","Сентябрь","Октябрь","Ноябрь","Декабрь"},0),
"Jan","Feb","Mar","Apr","May","Jun","Jul","Aug","Sep","Oct","Nov","Dec")</f>
        <v>Feb</v>
      </c>
    </row>
    <row r="263" spans="1:9" x14ac:dyDescent="0.35">
      <c r="A263" s="6">
        <v>2024</v>
      </c>
      <c r="B263" s="7" t="s">
        <v>26</v>
      </c>
      <c r="C263" s="7" t="s">
        <v>17</v>
      </c>
      <c r="D263" s="7" t="s">
        <v>3</v>
      </c>
      <c r="E263" s="7" t="s">
        <v>15</v>
      </c>
      <c r="F263" s="8">
        <v>524680</v>
      </c>
      <c r="G263" s="9">
        <v>34</v>
      </c>
      <c r="H263" s="10" t="s">
        <v>286</v>
      </c>
      <c r="I263" s="5" t="str">
        <f>CHOOSE(MATCH(B263,{"Январь","Февраль","Март","Апрель","Май","Июнь","Июль","Август","Сентябрь","Октябрь","Ноябрь","Декабрь"},0),
"Jan","Feb","Mar","Apr","May","Jun","Jul","Aug","Sep","Oct","Nov","Dec")</f>
        <v>Feb</v>
      </c>
    </row>
    <row r="264" spans="1:9" x14ac:dyDescent="0.35">
      <c r="A264" s="6">
        <v>2024</v>
      </c>
      <c r="B264" s="7" t="s">
        <v>37</v>
      </c>
      <c r="C264" s="7" t="s">
        <v>2</v>
      </c>
      <c r="D264" s="7" t="s">
        <v>3</v>
      </c>
      <c r="E264" s="7" t="s">
        <v>8</v>
      </c>
      <c r="F264" s="8">
        <v>927470</v>
      </c>
      <c r="G264" s="9">
        <v>42</v>
      </c>
      <c r="H264" s="10" t="s">
        <v>287</v>
      </c>
      <c r="I264" s="5" t="str">
        <f>CHOOSE(MATCH(B264,{"Январь","Февраль","Март","Апрель","Май","Июнь","Июль","Август","Сентябрь","Октябрь","Ноябрь","Декабрь"},0),
"Jan","Feb","Mar","Apr","May","Jun","Jul","Aug","Sep","Oct","Nov","Dec")</f>
        <v>Mar</v>
      </c>
    </row>
    <row r="265" spans="1:9" x14ac:dyDescent="0.35">
      <c r="A265" s="6">
        <v>2024</v>
      </c>
      <c r="B265" s="7" t="s">
        <v>37</v>
      </c>
      <c r="C265" s="7" t="s">
        <v>6</v>
      </c>
      <c r="D265" s="7" t="s">
        <v>11</v>
      </c>
      <c r="E265" s="7" t="s">
        <v>15</v>
      </c>
      <c r="F265" s="8">
        <v>348190</v>
      </c>
      <c r="G265" s="9">
        <v>25</v>
      </c>
      <c r="H265" s="10" t="s">
        <v>288</v>
      </c>
      <c r="I265" s="5" t="str">
        <f>CHOOSE(MATCH(B265,{"Январь","Февраль","Март","Апрель","Май","Июнь","Июль","Август","Сентябрь","Октябрь","Ноябрь","Декабрь"},0),
"Jan","Feb","Mar","Apr","May","Jun","Jul","Aug","Sep","Oct","Nov","Dec")</f>
        <v>Mar</v>
      </c>
    </row>
    <row r="266" spans="1:9" x14ac:dyDescent="0.35">
      <c r="A266" s="6">
        <v>2024</v>
      </c>
      <c r="B266" s="7" t="s">
        <v>37</v>
      </c>
      <c r="C266" s="7" t="s">
        <v>2</v>
      </c>
      <c r="D266" s="7" t="s">
        <v>11</v>
      </c>
      <c r="E266" s="7" t="s">
        <v>4</v>
      </c>
      <c r="F266" s="8">
        <v>444830</v>
      </c>
      <c r="G266" s="9">
        <v>23</v>
      </c>
      <c r="H266" s="10" t="s">
        <v>289</v>
      </c>
      <c r="I266" s="5" t="str">
        <f>CHOOSE(MATCH(B266,{"Январь","Февраль","Март","Апрель","Май","Июнь","Июль","Август","Сентябрь","Октябрь","Ноябрь","Декабрь"},0),
"Jan","Feb","Mar","Apr","May","Jun","Jul","Aug","Sep","Oct","Nov","Dec")</f>
        <v>Mar</v>
      </c>
    </row>
    <row r="267" spans="1:9" x14ac:dyDescent="0.35">
      <c r="A267" s="6">
        <v>2024</v>
      </c>
      <c r="B267" s="7" t="s">
        <v>37</v>
      </c>
      <c r="C267" s="7" t="s">
        <v>6</v>
      </c>
      <c r="D267" s="7" t="s">
        <v>11</v>
      </c>
      <c r="E267" s="7" t="s">
        <v>4</v>
      </c>
      <c r="F267" s="8">
        <v>476340</v>
      </c>
      <c r="G267" s="9">
        <v>29</v>
      </c>
      <c r="H267" s="10" t="s">
        <v>290</v>
      </c>
      <c r="I267" s="5" t="str">
        <f>CHOOSE(MATCH(B267,{"Январь","Февраль","Март","Апрель","Май","Июнь","Июль","Август","Сентябрь","Октябрь","Ноябрь","Декабрь"},0),
"Jan","Feb","Mar","Apr","May","Jun","Jul","Aug","Sep","Oct","Nov","Dec")</f>
        <v>Mar</v>
      </c>
    </row>
    <row r="268" spans="1:9" x14ac:dyDescent="0.35">
      <c r="A268" s="6">
        <v>2024</v>
      </c>
      <c r="B268" s="7" t="s">
        <v>37</v>
      </c>
      <c r="C268" s="7" t="s">
        <v>2</v>
      </c>
      <c r="D268" s="7" t="s">
        <v>14</v>
      </c>
      <c r="E268" s="7" t="s">
        <v>15</v>
      </c>
      <c r="F268" s="8">
        <v>676930</v>
      </c>
      <c r="G268" s="9">
        <v>42</v>
      </c>
      <c r="H268" s="10" t="s">
        <v>291</v>
      </c>
      <c r="I268" s="5" t="str">
        <f>CHOOSE(MATCH(B268,{"Январь","Февраль","Март","Апрель","Май","Июнь","Июль","Август","Сентябрь","Октябрь","Ноябрь","Декабрь"},0),
"Jan","Feb","Mar","Apr","May","Jun","Jul","Aug","Sep","Oct","Nov","Dec")</f>
        <v>Mar</v>
      </c>
    </row>
    <row r="269" spans="1:9" x14ac:dyDescent="0.35">
      <c r="A269" s="6">
        <v>2024</v>
      </c>
      <c r="B269" s="7" t="s">
        <v>37</v>
      </c>
      <c r="C269" s="7" t="s">
        <v>2</v>
      </c>
      <c r="D269" s="7" t="s">
        <v>7</v>
      </c>
      <c r="E269" s="7" t="s">
        <v>15</v>
      </c>
      <c r="F269" s="8">
        <v>343830</v>
      </c>
      <c r="G269" s="9">
        <v>22</v>
      </c>
      <c r="H269" s="10" t="s">
        <v>292</v>
      </c>
      <c r="I269" s="5" t="str">
        <f>CHOOSE(MATCH(B269,{"Январь","Февраль","Март","Апрель","Май","Июнь","Июль","Август","Сентябрь","Октябрь","Ноябрь","Декабрь"},0),
"Jan","Feb","Mar","Apr","May","Jun","Jul","Aug","Sep","Oct","Nov","Dec")</f>
        <v>Mar</v>
      </c>
    </row>
    <row r="270" spans="1:9" x14ac:dyDescent="0.35">
      <c r="A270" s="6">
        <v>2024</v>
      </c>
      <c r="B270" s="7" t="s">
        <v>37</v>
      </c>
      <c r="C270" s="7" t="s">
        <v>22</v>
      </c>
      <c r="D270" s="7" t="s">
        <v>3</v>
      </c>
      <c r="E270" s="7" t="s">
        <v>8</v>
      </c>
      <c r="F270" s="8">
        <v>304580</v>
      </c>
      <c r="G270" s="9">
        <v>17</v>
      </c>
      <c r="H270" s="10" t="s">
        <v>293</v>
      </c>
      <c r="I270" s="5" t="str">
        <f>CHOOSE(MATCH(B270,{"Январь","Февраль","Март","Апрель","Май","Июнь","Июль","Август","Сентябрь","Октябрь","Ноябрь","Декабрь"},0),
"Jan","Feb","Mar","Apr","May","Jun","Jul","Aug","Sep","Oct","Nov","Dec")</f>
        <v>Mar</v>
      </c>
    </row>
    <row r="271" spans="1:9" x14ac:dyDescent="0.35">
      <c r="A271" s="6">
        <v>2024</v>
      </c>
      <c r="B271" s="7" t="s">
        <v>37</v>
      </c>
      <c r="C271" s="7" t="s">
        <v>2</v>
      </c>
      <c r="D271" s="7" t="s">
        <v>3</v>
      </c>
      <c r="E271" s="7" t="s">
        <v>12</v>
      </c>
      <c r="F271" s="8">
        <v>202050</v>
      </c>
      <c r="G271" s="9">
        <v>13</v>
      </c>
      <c r="H271" s="10" t="s">
        <v>294</v>
      </c>
      <c r="I271" s="5" t="str">
        <f>CHOOSE(MATCH(B271,{"Январь","Февраль","Март","Апрель","Май","Июнь","Июль","Август","Сентябрь","Октябрь","Ноябрь","Декабрь"},0),
"Jan","Feb","Mar","Apr","May","Jun","Jul","Aug","Sep","Oct","Nov","Dec")</f>
        <v>Mar</v>
      </c>
    </row>
    <row r="272" spans="1:9" x14ac:dyDescent="0.35">
      <c r="A272" s="6">
        <v>2024</v>
      </c>
      <c r="B272" s="7" t="s">
        <v>37</v>
      </c>
      <c r="C272" s="7" t="s">
        <v>17</v>
      </c>
      <c r="D272" s="7" t="s">
        <v>3</v>
      </c>
      <c r="E272" s="7" t="s">
        <v>12</v>
      </c>
      <c r="F272" s="8">
        <v>255190</v>
      </c>
      <c r="G272" s="9">
        <v>19</v>
      </c>
      <c r="H272" s="10" t="s">
        <v>295</v>
      </c>
      <c r="I272" s="5" t="str">
        <f>CHOOSE(MATCH(B272,{"Январь","Февраль","Март","Апрель","Май","Июнь","Июль","Август","Сентябрь","Октябрь","Ноябрь","Декабрь"},0),
"Jan","Feb","Mar","Apr","May","Jun","Jul","Aug","Sep","Oct","Nov","Dec")</f>
        <v>Mar</v>
      </c>
    </row>
    <row r="273" spans="1:9" x14ac:dyDescent="0.35">
      <c r="A273" s="6">
        <v>2024</v>
      </c>
      <c r="B273" s="7" t="s">
        <v>37</v>
      </c>
      <c r="C273" s="7" t="s">
        <v>2</v>
      </c>
      <c r="D273" s="7" t="s">
        <v>7</v>
      </c>
      <c r="E273" s="7" t="s">
        <v>4</v>
      </c>
      <c r="F273" s="8">
        <v>490950</v>
      </c>
      <c r="G273" s="9">
        <v>27</v>
      </c>
      <c r="H273" s="10" t="s">
        <v>296</v>
      </c>
      <c r="I273" s="5" t="str">
        <f>CHOOSE(MATCH(B273,{"Январь","Февраль","Март","Апрель","Май","Июнь","Июль","Август","Сентябрь","Октябрь","Ноябрь","Декабрь"},0),
"Jan","Feb","Mar","Apr","May","Jun","Jul","Aug","Sep","Oct","Nov","Dec")</f>
        <v>Mar</v>
      </c>
    </row>
    <row r="274" spans="1:9" x14ac:dyDescent="0.35">
      <c r="A274" s="6">
        <v>2024</v>
      </c>
      <c r="B274" s="7" t="s">
        <v>48</v>
      </c>
      <c r="C274" s="7" t="s">
        <v>2</v>
      </c>
      <c r="D274" s="7" t="s">
        <v>3</v>
      </c>
      <c r="E274" s="7" t="s">
        <v>12</v>
      </c>
      <c r="F274" s="8">
        <v>595470</v>
      </c>
      <c r="G274" s="9">
        <v>40</v>
      </c>
      <c r="H274" s="10" t="s">
        <v>297</v>
      </c>
      <c r="I274" s="5" t="str">
        <f>CHOOSE(MATCH(B274,{"Январь","Февраль","Март","Апрель","Май","Июнь","Июль","Август","Сентябрь","Октябрь","Ноябрь","Декабрь"},0),
"Jan","Feb","Mar","Apr","May","Jun","Jul","Aug","Sep","Oct","Nov","Dec")</f>
        <v>Apr</v>
      </c>
    </row>
    <row r="275" spans="1:9" x14ac:dyDescent="0.35">
      <c r="A275" s="6">
        <v>2024</v>
      </c>
      <c r="B275" s="7" t="s">
        <v>48</v>
      </c>
      <c r="C275" s="7" t="s">
        <v>17</v>
      </c>
      <c r="D275" s="7" t="s">
        <v>18</v>
      </c>
      <c r="E275" s="7" t="s">
        <v>12</v>
      </c>
      <c r="F275" s="8">
        <v>153880</v>
      </c>
      <c r="G275" s="9">
        <v>12</v>
      </c>
      <c r="H275" s="10" t="s">
        <v>298</v>
      </c>
      <c r="I275" s="5" t="str">
        <f>CHOOSE(MATCH(B275,{"Январь","Февраль","Март","Апрель","Май","Июнь","Июль","Август","Сентябрь","Октябрь","Ноябрь","Декабрь"},0),
"Jan","Feb","Mar","Apr","May","Jun","Jul","Aug","Sep","Oct","Nov","Dec")</f>
        <v>Apr</v>
      </c>
    </row>
    <row r="276" spans="1:9" x14ac:dyDescent="0.35">
      <c r="A276" s="6">
        <v>2024</v>
      </c>
      <c r="B276" s="7" t="s">
        <v>48</v>
      </c>
      <c r="C276" s="7" t="s">
        <v>17</v>
      </c>
      <c r="D276" s="7" t="s">
        <v>3</v>
      </c>
      <c r="E276" s="7" t="s">
        <v>8</v>
      </c>
      <c r="F276" s="8">
        <v>368300</v>
      </c>
      <c r="G276" s="9">
        <v>18</v>
      </c>
      <c r="H276" s="10" t="s">
        <v>299</v>
      </c>
      <c r="I276" s="5" t="str">
        <f>CHOOSE(MATCH(B276,{"Январь","Февраль","Март","Апрель","Май","Июнь","Июль","Август","Сентябрь","Октябрь","Ноябрь","Декабрь"},0),
"Jan","Feb","Mar","Apr","May","Jun","Jul","Aug","Sep","Oct","Nov","Dec")</f>
        <v>Apr</v>
      </c>
    </row>
    <row r="277" spans="1:9" x14ac:dyDescent="0.35">
      <c r="A277" s="6">
        <v>2024</v>
      </c>
      <c r="B277" s="7" t="s">
        <v>48</v>
      </c>
      <c r="C277" s="7" t="s">
        <v>22</v>
      </c>
      <c r="D277" s="7" t="s">
        <v>7</v>
      </c>
      <c r="E277" s="7" t="s">
        <v>12</v>
      </c>
      <c r="F277" s="8">
        <v>152820</v>
      </c>
      <c r="G277" s="9">
        <v>14</v>
      </c>
      <c r="H277" s="10" t="s">
        <v>300</v>
      </c>
      <c r="I277" s="5" t="str">
        <f>CHOOSE(MATCH(B277,{"Январь","Февраль","Март","Апрель","Май","Июнь","Июль","Август","Сентябрь","Октябрь","Ноябрь","Декабрь"},0),
"Jan","Feb","Mar","Apr","May","Jun","Jul","Aug","Sep","Oct","Nov","Dec")</f>
        <v>Apr</v>
      </c>
    </row>
    <row r="278" spans="1:9" x14ac:dyDescent="0.35">
      <c r="A278" s="6">
        <v>2024</v>
      </c>
      <c r="B278" s="7" t="s">
        <v>48</v>
      </c>
      <c r="C278" s="7" t="s">
        <v>17</v>
      </c>
      <c r="D278" s="7" t="s">
        <v>14</v>
      </c>
      <c r="E278" s="7" t="s">
        <v>12</v>
      </c>
      <c r="F278" s="8">
        <v>215970</v>
      </c>
      <c r="G278" s="9">
        <v>16</v>
      </c>
      <c r="H278" s="10" t="s">
        <v>301</v>
      </c>
      <c r="I278" s="5" t="str">
        <f>CHOOSE(MATCH(B278,{"Январь","Февраль","Март","Апрель","Май","Июнь","Июль","Август","Сентябрь","Октябрь","Ноябрь","Декабрь"},0),
"Jan","Feb","Mar","Apr","May","Jun","Jul","Aug","Sep","Oct","Nov","Dec")</f>
        <v>Apr</v>
      </c>
    </row>
    <row r="279" spans="1:9" x14ac:dyDescent="0.35">
      <c r="A279" s="6">
        <v>2024</v>
      </c>
      <c r="B279" s="7" t="s">
        <v>48</v>
      </c>
      <c r="C279" s="7" t="s">
        <v>2</v>
      </c>
      <c r="D279" s="7" t="s">
        <v>14</v>
      </c>
      <c r="E279" s="7" t="s">
        <v>12</v>
      </c>
      <c r="F279" s="8">
        <v>541900</v>
      </c>
      <c r="G279" s="9">
        <v>38</v>
      </c>
      <c r="H279" s="10" t="s">
        <v>302</v>
      </c>
      <c r="I279" s="5" t="str">
        <f>CHOOSE(MATCH(B279,{"Январь","Февраль","Март","Апрель","Май","Июнь","Июль","Август","Сентябрь","Октябрь","Ноябрь","Декабрь"},0),
"Jan","Feb","Mar","Apr","May","Jun","Jul","Aug","Sep","Oct","Nov","Dec")</f>
        <v>Apr</v>
      </c>
    </row>
    <row r="280" spans="1:9" x14ac:dyDescent="0.35">
      <c r="A280" s="6">
        <v>2024</v>
      </c>
      <c r="B280" s="7" t="s">
        <v>48</v>
      </c>
      <c r="C280" s="7" t="s">
        <v>10</v>
      </c>
      <c r="D280" s="7" t="s">
        <v>11</v>
      </c>
      <c r="E280" s="7" t="s">
        <v>4</v>
      </c>
      <c r="F280" s="8">
        <v>271470</v>
      </c>
      <c r="G280" s="9">
        <v>12</v>
      </c>
      <c r="H280" s="10" t="s">
        <v>303</v>
      </c>
      <c r="I280" s="5" t="str">
        <f>CHOOSE(MATCH(B280,{"Январь","Февраль","Март","Апрель","Май","Июнь","Июль","Август","Сентябрь","Октябрь","Ноябрь","Декабрь"},0),
"Jan","Feb","Mar","Apr","May","Jun","Jul","Aug","Sep","Oct","Nov","Dec")</f>
        <v>Apr</v>
      </c>
    </row>
    <row r="281" spans="1:9" x14ac:dyDescent="0.35">
      <c r="A281" s="6">
        <v>2024</v>
      </c>
      <c r="B281" s="7" t="s">
        <v>48</v>
      </c>
      <c r="C281" s="7" t="s">
        <v>10</v>
      </c>
      <c r="D281" s="7" t="s">
        <v>11</v>
      </c>
      <c r="E281" s="7" t="s">
        <v>15</v>
      </c>
      <c r="F281" s="8">
        <v>773650</v>
      </c>
      <c r="G281" s="9">
        <v>40</v>
      </c>
      <c r="H281" s="10" t="s">
        <v>304</v>
      </c>
      <c r="I281" s="5" t="str">
        <f>CHOOSE(MATCH(B281,{"Январь","Февраль","Март","Апрель","Май","Июнь","Июль","Август","Сентябрь","Октябрь","Ноябрь","Декабрь"},0),
"Jan","Feb","Mar","Apr","May","Jun","Jul","Aug","Sep","Oct","Nov","Dec")</f>
        <v>Apr</v>
      </c>
    </row>
    <row r="282" spans="1:9" x14ac:dyDescent="0.35">
      <c r="A282" s="6">
        <v>2024</v>
      </c>
      <c r="B282" s="7" t="s">
        <v>48</v>
      </c>
      <c r="C282" s="7" t="s">
        <v>22</v>
      </c>
      <c r="D282" s="7" t="s">
        <v>11</v>
      </c>
      <c r="E282" s="7" t="s">
        <v>12</v>
      </c>
      <c r="F282" s="8">
        <v>423730</v>
      </c>
      <c r="G282" s="9">
        <v>36</v>
      </c>
      <c r="H282" s="10" t="s">
        <v>305</v>
      </c>
      <c r="I282" s="5" t="str">
        <f>CHOOSE(MATCH(B282,{"Январь","Февраль","Март","Апрель","Май","Июнь","Июль","Август","Сентябрь","Октябрь","Ноябрь","Декабрь"},0),
"Jan","Feb","Mar","Apr","May","Jun","Jul","Aug","Sep","Oct","Nov","Dec")</f>
        <v>Apr</v>
      </c>
    </row>
    <row r="283" spans="1:9" x14ac:dyDescent="0.35">
      <c r="A283" s="6">
        <v>2024</v>
      </c>
      <c r="B283" s="7" t="s">
        <v>48</v>
      </c>
      <c r="C283" s="7" t="s">
        <v>22</v>
      </c>
      <c r="D283" s="7" t="s">
        <v>7</v>
      </c>
      <c r="E283" s="7" t="s">
        <v>8</v>
      </c>
      <c r="F283" s="8">
        <v>476290</v>
      </c>
      <c r="G283" s="9">
        <v>28</v>
      </c>
      <c r="H283" s="10" t="s">
        <v>306</v>
      </c>
      <c r="I283" s="5" t="str">
        <f>CHOOSE(MATCH(B283,{"Январь","Февраль","Март","Апрель","Май","Июнь","Июль","Август","Сентябрь","Октябрь","Ноябрь","Декабрь"},0),
"Jan","Feb","Mar","Apr","May","Jun","Jul","Aug","Sep","Oct","Nov","Dec")</f>
        <v>Apr</v>
      </c>
    </row>
    <row r="284" spans="1:9" x14ac:dyDescent="0.35">
      <c r="A284" s="6">
        <v>2024</v>
      </c>
      <c r="B284" s="7" t="s">
        <v>59</v>
      </c>
      <c r="C284" s="7" t="s">
        <v>6</v>
      </c>
      <c r="D284" s="7" t="s">
        <v>3</v>
      </c>
      <c r="E284" s="7" t="s">
        <v>15</v>
      </c>
      <c r="F284" s="8">
        <v>314270</v>
      </c>
      <c r="G284" s="9">
        <v>23</v>
      </c>
      <c r="H284" s="10" t="s">
        <v>307</v>
      </c>
      <c r="I284" s="5" t="str">
        <f>CHOOSE(MATCH(B284,{"Январь","Февраль","Март","Апрель","Май","Июнь","Июль","Август","Сентябрь","Октябрь","Ноябрь","Декабрь"},0),
"Jan","Feb","Mar","Apr","May","Jun","Jul","Aug","Sep","Oct","Nov","Dec")</f>
        <v>May</v>
      </c>
    </row>
    <row r="285" spans="1:9" x14ac:dyDescent="0.35">
      <c r="A285" s="6">
        <v>2024</v>
      </c>
      <c r="B285" s="7" t="s">
        <v>59</v>
      </c>
      <c r="C285" s="7" t="s">
        <v>6</v>
      </c>
      <c r="D285" s="7" t="s">
        <v>11</v>
      </c>
      <c r="E285" s="7" t="s">
        <v>15</v>
      </c>
      <c r="F285" s="8">
        <v>481650</v>
      </c>
      <c r="G285" s="9">
        <v>33</v>
      </c>
      <c r="H285" s="10" t="s">
        <v>308</v>
      </c>
      <c r="I285" s="5" t="str">
        <f>CHOOSE(MATCH(B285,{"Январь","Февраль","Март","Апрель","Май","Июнь","Июль","Август","Сентябрь","Октябрь","Ноябрь","Декабрь"},0),
"Jan","Feb","Mar","Apr","May","Jun","Jul","Aug","Sep","Oct","Nov","Dec")</f>
        <v>May</v>
      </c>
    </row>
    <row r="286" spans="1:9" x14ac:dyDescent="0.35">
      <c r="A286" s="6">
        <v>2024</v>
      </c>
      <c r="B286" s="7" t="s">
        <v>59</v>
      </c>
      <c r="C286" s="7" t="s">
        <v>22</v>
      </c>
      <c r="D286" s="7" t="s">
        <v>7</v>
      </c>
      <c r="E286" s="7" t="s">
        <v>12</v>
      </c>
      <c r="F286" s="8">
        <v>391680</v>
      </c>
      <c r="G286" s="9">
        <v>37</v>
      </c>
      <c r="H286" s="10" t="s">
        <v>309</v>
      </c>
      <c r="I286" s="5" t="str">
        <f>CHOOSE(MATCH(B286,{"Январь","Февраль","Март","Апрель","Май","Июнь","Июль","Август","Сентябрь","Октябрь","Ноябрь","Декабрь"},0),
"Jan","Feb","Mar","Apr","May","Jun","Jul","Aug","Sep","Oct","Nov","Dec")</f>
        <v>May</v>
      </c>
    </row>
    <row r="287" spans="1:9" x14ac:dyDescent="0.35">
      <c r="A287" s="6">
        <v>2024</v>
      </c>
      <c r="B287" s="7" t="s">
        <v>59</v>
      </c>
      <c r="C287" s="7" t="s">
        <v>2</v>
      </c>
      <c r="D287" s="7" t="s">
        <v>7</v>
      </c>
      <c r="E287" s="7" t="s">
        <v>15</v>
      </c>
      <c r="F287" s="8">
        <v>416660</v>
      </c>
      <c r="G287" s="9">
        <v>27</v>
      </c>
      <c r="H287" s="10" t="s">
        <v>310</v>
      </c>
      <c r="I287" s="5" t="str">
        <f>CHOOSE(MATCH(B287,{"Январь","Февраль","Март","Апрель","Май","Июнь","Июль","Август","Сентябрь","Октябрь","Ноябрь","Декабрь"},0),
"Jan","Feb","Mar","Apr","May","Jun","Jul","Aug","Sep","Oct","Nov","Dec")</f>
        <v>May</v>
      </c>
    </row>
    <row r="288" spans="1:9" x14ac:dyDescent="0.35">
      <c r="A288" s="6">
        <v>2024</v>
      </c>
      <c r="B288" s="7" t="s">
        <v>59</v>
      </c>
      <c r="C288" s="7" t="s">
        <v>22</v>
      </c>
      <c r="D288" s="7" t="s">
        <v>14</v>
      </c>
      <c r="E288" s="7" t="s">
        <v>8</v>
      </c>
      <c r="F288" s="8">
        <v>274360</v>
      </c>
      <c r="G288" s="9">
        <v>16</v>
      </c>
      <c r="H288" s="10" t="s">
        <v>311</v>
      </c>
      <c r="I288" s="5" t="str">
        <f>CHOOSE(MATCH(B288,{"Январь","Февраль","Март","Апрель","Май","Июнь","Июль","Август","Сентябрь","Октябрь","Ноябрь","Декабрь"},0),
"Jan","Feb","Mar","Apr","May","Jun","Jul","Aug","Sep","Oct","Nov","Dec")</f>
        <v>May</v>
      </c>
    </row>
    <row r="289" spans="1:9" x14ac:dyDescent="0.35">
      <c r="A289" s="6">
        <v>2024</v>
      </c>
      <c r="B289" s="7" t="s">
        <v>59</v>
      </c>
      <c r="C289" s="7" t="s">
        <v>17</v>
      </c>
      <c r="D289" s="7" t="s">
        <v>11</v>
      </c>
      <c r="E289" s="7" t="s">
        <v>12</v>
      </c>
      <c r="F289" s="8">
        <v>224990</v>
      </c>
      <c r="G289" s="9">
        <v>16</v>
      </c>
      <c r="H289" s="10" t="s">
        <v>312</v>
      </c>
      <c r="I289" s="5" t="str">
        <f>CHOOSE(MATCH(B289,{"Январь","Февраль","Март","Апрель","Май","Июнь","Июль","Август","Сентябрь","Октябрь","Ноябрь","Декабрь"},0),
"Jan","Feb","Mar","Apr","May","Jun","Jul","Aug","Sep","Oct","Nov","Dec")</f>
        <v>May</v>
      </c>
    </row>
    <row r="290" spans="1:9" x14ac:dyDescent="0.35">
      <c r="A290" s="6">
        <v>2024</v>
      </c>
      <c r="B290" s="7" t="s">
        <v>59</v>
      </c>
      <c r="C290" s="7" t="s">
        <v>17</v>
      </c>
      <c r="D290" s="7" t="s">
        <v>14</v>
      </c>
      <c r="E290" s="7" t="s">
        <v>15</v>
      </c>
      <c r="F290" s="8">
        <v>445410</v>
      </c>
      <c r="G290" s="9">
        <v>29</v>
      </c>
      <c r="H290" s="10" t="s">
        <v>313</v>
      </c>
      <c r="I290" s="5" t="str">
        <f>CHOOSE(MATCH(B290,{"Январь","Февраль","Март","Апрель","Май","Июнь","Июль","Август","Сентябрь","Октябрь","Ноябрь","Декабрь"},0),
"Jan","Feb","Mar","Apr","May","Jun","Jul","Aug","Sep","Oct","Nov","Dec")</f>
        <v>May</v>
      </c>
    </row>
    <row r="291" spans="1:9" x14ac:dyDescent="0.35">
      <c r="A291" s="6">
        <v>2024</v>
      </c>
      <c r="B291" s="7" t="s">
        <v>59</v>
      </c>
      <c r="C291" s="7" t="s">
        <v>17</v>
      </c>
      <c r="D291" s="7" t="s">
        <v>14</v>
      </c>
      <c r="E291" s="7" t="s">
        <v>15</v>
      </c>
      <c r="F291" s="8">
        <v>606620</v>
      </c>
      <c r="G291" s="9">
        <v>39</v>
      </c>
      <c r="H291" s="10" t="s">
        <v>314</v>
      </c>
      <c r="I291" s="5" t="str">
        <f>CHOOSE(MATCH(B291,{"Январь","Февраль","Март","Апрель","Май","Июнь","Июль","Август","Сентябрь","Октябрь","Ноябрь","Декабрь"},0),
"Jan","Feb","Mar","Apr","May","Jun","Jul","Aug","Sep","Oct","Nov","Dec")</f>
        <v>May</v>
      </c>
    </row>
    <row r="292" spans="1:9" x14ac:dyDescent="0.35">
      <c r="A292" s="6">
        <v>2024</v>
      </c>
      <c r="B292" s="7" t="s">
        <v>59</v>
      </c>
      <c r="C292" s="7" t="s">
        <v>22</v>
      </c>
      <c r="D292" s="7" t="s">
        <v>18</v>
      </c>
      <c r="E292" s="7" t="s">
        <v>12</v>
      </c>
      <c r="F292" s="8">
        <v>378650</v>
      </c>
      <c r="G292" s="9">
        <v>35</v>
      </c>
      <c r="H292" s="10" t="s">
        <v>315</v>
      </c>
      <c r="I292" s="5" t="str">
        <f>CHOOSE(MATCH(B292,{"Январь","Февраль","Март","Апрель","Май","Июнь","Июль","Август","Сентябрь","Октябрь","Ноябрь","Декабрь"},0),
"Jan","Feb","Mar","Apr","May","Jun","Jul","Aug","Sep","Oct","Nov","Dec")</f>
        <v>May</v>
      </c>
    </row>
    <row r="293" spans="1:9" x14ac:dyDescent="0.35">
      <c r="A293" s="6">
        <v>2024</v>
      </c>
      <c r="B293" s="7" t="s">
        <v>59</v>
      </c>
      <c r="C293" s="7" t="s">
        <v>6</v>
      </c>
      <c r="D293" s="7" t="s">
        <v>14</v>
      </c>
      <c r="E293" s="7" t="s">
        <v>15</v>
      </c>
      <c r="F293" s="8">
        <v>482730</v>
      </c>
      <c r="G293" s="9">
        <v>35</v>
      </c>
      <c r="H293" s="10" t="s">
        <v>316</v>
      </c>
      <c r="I293" s="5" t="str">
        <f>CHOOSE(MATCH(B293,{"Январь","Февраль","Март","Апрель","Май","Июнь","Июль","Август","Сентябрь","Октябрь","Ноябрь","Декабрь"},0),
"Jan","Feb","Mar","Apr","May","Jun","Jul","Aug","Sep","Oct","Nov","Dec")</f>
        <v>May</v>
      </c>
    </row>
    <row r="294" spans="1:9" x14ac:dyDescent="0.35">
      <c r="A294" s="6">
        <v>2024</v>
      </c>
      <c r="B294" s="7" t="s">
        <v>70</v>
      </c>
      <c r="C294" s="7" t="s">
        <v>17</v>
      </c>
      <c r="D294" s="7" t="s">
        <v>11</v>
      </c>
      <c r="E294" s="7" t="s">
        <v>8</v>
      </c>
      <c r="F294" s="8">
        <v>559820</v>
      </c>
      <c r="G294" s="9">
        <v>26</v>
      </c>
      <c r="H294" s="10" t="s">
        <v>317</v>
      </c>
      <c r="I294" s="5" t="str">
        <f>CHOOSE(MATCH(B294,{"Январь","Февраль","Март","Апрель","Май","Июнь","Июль","Август","Сентябрь","Октябрь","Ноябрь","Декабрь"},0),
"Jan","Feb","Mar","Apr","May","Jun","Jul","Aug","Sep","Oct","Nov","Dec")</f>
        <v>Jun</v>
      </c>
    </row>
    <row r="295" spans="1:9" x14ac:dyDescent="0.35">
      <c r="A295" s="6">
        <v>2024</v>
      </c>
      <c r="B295" s="7" t="s">
        <v>70</v>
      </c>
      <c r="C295" s="7" t="s">
        <v>2</v>
      </c>
      <c r="D295" s="7" t="s">
        <v>14</v>
      </c>
      <c r="E295" s="7" t="s">
        <v>15</v>
      </c>
      <c r="F295" s="8">
        <v>390470</v>
      </c>
      <c r="G295" s="9">
        <v>23</v>
      </c>
      <c r="H295" s="10" t="s">
        <v>318</v>
      </c>
      <c r="I295" s="5" t="str">
        <f>CHOOSE(MATCH(B295,{"Январь","Февраль","Март","Апрель","Май","Июнь","Июль","Август","Сентябрь","Октябрь","Ноябрь","Декабрь"},0),
"Jan","Feb","Mar","Apr","May","Jun","Jul","Aug","Sep","Oct","Nov","Dec")</f>
        <v>Jun</v>
      </c>
    </row>
    <row r="296" spans="1:9" x14ac:dyDescent="0.35">
      <c r="A296" s="6">
        <v>2024</v>
      </c>
      <c r="B296" s="7" t="s">
        <v>70</v>
      </c>
      <c r="C296" s="7" t="s">
        <v>17</v>
      </c>
      <c r="D296" s="7" t="s">
        <v>14</v>
      </c>
      <c r="E296" s="7" t="s">
        <v>12</v>
      </c>
      <c r="F296" s="8">
        <v>233720</v>
      </c>
      <c r="G296" s="9">
        <v>17</v>
      </c>
      <c r="H296" s="10" t="s">
        <v>319</v>
      </c>
      <c r="I296" s="5" t="str">
        <f>CHOOSE(MATCH(B296,{"Январь","Февраль","Март","Апрель","Май","Июнь","Июль","Август","Сентябрь","Октябрь","Ноябрь","Декабрь"},0),
"Jan","Feb","Mar","Apr","May","Jun","Jul","Aug","Sep","Oct","Nov","Dec")</f>
        <v>Jun</v>
      </c>
    </row>
    <row r="297" spans="1:9" x14ac:dyDescent="0.35">
      <c r="A297" s="6">
        <v>2024</v>
      </c>
      <c r="B297" s="7" t="s">
        <v>70</v>
      </c>
      <c r="C297" s="7" t="s">
        <v>2</v>
      </c>
      <c r="D297" s="7" t="s">
        <v>14</v>
      </c>
      <c r="E297" s="7" t="s">
        <v>8</v>
      </c>
      <c r="F297" s="8">
        <v>407080</v>
      </c>
      <c r="G297" s="9">
        <v>18</v>
      </c>
      <c r="H297" s="10" t="s">
        <v>320</v>
      </c>
      <c r="I297" s="5" t="str">
        <f>CHOOSE(MATCH(B297,{"Январь","Февраль","Март","Апрель","Май","Июнь","Июль","Август","Сентябрь","Октябрь","Ноябрь","Декабрь"},0),
"Jan","Feb","Mar","Apr","May","Jun","Jul","Aug","Sep","Oct","Nov","Dec")</f>
        <v>Jun</v>
      </c>
    </row>
    <row r="298" spans="1:9" x14ac:dyDescent="0.35">
      <c r="A298" s="6">
        <v>2024</v>
      </c>
      <c r="B298" s="7" t="s">
        <v>70</v>
      </c>
      <c r="C298" s="7" t="s">
        <v>6</v>
      </c>
      <c r="D298" s="7" t="s">
        <v>7</v>
      </c>
      <c r="E298" s="7" t="s">
        <v>15</v>
      </c>
      <c r="F298" s="8">
        <v>365370</v>
      </c>
      <c r="G298" s="9">
        <v>28</v>
      </c>
      <c r="H298" s="10" t="s">
        <v>321</v>
      </c>
      <c r="I298" s="5" t="str">
        <f>CHOOSE(MATCH(B298,{"Январь","Февраль","Март","Апрель","Май","Июнь","Июль","Август","Сентябрь","Октябрь","Ноябрь","Декабрь"},0),
"Jan","Feb","Mar","Apr","May","Jun","Jul","Aug","Sep","Oct","Nov","Dec")</f>
        <v>Jun</v>
      </c>
    </row>
    <row r="299" spans="1:9" x14ac:dyDescent="0.35">
      <c r="A299" s="6">
        <v>2024</v>
      </c>
      <c r="B299" s="7" t="s">
        <v>70</v>
      </c>
      <c r="C299" s="7" t="s">
        <v>10</v>
      </c>
      <c r="D299" s="7" t="s">
        <v>7</v>
      </c>
      <c r="E299" s="7" t="s">
        <v>12</v>
      </c>
      <c r="F299" s="8">
        <v>590590</v>
      </c>
      <c r="G299" s="9">
        <v>36</v>
      </c>
      <c r="H299" s="10" t="s">
        <v>322</v>
      </c>
      <c r="I299" s="5" t="str">
        <f>CHOOSE(MATCH(B299,{"Январь","Февраль","Март","Апрель","Май","Июнь","Июль","Август","Сентябрь","Октябрь","Ноябрь","Декабрь"},0),
"Jan","Feb","Mar","Apr","May","Jun","Jul","Aug","Sep","Oct","Nov","Dec")</f>
        <v>Jun</v>
      </c>
    </row>
    <row r="300" spans="1:9" x14ac:dyDescent="0.35">
      <c r="A300" s="6">
        <v>2024</v>
      </c>
      <c r="B300" s="7" t="s">
        <v>70</v>
      </c>
      <c r="C300" s="7" t="s">
        <v>2</v>
      </c>
      <c r="D300" s="7" t="s">
        <v>7</v>
      </c>
      <c r="E300" s="7" t="s">
        <v>4</v>
      </c>
      <c r="F300" s="8">
        <v>320310</v>
      </c>
      <c r="G300" s="9">
        <v>17</v>
      </c>
      <c r="H300" s="10" t="s">
        <v>323</v>
      </c>
      <c r="I300" s="5" t="str">
        <f>CHOOSE(MATCH(B300,{"Январь","Февраль","Март","Апрель","Май","Июнь","Июль","Август","Сентябрь","Октябрь","Ноябрь","Декабрь"},0),
"Jan","Feb","Mar","Apr","May","Jun","Jul","Aug","Sep","Oct","Nov","Dec")</f>
        <v>Jun</v>
      </c>
    </row>
    <row r="301" spans="1:9" x14ac:dyDescent="0.35">
      <c r="A301" s="6">
        <v>2024</v>
      </c>
      <c r="B301" s="7" t="s">
        <v>70</v>
      </c>
      <c r="C301" s="7" t="s">
        <v>6</v>
      </c>
      <c r="D301" s="7" t="s">
        <v>18</v>
      </c>
      <c r="E301" s="7" t="s">
        <v>8</v>
      </c>
      <c r="F301" s="8">
        <v>229080</v>
      </c>
      <c r="G301" s="9">
        <v>12</v>
      </c>
      <c r="H301" s="10" t="s">
        <v>324</v>
      </c>
      <c r="I301" s="5" t="str">
        <f>CHOOSE(MATCH(B301,{"Январь","Февраль","Март","Апрель","Май","Июнь","Июль","Август","Сентябрь","Октябрь","Ноябрь","Декабрь"},0),
"Jan","Feb","Mar","Apr","May","Jun","Jul","Aug","Sep","Oct","Nov","Dec")</f>
        <v>Jun</v>
      </c>
    </row>
    <row r="302" spans="1:9" x14ac:dyDescent="0.35">
      <c r="A302" s="6">
        <v>2024</v>
      </c>
      <c r="B302" s="7" t="s">
        <v>70</v>
      </c>
      <c r="C302" s="7" t="s">
        <v>10</v>
      </c>
      <c r="D302" s="7" t="s">
        <v>7</v>
      </c>
      <c r="E302" s="7" t="s">
        <v>12</v>
      </c>
      <c r="F302" s="8">
        <v>483790</v>
      </c>
      <c r="G302" s="9">
        <v>31</v>
      </c>
      <c r="H302" s="10" t="s">
        <v>325</v>
      </c>
      <c r="I302" s="5" t="str">
        <f>CHOOSE(MATCH(B302,{"Январь","Февраль","Март","Апрель","Май","Июнь","Июль","Август","Сентябрь","Октябрь","Ноябрь","Декабрь"},0),
"Jan","Feb","Mar","Apr","May","Jun","Jul","Aug","Sep","Oct","Nov","Dec")</f>
        <v>Jun</v>
      </c>
    </row>
    <row r="303" spans="1:9" x14ac:dyDescent="0.35">
      <c r="A303" s="6">
        <v>2024</v>
      </c>
      <c r="B303" s="7" t="s">
        <v>70</v>
      </c>
      <c r="C303" s="7" t="s">
        <v>2</v>
      </c>
      <c r="D303" s="7" t="s">
        <v>7</v>
      </c>
      <c r="E303" s="7" t="s">
        <v>12</v>
      </c>
      <c r="F303" s="8">
        <v>348230</v>
      </c>
      <c r="G303" s="9">
        <v>26</v>
      </c>
      <c r="H303" s="10" t="s">
        <v>326</v>
      </c>
      <c r="I303" s="5" t="str">
        <f>CHOOSE(MATCH(B303,{"Январь","Февраль","Март","Апрель","Май","Июнь","Июль","Август","Сентябрь","Октябрь","Ноябрь","Декабрь"},0),
"Jan","Feb","Mar","Apr","May","Jun","Jul","Aug","Sep","Oct","Nov","Dec")</f>
        <v>Jun</v>
      </c>
    </row>
    <row r="304" spans="1:9" x14ac:dyDescent="0.35">
      <c r="A304" s="6">
        <v>2024</v>
      </c>
      <c r="B304" s="7" t="s">
        <v>81</v>
      </c>
      <c r="C304" s="7" t="s">
        <v>22</v>
      </c>
      <c r="D304" s="7" t="s">
        <v>14</v>
      </c>
      <c r="E304" s="7" t="s">
        <v>8</v>
      </c>
      <c r="F304" s="8">
        <v>375110</v>
      </c>
      <c r="G304" s="9">
        <v>21</v>
      </c>
      <c r="H304" s="10" t="s">
        <v>327</v>
      </c>
      <c r="I304" s="5" t="str">
        <f>CHOOSE(MATCH(B304,{"Январь","Февраль","Март","Апрель","Май","Июнь","Июль","Август","Сентябрь","Октябрь","Ноябрь","Декабрь"},0),
"Jan","Feb","Mar","Apr","May","Jun","Jul","Aug","Sep","Oct","Nov","Dec")</f>
        <v>Jul</v>
      </c>
    </row>
    <row r="305" spans="1:9" x14ac:dyDescent="0.35">
      <c r="A305" s="6">
        <v>2024</v>
      </c>
      <c r="B305" s="7" t="s">
        <v>81</v>
      </c>
      <c r="C305" s="7" t="s">
        <v>10</v>
      </c>
      <c r="D305" s="7" t="s">
        <v>3</v>
      </c>
      <c r="E305" s="7" t="s">
        <v>15</v>
      </c>
      <c r="F305" s="8">
        <v>344560</v>
      </c>
      <c r="G305" s="9">
        <v>18</v>
      </c>
      <c r="H305" s="10" t="s">
        <v>328</v>
      </c>
      <c r="I305" s="5" t="str">
        <f>CHOOSE(MATCH(B305,{"Январь","Февраль","Март","Апрель","Май","Июнь","Июль","Август","Сентябрь","Октябрь","Ноябрь","Декабрь"},0),
"Jan","Feb","Mar","Apr","May","Jun","Jul","Aug","Sep","Oct","Nov","Dec")</f>
        <v>Jul</v>
      </c>
    </row>
    <row r="306" spans="1:9" x14ac:dyDescent="0.35">
      <c r="A306" s="6">
        <v>2024</v>
      </c>
      <c r="B306" s="7" t="s">
        <v>81</v>
      </c>
      <c r="C306" s="7" t="s">
        <v>10</v>
      </c>
      <c r="D306" s="7" t="s">
        <v>14</v>
      </c>
      <c r="E306" s="7" t="s">
        <v>4</v>
      </c>
      <c r="F306" s="8">
        <v>415610</v>
      </c>
      <c r="G306" s="9">
        <v>19</v>
      </c>
      <c r="H306" s="10" t="s">
        <v>329</v>
      </c>
      <c r="I306" s="5" t="str">
        <f>CHOOSE(MATCH(B306,{"Январь","Февраль","Март","Апрель","Май","Июнь","Июль","Август","Сентябрь","Октябрь","Ноябрь","Декабрь"},0),
"Jan","Feb","Mar","Apr","May","Jun","Jul","Aug","Sep","Oct","Nov","Dec")</f>
        <v>Jul</v>
      </c>
    </row>
    <row r="307" spans="1:9" x14ac:dyDescent="0.35">
      <c r="A307" s="6">
        <v>2024</v>
      </c>
      <c r="B307" s="7" t="s">
        <v>81</v>
      </c>
      <c r="C307" s="7" t="s">
        <v>10</v>
      </c>
      <c r="D307" s="7" t="s">
        <v>11</v>
      </c>
      <c r="E307" s="7" t="s">
        <v>15</v>
      </c>
      <c r="F307" s="8">
        <v>299840</v>
      </c>
      <c r="G307" s="9">
        <v>15</v>
      </c>
      <c r="H307" s="10" t="s">
        <v>330</v>
      </c>
      <c r="I307" s="5" t="str">
        <f>CHOOSE(MATCH(B307,{"Январь","Февраль","Март","Апрель","Май","Июнь","Июль","Август","Сентябрь","Октябрь","Ноябрь","Декабрь"},0),
"Jan","Feb","Mar","Apr","May","Jun","Jul","Aug","Sep","Oct","Nov","Dec")</f>
        <v>Jul</v>
      </c>
    </row>
    <row r="308" spans="1:9" x14ac:dyDescent="0.35">
      <c r="A308" s="6">
        <v>2024</v>
      </c>
      <c r="B308" s="7" t="s">
        <v>81</v>
      </c>
      <c r="C308" s="7" t="s">
        <v>2</v>
      </c>
      <c r="D308" s="7" t="s">
        <v>7</v>
      </c>
      <c r="E308" s="7" t="s">
        <v>12</v>
      </c>
      <c r="F308" s="8">
        <v>495930</v>
      </c>
      <c r="G308" s="9">
        <v>37</v>
      </c>
      <c r="H308" s="10" t="s">
        <v>331</v>
      </c>
      <c r="I308" s="5" t="str">
        <f>CHOOSE(MATCH(B308,{"Январь","Февраль","Март","Апрель","Май","Июнь","Июль","Август","Сентябрь","Октябрь","Ноябрь","Декабрь"},0),
"Jan","Feb","Mar","Apr","May","Jun","Jul","Aug","Sep","Oct","Nov","Dec")</f>
        <v>Jul</v>
      </c>
    </row>
    <row r="309" spans="1:9" x14ac:dyDescent="0.35">
      <c r="A309" s="6">
        <v>2024</v>
      </c>
      <c r="B309" s="7" t="s">
        <v>81</v>
      </c>
      <c r="C309" s="7" t="s">
        <v>22</v>
      </c>
      <c r="D309" s="7" t="s">
        <v>14</v>
      </c>
      <c r="E309" s="7" t="s">
        <v>15</v>
      </c>
      <c r="F309" s="8">
        <v>468470</v>
      </c>
      <c r="G309" s="9">
        <v>36</v>
      </c>
      <c r="H309" s="10" t="s">
        <v>332</v>
      </c>
      <c r="I309" s="5" t="str">
        <f>CHOOSE(MATCH(B309,{"Январь","Февраль","Март","Апрель","Май","Июнь","Июль","Август","Сентябрь","Октябрь","Ноябрь","Декабрь"},0),
"Jan","Feb","Mar","Apr","May","Jun","Jul","Aug","Sep","Oct","Nov","Dec")</f>
        <v>Jul</v>
      </c>
    </row>
    <row r="310" spans="1:9" x14ac:dyDescent="0.35">
      <c r="A310" s="6">
        <v>2024</v>
      </c>
      <c r="B310" s="7" t="s">
        <v>81</v>
      </c>
      <c r="C310" s="7" t="s">
        <v>2</v>
      </c>
      <c r="D310" s="7" t="s">
        <v>7</v>
      </c>
      <c r="E310" s="7" t="s">
        <v>8</v>
      </c>
      <c r="F310" s="8">
        <v>498980</v>
      </c>
      <c r="G310" s="9">
        <v>24</v>
      </c>
      <c r="H310" s="10" t="s">
        <v>333</v>
      </c>
      <c r="I310" s="5" t="str">
        <f>CHOOSE(MATCH(B310,{"Январь","Февраль","Март","Апрель","Май","Июнь","Июль","Август","Сентябрь","Октябрь","Ноябрь","Декабрь"},0),
"Jan","Feb","Mar","Apr","May","Jun","Jul","Aug","Sep","Oct","Nov","Dec")</f>
        <v>Jul</v>
      </c>
    </row>
    <row r="311" spans="1:9" x14ac:dyDescent="0.35">
      <c r="A311" s="6">
        <v>2024</v>
      </c>
      <c r="B311" s="7" t="s">
        <v>81</v>
      </c>
      <c r="C311" s="7" t="s">
        <v>22</v>
      </c>
      <c r="D311" s="7" t="s">
        <v>18</v>
      </c>
      <c r="E311" s="7" t="s">
        <v>15</v>
      </c>
      <c r="F311" s="8">
        <v>251400</v>
      </c>
      <c r="G311" s="9">
        <v>19</v>
      </c>
      <c r="H311" s="10" t="s">
        <v>334</v>
      </c>
      <c r="I311" s="5" t="str">
        <f>CHOOSE(MATCH(B311,{"Январь","Февраль","Март","Апрель","Май","Июнь","Июль","Август","Сентябрь","Октябрь","Ноябрь","Декабрь"},0),
"Jan","Feb","Mar","Apr","May","Jun","Jul","Aug","Sep","Oct","Nov","Dec")</f>
        <v>Jul</v>
      </c>
    </row>
    <row r="312" spans="1:9" x14ac:dyDescent="0.35">
      <c r="A312" s="6">
        <v>2024</v>
      </c>
      <c r="B312" s="7" t="s">
        <v>81</v>
      </c>
      <c r="C312" s="7" t="s">
        <v>22</v>
      </c>
      <c r="D312" s="7" t="s">
        <v>18</v>
      </c>
      <c r="E312" s="7" t="s">
        <v>8</v>
      </c>
      <c r="F312" s="8">
        <v>374760</v>
      </c>
      <c r="G312" s="9">
        <v>22</v>
      </c>
      <c r="H312" s="10" t="s">
        <v>335</v>
      </c>
      <c r="I312" s="5" t="str">
        <f>CHOOSE(MATCH(B312,{"Январь","Февраль","Март","Апрель","Май","Июнь","Июль","Август","Сентябрь","Октябрь","Ноябрь","Декабрь"},0),
"Jan","Feb","Mar","Apr","May","Jun","Jul","Aug","Sep","Oct","Nov","Dec")</f>
        <v>Jul</v>
      </c>
    </row>
    <row r="313" spans="1:9" x14ac:dyDescent="0.35">
      <c r="A313" s="6">
        <v>2024</v>
      </c>
      <c r="B313" s="7" t="s">
        <v>81</v>
      </c>
      <c r="C313" s="7" t="s">
        <v>6</v>
      </c>
      <c r="D313" s="7" t="s">
        <v>7</v>
      </c>
      <c r="E313" s="7" t="s">
        <v>8</v>
      </c>
      <c r="F313" s="8">
        <v>439750</v>
      </c>
      <c r="G313" s="9">
        <v>24</v>
      </c>
      <c r="H313" s="10" t="s">
        <v>336</v>
      </c>
      <c r="I313" s="5" t="str">
        <f>CHOOSE(MATCH(B313,{"Январь","Февраль","Март","Апрель","Май","Июнь","Июль","Август","Сентябрь","Октябрь","Ноябрь","Декабрь"},0),
"Jan","Feb","Mar","Apr","May","Jun","Jul","Aug","Sep","Oct","Nov","Dec")</f>
        <v>Jul</v>
      </c>
    </row>
    <row r="314" spans="1:9" x14ac:dyDescent="0.35">
      <c r="A314" s="6">
        <v>2024</v>
      </c>
      <c r="B314" s="7" t="s">
        <v>92</v>
      </c>
      <c r="C314" s="7" t="s">
        <v>10</v>
      </c>
      <c r="D314" s="7" t="s">
        <v>18</v>
      </c>
      <c r="E314" s="7" t="s">
        <v>4</v>
      </c>
      <c r="F314" s="8">
        <v>789670</v>
      </c>
      <c r="G314" s="9">
        <v>36</v>
      </c>
      <c r="H314" s="10" t="s">
        <v>337</v>
      </c>
      <c r="I314" s="5" t="str">
        <f>CHOOSE(MATCH(B314,{"Январь","Февраль","Март","Апрель","Май","Июнь","Июль","Август","Сентябрь","Октябрь","Ноябрь","Декабрь"},0),
"Jan","Feb","Mar","Apr","May","Jun","Jul","Aug","Sep","Oct","Nov","Dec")</f>
        <v>Aug</v>
      </c>
    </row>
    <row r="315" spans="1:9" x14ac:dyDescent="0.35">
      <c r="A315" s="6">
        <v>2024</v>
      </c>
      <c r="B315" s="7" t="s">
        <v>92</v>
      </c>
      <c r="C315" s="7" t="s">
        <v>2</v>
      </c>
      <c r="D315" s="7" t="s">
        <v>7</v>
      </c>
      <c r="E315" s="7" t="s">
        <v>12</v>
      </c>
      <c r="F315" s="8">
        <v>414890</v>
      </c>
      <c r="G315" s="9">
        <v>31</v>
      </c>
      <c r="H315" s="10" t="s">
        <v>338</v>
      </c>
      <c r="I315" s="5" t="str">
        <f>CHOOSE(MATCH(B315,{"Январь","Февраль","Март","Апрель","Май","Июнь","Июль","Август","Сентябрь","Октябрь","Ноябрь","Декабрь"},0),
"Jan","Feb","Mar","Apr","May","Jun","Jul","Aug","Sep","Oct","Nov","Dec")</f>
        <v>Aug</v>
      </c>
    </row>
    <row r="316" spans="1:9" x14ac:dyDescent="0.35">
      <c r="A316" s="6">
        <v>2024</v>
      </c>
      <c r="B316" s="7" t="s">
        <v>92</v>
      </c>
      <c r="C316" s="7" t="s">
        <v>17</v>
      </c>
      <c r="D316" s="7" t="s">
        <v>18</v>
      </c>
      <c r="E316" s="7" t="s">
        <v>12</v>
      </c>
      <c r="F316" s="8">
        <v>266230</v>
      </c>
      <c r="G316" s="9">
        <v>19</v>
      </c>
      <c r="H316" s="10" t="s">
        <v>339</v>
      </c>
      <c r="I316" s="5" t="str">
        <f>CHOOSE(MATCH(B316,{"Январь","Февраль","Март","Апрель","Май","Июнь","Июль","Август","Сентябрь","Октябрь","Ноябрь","Декабрь"},0),
"Jan","Feb","Mar","Apr","May","Jun","Jul","Aug","Sep","Oct","Nov","Dec")</f>
        <v>Aug</v>
      </c>
    </row>
    <row r="317" spans="1:9" x14ac:dyDescent="0.35">
      <c r="A317" s="6">
        <v>2024</v>
      </c>
      <c r="B317" s="7" t="s">
        <v>92</v>
      </c>
      <c r="C317" s="7" t="s">
        <v>17</v>
      </c>
      <c r="D317" s="7" t="s">
        <v>7</v>
      </c>
      <c r="E317" s="7" t="s">
        <v>4</v>
      </c>
      <c r="F317" s="8">
        <v>452510</v>
      </c>
      <c r="G317" s="9">
        <v>26</v>
      </c>
      <c r="H317" s="10" t="s">
        <v>340</v>
      </c>
      <c r="I317" s="5" t="str">
        <f>CHOOSE(MATCH(B317,{"Январь","Февраль","Март","Апрель","Май","Июнь","Июль","Август","Сентябрь","Октябрь","Ноябрь","Декабрь"},0),
"Jan","Feb","Mar","Apr","May","Jun","Jul","Aug","Sep","Oct","Nov","Dec")</f>
        <v>Aug</v>
      </c>
    </row>
    <row r="318" spans="1:9" x14ac:dyDescent="0.35">
      <c r="A318" s="6">
        <v>2024</v>
      </c>
      <c r="B318" s="7" t="s">
        <v>92</v>
      </c>
      <c r="C318" s="7" t="s">
        <v>10</v>
      </c>
      <c r="D318" s="7" t="s">
        <v>7</v>
      </c>
      <c r="E318" s="7" t="s">
        <v>8</v>
      </c>
      <c r="F318" s="8">
        <v>1036140</v>
      </c>
      <c r="G318" s="9">
        <v>41</v>
      </c>
      <c r="H318" s="10" t="s">
        <v>341</v>
      </c>
      <c r="I318" s="5" t="str">
        <f>CHOOSE(MATCH(B318,{"Январь","Февраль","Март","Апрель","Май","Июнь","Июль","Август","Сентябрь","Октябрь","Ноябрь","Декабрь"},0),
"Jan","Feb","Mar","Apr","May","Jun","Jul","Aug","Sep","Oct","Nov","Dec")</f>
        <v>Aug</v>
      </c>
    </row>
    <row r="319" spans="1:9" x14ac:dyDescent="0.35">
      <c r="A319" s="6">
        <v>2024</v>
      </c>
      <c r="B319" s="7" t="s">
        <v>92</v>
      </c>
      <c r="C319" s="7" t="s">
        <v>17</v>
      </c>
      <c r="D319" s="7" t="s">
        <v>3</v>
      </c>
      <c r="E319" s="7" t="s">
        <v>8</v>
      </c>
      <c r="F319" s="8">
        <v>543780</v>
      </c>
      <c r="G319" s="9">
        <v>26</v>
      </c>
      <c r="H319" s="10" t="s">
        <v>342</v>
      </c>
      <c r="I319" s="5" t="str">
        <f>CHOOSE(MATCH(B319,{"Январь","Февраль","Март","Апрель","Май","Июнь","Июль","Август","Сентябрь","Октябрь","Ноябрь","Декабрь"},0),
"Jan","Feb","Mar","Apr","May","Jun","Jul","Aug","Sep","Oct","Nov","Dec")</f>
        <v>Aug</v>
      </c>
    </row>
    <row r="320" spans="1:9" x14ac:dyDescent="0.35">
      <c r="A320" s="6">
        <v>2024</v>
      </c>
      <c r="B320" s="7" t="s">
        <v>92</v>
      </c>
      <c r="C320" s="7" t="s">
        <v>10</v>
      </c>
      <c r="D320" s="7" t="s">
        <v>11</v>
      </c>
      <c r="E320" s="7" t="s">
        <v>4</v>
      </c>
      <c r="F320" s="8">
        <v>933160</v>
      </c>
      <c r="G320" s="9">
        <v>42</v>
      </c>
      <c r="H320" s="10" t="s">
        <v>343</v>
      </c>
      <c r="I320" s="5" t="str">
        <f>CHOOSE(MATCH(B320,{"Январь","Февраль","Март","Апрель","Май","Июнь","Июль","Август","Сентябрь","Октябрь","Ноябрь","Декабрь"},0),
"Jan","Feb","Mar","Apr","May","Jun","Jul","Aug","Sep","Oct","Nov","Dec")</f>
        <v>Aug</v>
      </c>
    </row>
    <row r="321" spans="1:9" x14ac:dyDescent="0.35">
      <c r="A321" s="6">
        <v>2024</v>
      </c>
      <c r="B321" s="7" t="s">
        <v>92</v>
      </c>
      <c r="C321" s="7" t="s">
        <v>6</v>
      </c>
      <c r="D321" s="7" t="s">
        <v>7</v>
      </c>
      <c r="E321" s="7" t="s">
        <v>4</v>
      </c>
      <c r="F321" s="8">
        <v>223630</v>
      </c>
      <c r="G321" s="9">
        <v>15</v>
      </c>
      <c r="H321" s="10" t="s">
        <v>344</v>
      </c>
      <c r="I321" s="5" t="str">
        <f>CHOOSE(MATCH(B321,{"Январь","Февраль","Март","Апрель","Май","Июнь","Июль","Август","Сентябрь","Октябрь","Ноябрь","Декабрь"},0),
"Jan","Feb","Mar","Apr","May","Jun","Jul","Aug","Sep","Oct","Nov","Dec")</f>
        <v>Aug</v>
      </c>
    </row>
    <row r="322" spans="1:9" x14ac:dyDescent="0.35">
      <c r="A322" s="6">
        <v>2024</v>
      </c>
      <c r="B322" s="7" t="s">
        <v>92</v>
      </c>
      <c r="C322" s="7" t="s">
        <v>6</v>
      </c>
      <c r="D322" s="7" t="s">
        <v>3</v>
      </c>
      <c r="E322" s="7" t="s">
        <v>8</v>
      </c>
      <c r="F322" s="8">
        <v>436680</v>
      </c>
      <c r="G322" s="9">
        <v>22</v>
      </c>
      <c r="H322" s="10" t="s">
        <v>345</v>
      </c>
      <c r="I322" s="5" t="str">
        <f>CHOOSE(MATCH(B322,{"Январь","Февраль","Март","Апрель","Май","Июнь","Июль","Август","Сентябрь","Октябрь","Ноябрь","Декабрь"},0),
"Jan","Feb","Mar","Apr","May","Jun","Jul","Aug","Sep","Oct","Nov","Dec")</f>
        <v>Aug</v>
      </c>
    </row>
    <row r="323" spans="1:9" x14ac:dyDescent="0.35">
      <c r="A323" s="6">
        <v>2024</v>
      </c>
      <c r="B323" s="7" t="s">
        <v>92</v>
      </c>
      <c r="C323" s="7" t="s">
        <v>17</v>
      </c>
      <c r="D323" s="7" t="s">
        <v>11</v>
      </c>
      <c r="E323" s="7" t="s">
        <v>8</v>
      </c>
      <c r="F323" s="8">
        <v>647600</v>
      </c>
      <c r="G323" s="9">
        <v>31</v>
      </c>
      <c r="H323" s="10" t="s">
        <v>346</v>
      </c>
      <c r="I323" s="5" t="str">
        <f>CHOOSE(MATCH(B323,{"Январь","Февраль","Март","Апрель","Май","Июнь","Июль","Август","Сентябрь","Октябрь","Ноябрь","Декабрь"},0),
"Jan","Feb","Mar","Apr","May","Jun","Jul","Aug","Sep","Oct","Nov","Dec")</f>
        <v>Aug</v>
      </c>
    </row>
    <row r="324" spans="1:9" x14ac:dyDescent="0.35">
      <c r="A324" s="6">
        <v>2024</v>
      </c>
      <c r="B324" s="7" t="s">
        <v>103</v>
      </c>
      <c r="C324" s="7" t="s">
        <v>2</v>
      </c>
      <c r="D324" s="7" t="s">
        <v>11</v>
      </c>
      <c r="E324" s="7" t="s">
        <v>8</v>
      </c>
      <c r="F324" s="8">
        <v>788470</v>
      </c>
      <c r="G324" s="9">
        <v>35</v>
      </c>
      <c r="H324" s="10" t="s">
        <v>347</v>
      </c>
      <c r="I324" s="5" t="str">
        <f>CHOOSE(MATCH(B324,{"Январь","Февраль","Март","Апрель","Май","Июнь","Июль","Август","Сентябрь","Октябрь","Ноябрь","Декабрь"},0),
"Jan","Feb","Mar","Apr","May","Jun","Jul","Aug","Sep","Oct","Nov","Dec")</f>
        <v>Sep</v>
      </c>
    </row>
    <row r="325" spans="1:9" x14ac:dyDescent="0.35">
      <c r="A325" s="6">
        <v>2024</v>
      </c>
      <c r="B325" s="7" t="s">
        <v>103</v>
      </c>
      <c r="C325" s="7" t="s">
        <v>6</v>
      </c>
      <c r="D325" s="7" t="s">
        <v>14</v>
      </c>
      <c r="E325" s="7" t="s">
        <v>8</v>
      </c>
      <c r="F325" s="8">
        <v>466560</v>
      </c>
      <c r="G325" s="9">
        <v>25</v>
      </c>
      <c r="H325" s="10" t="s">
        <v>348</v>
      </c>
      <c r="I325" s="5" t="str">
        <f>CHOOSE(MATCH(B325,{"Январь","Февраль","Март","Апрель","Май","Июнь","Июль","Август","Сентябрь","Октябрь","Ноябрь","Декабрь"},0),
"Jan","Feb","Mar","Apr","May","Jun","Jul","Aug","Sep","Oct","Nov","Dec")</f>
        <v>Sep</v>
      </c>
    </row>
    <row r="326" spans="1:9" x14ac:dyDescent="0.35">
      <c r="A326" s="6">
        <v>2024</v>
      </c>
      <c r="B326" s="7" t="s">
        <v>103</v>
      </c>
      <c r="C326" s="7" t="s">
        <v>10</v>
      </c>
      <c r="D326" s="7" t="s">
        <v>14</v>
      </c>
      <c r="E326" s="7" t="s">
        <v>4</v>
      </c>
      <c r="F326" s="8">
        <v>253950</v>
      </c>
      <c r="G326" s="9">
        <v>12</v>
      </c>
      <c r="H326" s="10" t="s">
        <v>349</v>
      </c>
      <c r="I326" s="5" t="str">
        <f>CHOOSE(MATCH(B326,{"Январь","Февраль","Март","Апрель","Май","Июнь","Июль","Август","Сентябрь","Октябрь","Ноябрь","Декабрь"},0),
"Jan","Feb","Mar","Apr","May","Jun","Jul","Aug","Sep","Oct","Nov","Dec")</f>
        <v>Sep</v>
      </c>
    </row>
    <row r="327" spans="1:9" x14ac:dyDescent="0.35">
      <c r="A327" s="6">
        <v>2024</v>
      </c>
      <c r="B327" s="7" t="s">
        <v>103</v>
      </c>
      <c r="C327" s="7" t="s">
        <v>6</v>
      </c>
      <c r="D327" s="7" t="s">
        <v>18</v>
      </c>
      <c r="E327" s="7" t="s">
        <v>4</v>
      </c>
      <c r="F327" s="8">
        <v>203740</v>
      </c>
      <c r="G327" s="9">
        <v>12</v>
      </c>
      <c r="H327" s="10" t="s">
        <v>350</v>
      </c>
      <c r="I327" s="5" t="str">
        <f>CHOOSE(MATCH(B327,{"Январь","Февраль","Март","Апрель","Май","Июнь","Июль","Август","Сентябрь","Октябрь","Ноябрь","Декабрь"},0),
"Jan","Feb","Mar","Apr","May","Jun","Jul","Aug","Sep","Oct","Nov","Dec")</f>
        <v>Sep</v>
      </c>
    </row>
    <row r="328" spans="1:9" x14ac:dyDescent="0.35">
      <c r="A328" s="6">
        <v>2024</v>
      </c>
      <c r="B328" s="7" t="s">
        <v>103</v>
      </c>
      <c r="C328" s="7" t="s">
        <v>6</v>
      </c>
      <c r="D328" s="7" t="s">
        <v>11</v>
      </c>
      <c r="E328" s="7" t="s">
        <v>8</v>
      </c>
      <c r="F328" s="8">
        <v>407320</v>
      </c>
      <c r="G328" s="9">
        <v>21</v>
      </c>
      <c r="H328" s="10" t="s">
        <v>351</v>
      </c>
      <c r="I328" s="5" t="str">
        <f>CHOOSE(MATCH(B328,{"Январь","Февраль","Март","Апрель","Май","Июнь","Июль","Август","Сентябрь","Октябрь","Ноябрь","Декабрь"},0),
"Jan","Feb","Mar","Apr","May","Jun","Jul","Aug","Sep","Oct","Nov","Dec")</f>
        <v>Sep</v>
      </c>
    </row>
    <row r="329" spans="1:9" x14ac:dyDescent="0.35">
      <c r="A329" s="6">
        <v>2024</v>
      </c>
      <c r="B329" s="7" t="s">
        <v>103</v>
      </c>
      <c r="C329" s="7" t="s">
        <v>10</v>
      </c>
      <c r="D329" s="7" t="s">
        <v>18</v>
      </c>
      <c r="E329" s="7" t="s">
        <v>15</v>
      </c>
      <c r="F329" s="8">
        <v>604640</v>
      </c>
      <c r="G329" s="9">
        <v>32</v>
      </c>
      <c r="H329" s="10" t="s">
        <v>352</v>
      </c>
      <c r="I329" s="5" t="str">
        <f>CHOOSE(MATCH(B329,{"Январь","Февраль","Март","Апрель","Май","Июнь","Июль","Август","Сентябрь","Октябрь","Ноябрь","Декабрь"},0),
"Jan","Feb","Mar","Apr","May","Jun","Jul","Aug","Sep","Oct","Nov","Dec")</f>
        <v>Sep</v>
      </c>
    </row>
    <row r="330" spans="1:9" x14ac:dyDescent="0.35">
      <c r="A330" s="6">
        <v>2024</v>
      </c>
      <c r="B330" s="7" t="s">
        <v>103</v>
      </c>
      <c r="C330" s="7" t="s">
        <v>10</v>
      </c>
      <c r="D330" s="7" t="s">
        <v>7</v>
      </c>
      <c r="E330" s="7" t="s">
        <v>15</v>
      </c>
      <c r="F330" s="8">
        <v>588990</v>
      </c>
      <c r="G330" s="9">
        <v>32</v>
      </c>
      <c r="H330" s="10" t="s">
        <v>353</v>
      </c>
      <c r="I330" s="5" t="str">
        <f>CHOOSE(MATCH(B330,{"Январь","Февраль","Март","Апрель","Май","Июнь","Июль","Август","Сентябрь","Октябрь","Ноябрь","Декабрь"},0),
"Jan","Feb","Mar","Apr","May","Jun","Jul","Aug","Sep","Oct","Nov","Dec")</f>
        <v>Sep</v>
      </c>
    </row>
    <row r="331" spans="1:9" x14ac:dyDescent="0.35">
      <c r="A331" s="6">
        <v>2024</v>
      </c>
      <c r="B331" s="7" t="s">
        <v>103</v>
      </c>
      <c r="C331" s="7" t="s">
        <v>6</v>
      </c>
      <c r="D331" s="7" t="s">
        <v>14</v>
      </c>
      <c r="E331" s="7" t="s">
        <v>4</v>
      </c>
      <c r="F331" s="8">
        <v>321070</v>
      </c>
      <c r="G331" s="9">
        <v>19</v>
      </c>
      <c r="H331" s="10" t="s">
        <v>354</v>
      </c>
      <c r="I331" s="5" t="str">
        <f>CHOOSE(MATCH(B331,{"Январь","Февраль","Март","Апрель","Май","Июнь","Июль","Август","Сентябрь","Октябрь","Ноябрь","Декабрь"},0),
"Jan","Feb","Mar","Apr","May","Jun","Jul","Aug","Sep","Oct","Nov","Dec")</f>
        <v>Sep</v>
      </c>
    </row>
    <row r="332" spans="1:9" x14ac:dyDescent="0.35">
      <c r="A332" s="6">
        <v>2024</v>
      </c>
      <c r="B332" s="7" t="s">
        <v>103</v>
      </c>
      <c r="C332" s="7" t="s">
        <v>17</v>
      </c>
      <c r="D332" s="7" t="s">
        <v>18</v>
      </c>
      <c r="E332" s="7" t="s">
        <v>8</v>
      </c>
      <c r="F332" s="8">
        <v>533610</v>
      </c>
      <c r="G332" s="9">
        <v>26</v>
      </c>
      <c r="H332" s="10" t="s">
        <v>355</v>
      </c>
      <c r="I332" s="5" t="str">
        <f>CHOOSE(MATCH(B332,{"Январь","Февраль","Март","Апрель","Май","Июнь","Июль","Август","Сентябрь","Октябрь","Ноябрь","Декабрь"},0),
"Jan","Feb","Mar","Apr","May","Jun","Jul","Aug","Sep","Oct","Nov","Dec")</f>
        <v>Sep</v>
      </c>
    </row>
    <row r="333" spans="1:9" x14ac:dyDescent="0.35">
      <c r="A333" s="6">
        <v>2024</v>
      </c>
      <c r="B333" s="7" t="s">
        <v>103</v>
      </c>
      <c r="C333" s="7" t="s">
        <v>17</v>
      </c>
      <c r="D333" s="7" t="s">
        <v>14</v>
      </c>
      <c r="E333" s="7" t="s">
        <v>15</v>
      </c>
      <c r="F333" s="8">
        <v>192960</v>
      </c>
      <c r="G333" s="9">
        <v>13</v>
      </c>
      <c r="H333" s="10" t="s">
        <v>356</v>
      </c>
      <c r="I333" s="5" t="str">
        <f>CHOOSE(MATCH(B333,{"Январь","Февраль","Март","Апрель","Май","Июнь","Июль","Август","Сентябрь","Октябрь","Ноябрь","Декабрь"},0),
"Jan","Feb","Mar","Apr","May","Jun","Jul","Aug","Sep","Oct","Nov","Dec")</f>
        <v>Sep</v>
      </c>
    </row>
    <row r="334" spans="1:9" x14ac:dyDescent="0.35">
      <c r="A334" s="6">
        <v>2024</v>
      </c>
      <c r="B334" s="7" t="s">
        <v>114</v>
      </c>
      <c r="C334" s="7" t="s">
        <v>10</v>
      </c>
      <c r="D334" s="7" t="s">
        <v>7</v>
      </c>
      <c r="E334" s="7" t="s">
        <v>4</v>
      </c>
      <c r="F334" s="8">
        <v>363290</v>
      </c>
      <c r="G334" s="9">
        <v>17</v>
      </c>
      <c r="H334" s="10" t="s">
        <v>357</v>
      </c>
      <c r="I334" s="5" t="str">
        <f>CHOOSE(MATCH(B334,{"Январь","Февраль","Март","Апрель","Май","Июнь","Июль","Август","Сентябрь","Октябрь","Ноябрь","Декабрь"},0),
"Jan","Feb","Mar","Apr","May","Jun","Jul","Aug","Sep","Oct","Nov","Dec")</f>
        <v>Oct</v>
      </c>
    </row>
    <row r="335" spans="1:9" x14ac:dyDescent="0.35">
      <c r="A335" s="6">
        <v>2024</v>
      </c>
      <c r="B335" s="7" t="s">
        <v>114</v>
      </c>
      <c r="C335" s="7" t="s">
        <v>6</v>
      </c>
      <c r="D335" s="7" t="s">
        <v>14</v>
      </c>
      <c r="E335" s="7" t="s">
        <v>12</v>
      </c>
      <c r="F335" s="8">
        <v>394230</v>
      </c>
      <c r="G335" s="9">
        <v>33</v>
      </c>
      <c r="H335" s="10" t="s">
        <v>358</v>
      </c>
      <c r="I335" s="5" t="str">
        <f>CHOOSE(MATCH(B335,{"Январь","Февраль","Март","Апрель","Май","Июнь","Июль","Август","Сентябрь","Октябрь","Ноябрь","Декабрь"},0),
"Jan","Feb","Mar","Apr","May","Jun","Jul","Aug","Sep","Oct","Nov","Dec")</f>
        <v>Oct</v>
      </c>
    </row>
    <row r="336" spans="1:9" x14ac:dyDescent="0.35">
      <c r="A336" s="6">
        <v>2024</v>
      </c>
      <c r="B336" s="7" t="s">
        <v>114</v>
      </c>
      <c r="C336" s="7" t="s">
        <v>17</v>
      </c>
      <c r="D336" s="7" t="s">
        <v>18</v>
      </c>
      <c r="E336" s="7" t="s">
        <v>12</v>
      </c>
      <c r="F336" s="8">
        <v>293290</v>
      </c>
      <c r="G336" s="9">
        <v>23</v>
      </c>
      <c r="H336" s="10" t="s">
        <v>359</v>
      </c>
      <c r="I336" s="5" t="str">
        <f>CHOOSE(MATCH(B336,{"Январь","Февраль","Март","Апрель","Май","Июнь","Июль","Август","Сентябрь","Октябрь","Ноябрь","Декабрь"},0),
"Jan","Feb","Mar","Apr","May","Jun","Jul","Aug","Sep","Oct","Nov","Dec")</f>
        <v>Oct</v>
      </c>
    </row>
    <row r="337" spans="1:9" x14ac:dyDescent="0.35">
      <c r="A337" s="6">
        <v>2024</v>
      </c>
      <c r="B337" s="7" t="s">
        <v>114</v>
      </c>
      <c r="C337" s="7" t="s">
        <v>2</v>
      </c>
      <c r="D337" s="7" t="s">
        <v>3</v>
      </c>
      <c r="E337" s="7" t="s">
        <v>8</v>
      </c>
      <c r="F337" s="8">
        <v>605640</v>
      </c>
      <c r="G337" s="9">
        <v>27</v>
      </c>
      <c r="H337" s="10" t="s">
        <v>360</v>
      </c>
      <c r="I337" s="5" t="str">
        <f>CHOOSE(MATCH(B337,{"Январь","Февраль","Март","Апрель","Май","Июнь","Июль","Август","Сентябрь","Октябрь","Ноябрь","Декабрь"},0),
"Jan","Feb","Mar","Apr","May","Jun","Jul","Aug","Sep","Oct","Nov","Dec")</f>
        <v>Oct</v>
      </c>
    </row>
    <row r="338" spans="1:9" x14ac:dyDescent="0.35">
      <c r="A338" s="6">
        <v>2024</v>
      </c>
      <c r="B338" s="7" t="s">
        <v>114</v>
      </c>
      <c r="C338" s="7" t="s">
        <v>17</v>
      </c>
      <c r="D338" s="7" t="s">
        <v>14</v>
      </c>
      <c r="E338" s="7" t="s">
        <v>12</v>
      </c>
      <c r="F338" s="8">
        <v>189400</v>
      </c>
      <c r="G338" s="9">
        <v>13</v>
      </c>
      <c r="H338" s="10" t="s">
        <v>361</v>
      </c>
      <c r="I338" s="5" t="str">
        <f>CHOOSE(MATCH(B338,{"Январь","Февраль","Март","Апрель","Май","Июнь","Июль","Август","Сентябрь","Октябрь","Ноябрь","Декабрь"},0),
"Jan","Feb","Mar","Apr","May","Jun","Jul","Aug","Sep","Oct","Nov","Dec")</f>
        <v>Oct</v>
      </c>
    </row>
    <row r="339" spans="1:9" x14ac:dyDescent="0.35">
      <c r="A339" s="6">
        <v>2024</v>
      </c>
      <c r="B339" s="7" t="s">
        <v>114</v>
      </c>
      <c r="C339" s="7" t="s">
        <v>17</v>
      </c>
      <c r="D339" s="7" t="s">
        <v>11</v>
      </c>
      <c r="E339" s="7" t="s">
        <v>12</v>
      </c>
      <c r="F339" s="8">
        <v>308210</v>
      </c>
      <c r="G339" s="9">
        <v>23</v>
      </c>
      <c r="H339" s="10" t="s">
        <v>362</v>
      </c>
      <c r="I339" s="5" t="str">
        <f>CHOOSE(MATCH(B339,{"Январь","Февраль","Март","Апрель","Май","Июнь","Июль","Август","Сентябрь","Октябрь","Ноябрь","Декабрь"},0),
"Jan","Feb","Mar","Apr","May","Jun","Jul","Aug","Sep","Oct","Nov","Dec")</f>
        <v>Oct</v>
      </c>
    </row>
    <row r="340" spans="1:9" x14ac:dyDescent="0.35">
      <c r="A340" s="6">
        <v>2024</v>
      </c>
      <c r="B340" s="7" t="s">
        <v>114</v>
      </c>
      <c r="C340" s="7" t="s">
        <v>2</v>
      </c>
      <c r="D340" s="7" t="s">
        <v>18</v>
      </c>
      <c r="E340" s="7" t="s">
        <v>4</v>
      </c>
      <c r="F340" s="8">
        <v>398530</v>
      </c>
      <c r="G340" s="9">
        <v>22</v>
      </c>
      <c r="H340" s="10" t="s">
        <v>363</v>
      </c>
      <c r="I340" s="5" t="str">
        <f>CHOOSE(MATCH(B340,{"Январь","Февраль","Март","Апрель","Май","Июнь","Июль","Август","Сентябрь","Октябрь","Ноябрь","Декабрь"},0),
"Jan","Feb","Mar","Apr","May","Jun","Jul","Aug","Sep","Oct","Nov","Dec")</f>
        <v>Oct</v>
      </c>
    </row>
    <row r="341" spans="1:9" x14ac:dyDescent="0.35">
      <c r="A341" s="6">
        <v>2024</v>
      </c>
      <c r="B341" s="7" t="s">
        <v>114</v>
      </c>
      <c r="C341" s="7" t="s">
        <v>6</v>
      </c>
      <c r="D341" s="7" t="s">
        <v>7</v>
      </c>
      <c r="E341" s="7" t="s">
        <v>15</v>
      </c>
      <c r="F341" s="8">
        <v>271070</v>
      </c>
      <c r="G341" s="9">
        <v>20</v>
      </c>
      <c r="H341" s="10" t="s">
        <v>364</v>
      </c>
      <c r="I341" s="5" t="str">
        <f>CHOOSE(MATCH(B341,{"Январь","Февраль","Март","Апрель","Май","Июнь","Июль","Август","Сентябрь","Октябрь","Ноябрь","Декабрь"},0),
"Jan","Feb","Mar","Apr","May","Jun","Jul","Aug","Sep","Oct","Nov","Dec")</f>
        <v>Oct</v>
      </c>
    </row>
    <row r="342" spans="1:9" x14ac:dyDescent="0.35">
      <c r="A342" s="6">
        <v>2024</v>
      </c>
      <c r="B342" s="7" t="s">
        <v>114</v>
      </c>
      <c r="C342" s="7" t="s">
        <v>10</v>
      </c>
      <c r="D342" s="7" t="s">
        <v>3</v>
      </c>
      <c r="E342" s="7" t="s">
        <v>4</v>
      </c>
      <c r="F342" s="8">
        <v>566560</v>
      </c>
      <c r="G342" s="9">
        <v>25</v>
      </c>
      <c r="H342" s="10" t="s">
        <v>365</v>
      </c>
      <c r="I342" s="5" t="str">
        <f>CHOOSE(MATCH(B342,{"Январь","Февраль","Март","Апрель","Май","Июнь","Июль","Август","Сентябрь","Октябрь","Ноябрь","Декабрь"},0),
"Jan","Feb","Mar","Apr","May","Jun","Jul","Aug","Sep","Oct","Nov","Dec")</f>
        <v>Oct</v>
      </c>
    </row>
    <row r="343" spans="1:9" x14ac:dyDescent="0.35">
      <c r="A343" s="6">
        <v>2024</v>
      </c>
      <c r="B343" s="7" t="s">
        <v>114</v>
      </c>
      <c r="C343" s="7" t="s">
        <v>2</v>
      </c>
      <c r="D343" s="7" t="s">
        <v>18</v>
      </c>
      <c r="E343" s="7" t="s">
        <v>4</v>
      </c>
      <c r="F343" s="8">
        <v>695400</v>
      </c>
      <c r="G343" s="9">
        <v>37</v>
      </c>
      <c r="H343" s="10" t="s">
        <v>366</v>
      </c>
      <c r="I343" s="5" t="str">
        <f>CHOOSE(MATCH(B343,{"Январь","Февраль","Март","Апрель","Май","Июнь","Июль","Август","Сентябрь","Октябрь","Ноябрь","Декабрь"},0),
"Jan","Feb","Mar","Apr","May","Jun","Jul","Aug","Sep","Oct","Nov","Dec")</f>
        <v>Oct</v>
      </c>
    </row>
    <row r="344" spans="1:9" x14ac:dyDescent="0.35">
      <c r="A344" s="6">
        <v>2024</v>
      </c>
      <c r="B344" s="7" t="s">
        <v>125</v>
      </c>
      <c r="C344" s="7" t="s">
        <v>2</v>
      </c>
      <c r="D344" s="7" t="s">
        <v>14</v>
      </c>
      <c r="E344" s="7" t="s">
        <v>12</v>
      </c>
      <c r="F344" s="8">
        <v>251620</v>
      </c>
      <c r="G344" s="9">
        <v>19</v>
      </c>
      <c r="H344" s="10" t="s">
        <v>367</v>
      </c>
      <c r="I344" s="5" t="str">
        <f>CHOOSE(MATCH(B344,{"Январь","Февраль","Март","Апрель","Май","Июнь","Июль","Август","Сентябрь","Октябрь","Ноябрь","Декабрь"},0),
"Jan","Feb","Mar","Apr","May","Jun","Jul","Aug","Sep","Oct","Nov","Dec")</f>
        <v>Nov</v>
      </c>
    </row>
    <row r="345" spans="1:9" x14ac:dyDescent="0.35">
      <c r="A345" s="6">
        <v>2024</v>
      </c>
      <c r="B345" s="7" t="s">
        <v>125</v>
      </c>
      <c r="C345" s="7" t="s">
        <v>10</v>
      </c>
      <c r="D345" s="7" t="s">
        <v>3</v>
      </c>
      <c r="E345" s="7" t="s">
        <v>4</v>
      </c>
      <c r="F345" s="8">
        <v>315910</v>
      </c>
      <c r="G345" s="9">
        <v>14</v>
      </c>
      <c r="H345" s="10" t="s">
        <v>368</v>
      </c>
      <c r="I345" s="5" t="str">
        <f>CHOOSE(MATCH(B345,{"Январь","Февраль","Март","Апрель","Май","Июнь","Июль","Август","Сентябрь","Октябрь","Ноябрь","Декабрь"},0),
"Jan","Feb","Mar","Apr","May","Jun","Jul","Aug","Sep","Oct","Nov","Dec")</f>
        <v>Nov</v>
      </c>
    </row>
    <row r="346" spans="1:9" x14ac:dyDescent="0.35">
      <c r="A346" s="6">
        <v>2024</v>
      </c>
      <c r="B346" s="7" t="s">
        <v>125</v>
      </c>
      <c r="C346" s="7" t="s">
        <v>6</v>
      </c>
      <c r="D346" s="7" t="s">
        <v>7</v>
      </c>
      <c r="E346" s="7" t="s">
        <v>15</v>
      </c>
      <c r="F346" s="8">
        <v>464570</v>
      </c>
      <c r="G346" s="9">
        <v>35</v>
      </c>
      <c r="H346" s="10" t="s">
        <v>369</v>
      </c>
      <c r="I346" s="5" t="str">
        <f>CHOOSE(MATCH(B346,{"Январь","Февраль","Март","Апрель","Май","Июнь","Июль","Август","Сентябрь","Октябрь","Ноябрь","Декабрь"},0),
"Jan","Feb","Mar","Apr","May","Jun","Jul","Aug","Sep","Oct","Nov","Dec")</f>
        <v>Nov</v>
      </c>
    </row>
    <row r="347" spans="1:9" x14ac:dyDescent="0.35">
      <c r="A347" s="6">
        <v>2024</v>
      </c>
      <c r="B347" s="7" t="s">
        <v>125</v>
      </c>
      <c r="C347" s="7" t="s">
        <v>17</v>
      </c>
      <c r="D347" s="7" t="s">
        <v>18</v>
      </c>
      <c r="E347" s="7" t="s">
        <v>15</v>
      </c>
      <c r="F347" s="8">
        <v>462410</v>
      </c>
      <c r="G347" s="9">
        <v>31</v>
      </c>
      <c r="H347" s="10" t="s">
        <v>370</v>
      </c>
      <c r="I347" s="5" t="str">
        <f>CHOOSE(MATCH(B347,{"Январь","Февраль","Март","Апрель","Май","Июнь","Июль","Август","Сентябрь","Октябрь","Ноябрь","Декабрь"},0),
"Jan","Feb","Mar","Apr","May","Jun","Jul","Aug","Sep","Oct","Nov","Dec")</f>
        <v>Nov</v>
      </c>
    </row>
    <row r="348" spans="1:9" x14ac:dyDescent="0.35">
      <c r="A348" s="6">
        <v>2024</v>
      </c>
      <c r="B348" s="7" t="s">
        <v>125</v>
      </c>
      <c r="C348" s="7" t="s">
        <v>2</v>
      </c>
      <c r="D348" s="7" t="s">
        <v>14</v>
      </c>
      <c r="E348" s="7" t="s">
        <v>15</v>
      </c>
      <c r="F348" s="8">
        <v>390480</v>
      </c>
      <c r="G348" s="9">
        <v>24</v>
      </c>
      <c r="H348" s="10" t="s">
        <v>371</v>
      </c>
      <c r="I348" s="5" t="str">
        <f>CHOOSE(MATCH(B348,{"Январь","Февраль","Март","Апрель","Май","Июнь","Июль","Август","Сентябрь","Октябрь","Ноябрь","Декабрь"},0),
"Jan","Feb","Mar","Apr","May","Jun","Jul","Aug","Sep","Oct","Nov","Dec")</f>
        <v>Nov</v>
      </c>
    </row>
    <row r="349" spans="1:9" x14ac:dyDescent="0.35">
      <c r="A349" s="6">
        <v>2024</v>
      </c>
      <c r="B349" s="7" t="s">
        <v>125</v>
      </c>
      <c r="C349" s="7" t="s">
        <v>2</v>
      </c>
      <c r="D349" s="7" t="s">
        <v>18</v>
      </c>
      <c r="E349" s="7" t="s">
        <v>8</v>
      </c>
      <c r="F349" s="8">
        <v>621150</v>
      </c>
      <c r="G349" s="9">
        <v>29</v>
      </c>
      <c r="H349" s="10" t="s">
        <v>372</v>
      </c>
      <c r="I349" s="5" t="str">
        <f>CHOOSE(MATCH(B349,{"Январь","Февраль","Март","Апрель","Май","Июнь","Июль","Август","Сентябрь","Октябрь","Ноябрь","Декабрь"},0),
"Jan","Feb","Mar","Apr","May","Jun","Jul","Aug","Sep","Oct","Nov","Dec")</f>
        <v>Nov</v>
      </c>
    </row>
    <row r="350" spans="1:9" x14ac:dyDescent="0.35">
      <c r="A350" s="6">
        <v>2024</v>
      </c>
      <c r="B350" s="7" t="s">
        <v>125</v>
      </c>
      <c r="C350" s="7" t="s">
        <v>22</v>
      </c>
      <c r="D350" s="7" t="s">
        <v>18</v>
      </c>
      <c r="E350" s="7" t="s">
        <v>8</v>
      </c>
      <c r="F350" s="8">
        <v>653010</v>
      </c>
      <c r="G350" s="9">
        <v>38</v>
      </c>
      <c r="H350" s="10" t="s">
        <v>373</v>
      </c>
      <c r="I350" s="5" t="str">
        <f>CHOOSE(MATCH(B350,{"Январь","Февраль","Март","Апрель","Май","Июнь","Июль","Август","Сентябрь","Октябрь","Ноябрь","Декабрь"},0),
"Jan","Feb","Mar","Apr","May","Jun","Jul","Aug","Sep","Oct","Nov","Dec")</f>
        <v>Nov</v>
      </c>
    </row>
    <row r="351" spans="1:9" x14ac:dyDescent="0.35">
      <c r="A351" s="6">
        <v>2024</v>
      </c>
      <c r="B351" s="7" t="s">
        <v>125</v>
      </c>
      <c r="C351" s="7" t="s">
        <v>10</v>
      </c>
      <c r="D351" s="7" t="s">
        <v>18</v>
      </c>
      <c r="E351" s="7" t="s">
        <v>4</v>
      </c>
      <c r="F351" s="8">
        <v>872690</v>
      </c>
      <c r="G351" s="9">
        <v>40</v>
      </c>
      <c r="H351" s="10" t="s">
        <v>374</v>
      </c>
      <c r="I351" s="5" t="str">
        <f>CHOOSE(MATCH(B351,{"Январь","Февраль","Март","Апрель","Май","Июнь","Июль","Август","Сентябрь","Октябрь","Ноябрь","Декабрь"},0),
"Jan","Feb","Mar","Apr","May","Jun","Jul","Aug","Sep","Oct","Nov","Dec")</f>
        <v>Nov</v>
      </c>
    </row>
    <row r="352" spans="1:9" x14ac:dyDescent="0.35">
      <c r="A352" s="6">
        <v>2024</v>
      </c>
      <c r="B352" s="7" t="s">
        <v>125</v>
      </c>
      <c r="C352" s="7" t="s">
        <v>2</v>
      </c>
      <c r="D352" s="7" t="s">
        <v>14</v>
      </c>
      <c r="E352" s="7" t="s">
        <v>8</v>
      </c>
      <c r="F352" s="8">
        <v>361480</v>
      </c>
      <c r="G352" s="9">
        <v>17</v>
      </c>
      <c r="H352" s="10" t="s">
        <v>375</v>
      </c>
      <c r="I352" s="5" t="str">
        <f>CHOOSE(MATCH(B352,{"Январь","Февраль","Март","Апрель","Май","Июнь","Июль","Август","Сентябрь","Октябрь","Ноябрь","Декабрь"},0),
"Jan","Feb","Mar","Apr","May","Jun","Jul","Aug","Sep","Oct","Nov","Dec")</f>
        <v>Nov</v>
      </c>
    </row>
    <row r="353" spans="1:9" x14ac:dyDescent="0.35">
      <c r="A353" s="6">
        <v>2024</v>
      </c>
      <c r="B353" s="7" t="s">
        <v>125</v>
      </c>
      <c r="C353" s="7" t="s">
        <v>10</v>
      </c>
      <c r="D353" s="7" t="s">
        <v>3</v>
      </c>
      <c r="E353" s="7" t="s">
        <v>8</v>
      </c>
      <c r="F353" s="8">
        <v>908460</v>
      </c>
      <c r="G353" s="9">
        <v>35</v>
      </c>
      <c r="H353" s="10" t="s">
        <v>376</v>
      </c>
      <c r="I353" s="5" t="str">
        <f>CHOOSE(MATCH(B353,{"Январь","Февраль","Март","Апрель","Май","Июнь","Июль","Август","Сентябрь","Октябрь","Ноябрь","Декабрь"},0),
"Jan","Feb","Mar","Apr","May","Jun","Jul","Aug","Sep","Oct","Nov","Dec")</f>
        <v>Nov</v>
      </c>
    </row>
    <row r="354" spans="1:9" x14ac:dyDescent="0.35">
      <c r="A354" s="6">
        <v>2024</v>
      </c>
      <c r="B354" s="7" t="s">
        <v>136</v>
      </c>
      <c r="C354" s="7" t="s">
        <v>6</v>
      </c>
      <c r="D354" s="7" t="s">
        <v>14</v>
      </c>
      <c r="E354" s="7" t="s">
        <v>12</v>
      </c>
      <c r="F354" s="8">
        <v>165860</v>
      </c>
      <c r="G354" s="9">
        <v>13</v>
      </c>
      <c r="H354" s="10" t="s">
        <v>377</v>
      </c>
      <c r="I354" s="5" t="str">
        <f>CHOOSE(MATCH(B354,{"Январь","Февраль","Март","Апрель","Май","Июнь","Июль","Август","Сентябрь","Октябрь","Ноябрь","Декабрь"},0),
"Jan","Feb","Mar","Apr","May","Jun","Jul","Aug","Sep","Oct","Nov","Dec")</f>
        <v>Dec</v>
      </c>
    </row>
    <row r="355" spans="1:9" x14ac:dyDescent="0.35">
      <c r="A355" s="6">
        <v>2024</v>
      </c>
      <c r="B355" s="7" t="s">
        <v>136</v>
      </c>
      <c r="C355" s="7" t="s">
        <v>10</v>
      </c>
      <c r="D355" s="7" t="s">
        <v>3</v>
      </c>
      <c r="E355" s="7" t="s">
        <v>4</v>
      </c>
      <c r="F355" s="8">
        <v>525620</v>
      </c>
      <c r="G355" s="9">
        <v>23</v>
      </c>
      <c r="H355" s="10" t="s">
        <v>378</v>
      </c>
      <c r="I355" s="5" t="str">
        <f>CHOOSE(MATCH(B355,{"Январь","Февраль","Март","Апрель","Май","Июнь","Июль","Август","Сентябрь","Октябрь","Ноябрь","Декабрь"},0),
"Jan","Feb","Mar","Apr","May","Jun","Jul","Aug","Sep","Oct","Nov","Dec")</f>
        <v>Dec</v>
      </c>
    </row>
    <row r="356" spans="1:9" x14ac:dyDescent="0.35">
      <c r="A356" s="6">
        <v>2024</v>
      </c>
      <c r="B356" s="7" t="s">
        <v>136</v>
      </c>
      <c r="C356" s="7" t="s">
        <v>10</v>
      </c>
      <c r="D356" s="7" t="s">
        <v>11</v>
      </c>
      <c r="E356" s="7" t="s">
        <v>8</v>
      </c>
      <c r="F356" s="8">
        <v>414080</v>
      </c>
      <c r="G356" s="9">
        <v>16</v>
      </c>
      <c r="H356" s="10" t="s">
        <v>379</v>
      </c>
      <c r="I356" s="5" t="str">
        <f>CHOOSE(MATCH(B356,{"Январь","Февраль","Март","Апрель","Май","Июнь","Июль","Август","Сентябрь","Октябрь","Ноябрь","Декабрь"},0),
"Jan","Feb","Mar","Apr","May","Jun","Jul","Aug","Sep","Oct","Nov","Dec")</f>
        <v>Dec</v>
      </c>
    </row>
    <row r="357" spans="1:9" x14ac:dyDescent="0.35">
      <c r="A357" s="6">
        <v>2024</v>
      </c>
      <c r="B357" s="7" t="s">
        <v>136</v>
      </c>
      <c r="C357" s="7" t="s">
        <v>2</v>
      </c>
      <c r="D357" s="7" t="s">
        <v>11</v>
      </c>
      <c r="E357" s="7" t="s">
        <v>15</v>
      </c>
      <c r="F357" s="8">
        <v>662060</v>
      </c>
      <c r="G357" s="9">
        <v>40</v>
      </c>
      <c r="H357" s="10" t="s">
        <v>380</v>
      </c>
      <c r="I357" s="5" t="str">
        <f>CHOOSE(MATCH(B357,{"Январь","Февраль","Март","Апрель","Май","Июнь","Июль","Август","Сентябрь","Октябрь","Ноябрь","Декабрь"},0),
"Jan","Feb","Mar","Apr","May","Jun","Jul","Aug","Sep","Oct","Nov","Dec")</f>
        <v>Dec</v>
      </c>
    </row>
    <row r="358" spans="1:9" x14ac:dyDescent="0.35">
      <c r="A358" s="6">
        <v>2024</v>
      </c>
      <c r="B358" s="7" t="s">
        <v>136</v>
      </c>
      <c r="C358" s="7" t="s">
        <v>17</v>
      </c>
      <c r="D358" s="7" t="s">
        <v>11</v>
      </c>
      <c r="E358" s="7" t="s">
        <v>4</v>
      </c>
      <c r="F358" s="8">
        <v>570540</v>
      </c>
      <c r="G358" s="9">
        <v>32</v>
      </c>
      <c r="H358" s="10" t="s">
        <v>381</v>
      </c>
      <c r="I358" s="5" t="str">
        <f>CHOOSE(MATCH(B358,{"Январь","Февраль","Март","Апрель","Май","Июнь","Июль","Август","Сентябрь","Октябрь","Ноябрь","Декабрь"},0),
"Jan","Feb","Mar","Apr","May","Jun","Jul","Aug","Sep","Oct","Nov","Dec")</f>
        <v>Dec</v>
      </c>
    </row>
    <row r="359" spans="1:9" x14ac:dyDescent="0.35">
      <c r="A359" s="6">
        <v>2024</v>
      </c>
      <c r="B359" s="7" t="s">
        <v>136</v>
      </c>
      <c r="C359" s="7" t="s">
        <v>10</v>
      </c>
      <c r="D359" s="7" t="s">
        <v>18</v>
      </c>
      <c r="E359" s="7" t="s">
        <v>4</v>
      </c>
      <c r="F359" s="8">
        <v>710790</v>
      </c>
      <c r="G359" s="9">
        <v>33</v>
      </c>
      <c r="H359" s="10" t="s">
        <v>382</v>
      </c>
      <c r="I359" s="5" t="str">
        <f>CHOOSE(MATCH(B359,{"Январь","Февраль","Март","Апрель","Май","Июнь","Июль","Август","Сентябрь","Октябрь","Ноябрь","Декабрь"},0),
"Jan","Feb","Mar","Apr","May","Jun","Jul","Aug","Sep","Oct","Nov","Dec")</f>
        <v>Dec</v>
      </c>
    </row>
    <row r="360" spans="1:9" x14ac:dyDescent="0.35">
      <c r="A360" s="6">
        <v>2024</v>
      </c>
      <c r="B360" s="7" t="s">
        <v>136</v>
      </c>
      <c r="C360" s="7" t="s">
        <v>10</v>
      </c>
      <c r="D360" s="7" t="s">
        <v>7</v>
      </c>
      <c r="E360" s="7" t="s">
        <v>12</v>
      </c>
      <c r="F360" s="8">
        <v>632410</v>
      </c>
      <c r="G360" s="9">
        <v>40</v>
      </c>
      <c r="H360" s="10" t="s">
        <v>383</v>
      </c>
      <c r="I360" s="5" t="str">
        <f>CHOOSE(MATCH(B360,{"Январь","Февраль","Март","Апрель","Май","Июнь","Июль","Август","Сентябрь","Октябрь","Ноябрь","Декабрь"},0),
"Jan","Feb","Mar","Apr","May","Jun","Jul","Aug","Sep","Oct","Nov","Dec")</f>
        <v>Dec</v>
      </c>
    </row>
    <row r="361" spans="1:9" x14ac:dyDescent="0.35">
      <c r="A361" s="6">
        <v>2024</v>
      </c>
      <c r="B361" s="7" t="s">
        <v>136</v>
      </c>
      <c r="C361" s="7" t="s">
        <v>6</v>
      </c>
      <c r="D361" s="7" t="s">
        <v>7</v>
      </c>
      <c r="E361" s="7" t="s">
        <v>8</v>
      </c>
      <c r="F361" s="8">
        <v>360510</v>
      </c>
      <c r="G361" s="9">
        <v>19</v>
      </c>
      <c r="H361" s="10" t="s">
        <v>384</v>
      </c>
      <c r="I361" s="5" t="str">
        <f>CHOOSE(MATCH(B361,{"Январь","Февраль","Март","Апрель","Май","Июнь","Июль","Август","Сентябрь","Октябрь","Ноябрь","Декабрь"},0),
"Jan","Feb","Mar","Apr","May","Jun","Jul","Aug","Sep","Oct","Nov","Dec")</f>
        <v>Dec</v>
      </c>
    </row>
    <row r="362" spans="1:9" x14ac:dyDescent="0.35">
      <c r="A362" s="6">
        <v>2024</v>
      </c>
      <c r="B362" s="7" t="s">
        <v>136</v>
      </c>
      <c r="C362" s="7" t="s">
        <v>10</v>
      </c>
      <c r="D362" s="7" t="s">
        <v>18</v>
      </c>
      <c r="E362" s="7" t="s">
        <v>4</v>
      </c>
      <c r="F362" s="8">
        <v>738790</v>
      </c>
      <c r="G362" s="9">
        <v>34</v>
      </c>
      <c r="H362" s="10" t="s">
        <v>385</v>
      </c>
      <c r="I362" s="5" t="str">
        <f>CHOOSE(MATCH(B362,{"Январь","Февраль","Март","Апрель","Май","Июнь","Июль","Август","Сентябрь","Октябрь","Ноябрь","Декабрь"},0),
"Jan","Feb","Mar","Apr","May","Jun","Jul","Aug","Sep","Oct","Nov","Dec")</f>
        <v>Dec</v>
      </c>
    </row>
    <row r="363" spans="1:9" x14ac:dyDescent="0.35">
      <c r="A363" s="6">
        <v>2024</v>
      </c>
      <c r="B363" s="7" t="s">
        <v>136</v>
      </c>
      <c r="C363" s="7" t="s">
        <v>10</v>
      </c>
      <c r="D363" s="7" t="s">
        <v>11</v>
      </c>
      <c r="E363" s="7" t="s">
        <v>15</v>
      </c>
      <c r="F363" s="8">
        <v>485730</v>
      </c>
      <c r="G363" s="9">
        <v>26</v>
      </c>
      <c r="H363" s="10" t="s">
        <v>386</v>
      </c>
      <c r="I363" s="5" t="str">
        <f>CHOOSE(MATCH(B363,{"Январь","Февраль","Март","Апрель","Май","Июнь","Июль","Август","Сентябрь","Октябрь","Ноябрь","Декабрь"},0),
"Jan","Feb","Mar","Apr","May","Jun","Jul","Aug","Sep","Oct","Nov","Dec")</f>
        <v>Dec</v>
      </c>
    </row>
  </sheetData>
  <mergeCells count="1">
    <mergeCell ref="A1:H1"/>
  </mergeCell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99495-B963-9C48-BD4F-48A1DBC395CE}">
  <dimension ref="A1:W363"/>
  <sheetViews>
    <sheetView showGridLines="0" zoomScale="84" workbookViewId="0">
      <selection activeCell="N19" sqref="N19"/>
    </sheetView>
  </sheetViews>
  <sheetFormatPr defaultColWidth="10.83203125" defaultRowHeight="15.5" x14ac:dyDescent="0.35"/>
  <cols>
    <col min="1" max="1" width="13.83203125" style="5" customWidth="1"/>
    <col min="2" max="2" width="12.6640625" style="5" customWidth="1"/>
    <col min="3" max="3" width="15.83203125" style="5" customWidth="1"/>
    <col min="4" max="4" width="14.5" style="5" customWidth="1"/>
    <col min="5" max="5" width="10.83203125" style="5"/>
    <col min="6" max="6" width="18" style="5" customWidth="1"/>
    <col min="7" max="7" width="10.83203125" style="5"/>
    <col min="8" max="9" width="14.6640625" style="5" customWidth="1"/>
    <col min="10" max="10" width="14.5" style="5" bestFit="1" customWidth="1"/>
    <col min="11" max="11" width="15.75" style="5" bestFit="1" customWidth="1"/>
    <col min="12" max="13" width="11.1640625" style="5" bestFit="1" customWidth="1"/>
    <col min="14" max="14" width="18.1640625" style="5" bestFit="1" customWidth="1"/>
    <col min="15" max="15" width="11.33203125" style="5" bestFit="1" customWidth="1"/>
    <col min="16" max="16" width="11.1640625" style="5" bestFit="1" customWidth="1"/>
    <col min="17" max="22" width="11.08203125" style="5" bestFit="1" customWidth="1"/>
    <col min="23" max="23" width="12.08203125" style="5" bestFit="1" customWidth="1"/>
    <col min="24" max="16384" width="10.83203125" style="5"/>
  </cols>
  <sheetData>
    <row r="1" spans="1:23" ht="21" x14ac:dyDescent="0.5">
      <c r="A1" s="11" t="s">
        <v>0</v>
      </c>
      <c r="B1" s="12"/>
      <c r="C1" s="12"/>
      <c r="D1" s="12"/>
      <c r="E1" s="12"/>
      <c r="F1" s="12"/>
      <c r="G1" s="12"/>
      <c r="H1" s="12"/>
      <c r="I1" s="4"/>
    </row>
    <row r="3" spans="1:23" ht="16" thickBot="1" x14ac:dyDescent="0.4">
      <c r="A3" s="1" t="s">
        <v>387</v>
      </c>
      <c r="B3" s="2" t="s">
        <v>388</v>
      </c>
      <c r="C3" s="2" t="s">
        <v>389</v>
      </c>
      <c r="D3" s="2" t="s">
        <v>390</v>
      </c>
      <c r="E3" s="2" t="s">
        <v>391</v>
      </c>
      <c r="F3" s="2" t="s">
        <v>394</v>
      </c>
      <c r="G3" s="2" t="s">
        <v>392</v>
      </c>
      <c r="H3" s="3" t="s">
        <v>393</v>
      </c>
      <c r="I3" s="5" t="s">
        <v>411</v>
      </c>
    </row>
    <row r="4" spans="1:23" x14ac:dyDescent="0.35">
      <c r="A4" s="6">
        <v>2022</v>
      </c>
      <c r="B4" s="7" t="s">
        <v>1</v>
      </c>
      <c r="C4" s="7" t="s">
        <v>2</v>
      </c>
      <c r="D4" s="7" t="s">
        <v>3</v>
      </c>
      <c r="E4" s="7" t="s">
        <v>4</v>
      </c>
      <c r="F4" s="8">
        <v>390600</v>
      </c>
      <c r="G4" s="9">
        <v>20</v>
      </c>
      <c r="H4" s="10" t="s">
        <v>5</v>
      </c>
      <c r="I4" s="5" t="str">
        <f>CHOOSE(MATCH(B4,{"Январь","Февраль","Март","Апрель","Май","Июнь","Июль","Август","Сентябрь","Октябрь","Ноябрь","Декабрь"},0),
"Jan","Feb","Mar","Apr","May","Jun","Jul","Aug","Sep","Oct","Nov","Dec")</f>
        <v>Jan</v>
      </c>
    </row>
    <row r="5" spans="1:23" x14ac:dyDescent="0.35">
      <c r="A5" s="6">
        <v>2022</v>
      </c>
      <c r="B5" s="7" t="s">
        <v>1</v>
      </c>
      <c r="C5" s="7" t="s">
        <v>6</v>
      </c>
      <c r="D5" s="7" t="s">
        <v>7</v>
      </c>
      <c r="E5" s="7" t="s">
        <v>8</v>
      </c>
      <c r="F5" s="8">
        <v>395820</v>
      </c>
      <c r="G5" s="9">
        <v>21</v>
      </c>
      <c r="H5" s="10" t="s">
        <v>9</v>
      </c>
      <c r="I5" s="5" t="str">
        <f>CHOOSE(MATCH(B5,{"Январь","Февраль","Март","Апрель","Май","Июнь","Июль","Август","Сентябрь","Октябрь","Ноябрь","Декабрь"},0),
"Jan","Feb","Mar","Apr","May","Jun","Jul","Aug","Sep","Oct","Nov","Dec")</f>
        <v>Jan</v>
      </c>
    </row>
    <row r="6" spans="1:23" x14ac:dyDescent="0.35">
      <c r="A6" s="6">
        <v>2022</v>
      </c>
      <c r="B6" s="7" t="s">
        <v>1</v>
      </c>
      <c r="C6" s="7" t="s">
        <v>10</v>
      </c>
      <c r="D6" s="7" t="s">
        <v>11</v>
      </c>
      <c r="E6" s="7" t="s">
        <v>12</v>
      </c>
      <c r="F6" s="8">
        <v>331590</v>
      </c>
      <c r="G6" s="9">
        <v>20</v>
      </c>
      <c r="H6" s="10" t="s">
        <v>13</v>
      </c>
      <c r="I6" s="5" t="str">
        <f>CHOOSE(MATCH(B6,{"Январь","Февраль","Март","Апрель","Май","Июнь","Июль","Август","Сентябрь","Октябрь","Ноябрь","Декабрь"},0),
"Jan","Feb","Mar","Apr","May","Jun","Jul","Aug","Sep","Oct","Nov","Dec")</f>
        <v>Jan</v>
      </c>
    </row>
    <row r="7" spans="1:23" x14ac:dyDescent="0.35">
      <c r="A7" s="6">
        <v>2022</v>
      </c>
      <c r="B7" s="7" t="s">
        <v>1</v>
      </c>
      <c r="C7" s="7" t="s">
        <v>6</v>
      </c>
      <c r="D7" s="7" t="s">
        <v>14</v>
      </c>
      <c r="E7" s="7" t="s">
        <v>15</v>
      </c>
      <c r="F7" s="8">
        <v>336460</v>
      </c>
      <c r="G7" s="9">
        <v>23</v>
      </c>
      <c r="H7" s="10" t="s">
        <v>16</v>
      </c>
      <c r="I7" s="5" t="str">
        <f>CHOOSE(MATCH(B7,{"Январь","Февраль","Март","Апрель","Май","Июнь","Июль","Август","Сентябрь","Октябрь","Ноябрь","Декабрь"},0),
"Jan","Feb","Mar","Apr","May","Jun","Jul","Aug","Sep","Oct","Nov","Dec")</f>
        <v>Jan</v>
      </c>
    </row>
    <row r="8" spans="1:23" x14ac:dyDescent="0.35">
      <c r="A8" s="6">
        <v>2022</v>
      </c>
      <c r="B8" s="7" t="s">
        <v>1</v>
      </c>
      <c r="C8" s="7" t="s">
        <v>17</v>
      </c>
      <c r="D8" s="7" t="s">
        <v>18</v>
      </c>
      <c r="E8" s="7" t="s">
        <v>15</v>
      </c>
      <c r="F8" s="8">
        <v>240440</v>
      </c>
      <c r="G8" s="9">
        <v>17</v>
      </c>
      <c r="H8" s="10" t="s">
        <v>19</v>
      </c>
      <c r="I8" s="5" t="str">
        <f>CHOOSE(MATCH(B8,{"Январь","Февраль","Март","Апрель","Май","Июнь","Июль","Август","Сентябрь","Октябрь","Ноябрь","Декабрь"},0),
"Jan","Feb","Mar","Apr","May","Jun","Jul","Aug","Sep","Oct","Nov","Dec")</f>
        <v>Jan</v>
      </c>
    </row>
    <row r="9" spans="1:23" x14ac:dyDescent="0.35">
      <c r="A9" s="6">
        <v>2022</v>
      </c>
      <c r="B9" s="7" t="s">
        <v>1</v>
      </c>
      <c r="C9" s="7" t="s">
        <v>2</v>
      </c>
      <c r="D9" s="7" t="s">
        <v>7</v>
      </c>
      <c r="E9" s="7" t="s">
        <v>15</v>
      </c>
      <c r="F9" s="8">
        <v>176550</v>
      </c>
      <c r="G9" s="9">
        <v>12</v>
      </c>
      <c r="H9" s="10" t="s">
        <v>20</v>
      </c>
      <c r="I9" s="5" t="str">
        <f>CHOOSE(MATCH(B9,{"Январь","Февраль","Март","Апрель","Май","Июнь","Июль","Август","Сентябрь","Октябрь","Ноябрь","Декабрь"},0),
"Jan","Feb","Mar","Apr","May","Jun","Jul","Aug","Sep","Oct","Nov","Dec")</f>
        <v>Jan</v>
      </c>
    </row>
    <row r="10" spans="1:23" x14ac:dyDescent="0.35">
      <c r="A10" s="6">
        <v>2022</v>
      </c>
      <c r="B10" s="7" t="s">
        <v>1</v>
      </c>
      <c r="C10" s="7" t="s">
        <v>6</v>
      </c>
      <c r="D10" s="7" t="s">
        <v>18</v>
      </c>
      <c r="E10" s="7" t="s">
        <v>8</v>
      </c>
      <c r="F10" s="8">
        <v>455210</v>
      </c>
      <c r="G10" s="9">
        <v>24</v>
      </c>
      <c r="H10" s="10" t="s">
        <v>21</v>
      </c>
      <c r="I10" s="5" t="str">
        <f>CHOOSE(MATCH(B10,{"Январь","Февраль","Март","Апрель","Май","Июнь","Июль","Август","Сентябрь","Октябрь","Ноябрь","Декабрь"},0),
"Jan","Feb","Mar","Apr","May","Jun","Jul","Aug","Sep","Oct","Nov","Dec")</f>
        <v>Jan</v>
      </c>
    </row>
    <row r="11" spans="1:23" x14ac:dyDescent="0.35">
      <c r="A11" s="6">
        <v>2022</v>
      </c>
      <c r="B11" s="7" t="s">
        <v>1</v>
      </c>
      <c r="C11" s="7" t="s">
        <v>22</v>
      </c>
      <c r="D11" s="7" t="s">
        <v>7</v>
      </c>
      <c r="E11" s="7" t="s">
        <v>12</v>
      </c>
      <c r="F11" s="8">
        <v>337780</v>
      </c>
      <c r="G11" s="9">
        <v>30</v>
      </c>
      <c r="H11" s="10" t="s">
        <v>23</v>
      </c>
      <c r="I11" s="5" t="str">
        <f>CHOOSE(MATCH(B11,{"Январь","Февраль","Март","Апрель","Май","Июнь","Июль","Август","Сентябрь","Октябрь","Ноябрь","Декабрь"},0),
"Jan","Feb","Mar","Apr","May","Jun","Jul","Aug","Sep","Oct","Nov","Dec")</f>
        <v>Jan</v>
      </c>
    </row>
    <row r="12" spans="1:23" x14ac:dyDescent="0.35">
      <c r="A12" s="6">
        <v>2022</v>
      </c>
      <c r="B12" s="7" t="s">
        <v>1</v>
      </c>
      <c r="C12" s="7" t="s">
        <v>17</v>
      </c>
      <c r="D12" s="7" t="s">
        <v>7</v>
      </c>
      <c r="E12" s="7" t="s">
        <v>8</v>
      </c>
      <c r="F12" s="8">
        <v>558560</v>
      </c>
      <c r="G12" s="9">
        <v>28</v>
      </c>
      <c r="H12" s="10" t="s">
        <v>24</v>
      </c>
      <c r="I12" s="5" t="str">
        <f>CHOOSE(MATCH(B12,{"Январь","Февраль","Март","Апрель","Май","Июнь","Июль","Август","Сентябрь","Октябрь","Ноябрь","Декабрь"},0),
"Jan","Feb","Mar","Apr","May","Jun","Jul","Aug","Sep","Oct","Nov","Dec")</f>
        <v>Jan</v>
      </c>
    </row>
    <row r="13" spans="1:23" x14ac:dyDescent="0.35">
      <c r="A13" s="6">
        <v>2022</v>
      </c>
      <c r="B13" s="7" t="s">
        <v>1</v>
      </c>
      <c r="C13" s="7" t="s">
        <v>6</v>
      </c>
      <c r="D13" s="7" t="s">
        <v>11</v>
      </c>
      <c r="E13" s="7" t="s">
        <v>4</v>
      </c>
      <c r="F13" s="8">
        <v>448630</v>
      </c>
      <c r="G13" s="9">
        <v>27</v>
      </c>
      <c r="H13" s="10" t="s">
        <v>25</v>
      </c>
      <c r="I13" s="5" t="str">
        <f>CHOOSE(MATCH(B13,{"Январь","Февраль","Март","Апрель","Май","Июнь","Июль","Август","Сентябрь","Октябрь","Ноябрь","Декабрь"},0),
"Jan","Feb","Mar","Apr","May","Jun","Jul","Aug","Sep","Oct","Nov","Dec")</f>
        <v>Jan</v>
      </c>
    </row>
    <row r="14" spans="1:23" x14ac:dyDescent="0.35">
      <c r="A14" s="6">
        <v>2022</v>
      </c>
      <c r="B14" s="7" t="s">
        <v>26</v>
      </c>
      <c r="C14" s="7" t="s">
        <v>22</v>
      </c>
      <c r="D14" s="7" t="s">
        <v>14</v>
      </c>
      <c r="E14" s="7" t="s">
        <v>12</v>
      </c>
      <c r="F14" s="8">
        <v>158720</v>
      </c>
      <c r="G14" s="9">
        <v>15</v>
      </c>
      <c r="H14" s="10" t="s">
        <v>27</v>
      </c>
      <c r="I14" s="5" t="str">
        <f>CHOOSE(MATCH(B14,{"Январь","Февраль","Март","Апрель","Май","Июнь","Июль","Август","Сентябрь","Октябрь","Ноябрь","Декабрь"},0),
"Jan","Feb","Mar","Apr","May","Jun","Jul","Aug","Sep","Oct","Nov","Dec")</f>
        <v>Feb</v>
      </c>
    </row>
    <row r="15" spans="1:23" ht="16" x14ac:dyDescent="0.4">
      <c r="A15" s="6">
        <v>2022</v>
      </c>
      <c r="B15" s="7" t="s">
        <v>26</v>
      </c>
      <c r="C15" s="7" t="s">
        <v>6</v>
      </c>
      <c r="D15" s="7" t="s">
        <v>14</v>
      </c>
      <c r="E15" s="7" t="s">
        <v>12</v>
      </c>
      <c r="F15" s="8">
        <v>138060</v>
      </c>
      <c r="G15" s="9">
        <v>12</v>
      </c>
      <c r="H15" s="10" t="s">
        <v>28</v>
      </c>
      <c r="I15" s="5" t="str">
        <f>CHOOSE(MATCH(B15,{"Январь","Февраль","Март","Апрель","Май","Июнь","Июль","Август","Сентябрь","Октябрь","Ноябрь","Декабрь"},0),
"Jan","Feb","Mar","Apr","May","Jun","Jul","Aug","Sep","Oct","Nov","Dec")</f>
        <v>Feb</v>
      </c>
      <c r="J15" s="19" t="s">
        <v>405</v>
      </c>
      <c r="K15" s="19" t="s">
        <v>403</v>
      </c>
      <c r="L15"/>
      <c r="M15"/>
      <c r="N15"/>
      <c r="O15"/>
      <c r="P15"/>
      <c r="Q15"/>
      <c r="R15"/>
      <c r="S15"/>
      <c r="T15"/>
      <c r="U15"/>
      <c r="V15"/>
      <c r="W15"/>
    </row>
    <row r="16" spans="1:23" ht="16" x14ac:dyDescent="0.4">
      <c r="A16" s="6">
        <v>2022</v>
      </c>
      <c r="B16" s="7" t="s">
        <v>26</v>
      </c>
      <c r="C16" s="7" t="s">
        <v>10</v>
      </c>
      <c r="D16" s="7" t="s">
        <v>7</v>
      </c>
      <c r="E16" s="7" t="s">
        <v>12</v>
      </c>
      <c r="F16" s="8">
        <v>414410</v>
      </c>
      <c r="G16" s="9">
        <v>25</v>
      </c>
      <c r="H16" s="10" t="s">
        <v>29</v>
      </c>
      <c r="I16" s="5" t="str">
        <f>CHOOSE(MATCH(B16,{"Январь","Февраль","Март","Апрель","Май","Июнь","Июль","Август","Сентябрь","Октябрь","Ноябрь","Декабрь"},0),
"Jan","Feb","Mar","Apr","May","Jun","Jul","Aug","Sep","Oct","Nov","Dec")</f>
        <v>Feb</v>
      </c>
      <c r="J16" s="19" t="s">
        <v>401</v>
      </c>
      <c r="K16" t="s">
        <v>412</v>
      </c>
      <c r="L16" t="s">
        <v>413</v>
      </c>
      <c r="M16" t="s">
        <v>414</v>
      </c>
      <c r="N16" t="s">
        <v>415</v>
      </c>
      <c r="O16" t="s">
        <v>416</v>
      </c>
      <c r="P16" t="s">
        <v>417</v>
      </c>
      <c r="Q16" t="s">
        <v>418</v>
      </c>
      <c r="R16" t="s">
        <v>419</v>
      </c>
      <c r="S16" t="s">
        <v>420</v>
      </c>
      <c r="T16" t="s">
        <v>421</v>
      </c>
      <c r="U16" t="s">
        <v>422</v>
      </c>
      <c r="V16" t="s">
        <v>423</v>
      </c>
      <c r="W16" t="s">
        <v>402</v>
      </c>
    </row>
    <row r="17" spans="1:23" ht="16" x14ac:dyDescent="0.4">
      <c r="A17" s="6">
        <v>2022</v>
      </c>
      <c r="B17" s="7" t="s">
        <v>26</v>
      </c>
      <c r="C17" s="7" t="s">
        <v>17</v>
      </c>
      <c r="D17" s="7" t="s">
        <v>3</v>
      </c>
      <c r="E17" s="7" t="s">
        <v>8</v>
      </c>
      <c r="F17" s="8">
        <v>556810</v>
      </c>
      <c r="G17" s="9">
        <v>26</v>
      </c>
      <c r="H17" s="10" t="s">
        <v>30</v>
      </c>
      <c r="I17" s="5" t="str">
        <f>CHOOSE(MATCH(B17,{"Январь","Февраль","Март","Апрель","Май","Июнь","Июль","Август","Сентябрь","Октябрь","Ноябрь","Декабрь"},0),
"Jan","Feb","Mar","Apr","May","Jun","Jul","Aug","Sep","Oct","Nov","Dec")</f>
        <v>Feb</v>
      </c>
      <c r="J17" s="20" t="s">
        <v>2</v>
      </c>
      <c r="K17" s="21">
        <v>1242660</v>
      </c>
      <c r="L17" s="21">
        <v>1851200</v>
      </c>
      <c r="M17" s="21">
        <v>4489020</v>
      </c>
      <c r="N17" s="21">
        <v>2524630</v>
      </c>
      <c r="O17" s="21">
        <v>1682910</v>
      </c>
      <c r="P17" s="21">
        <v>3317010</v>
      </c>
      <c r="Q17" s="21">
        <v>2436820</v>
      </c>
      <c r="R17" s="21">
        <v>3926080</v>
      </c>
      <c r="S17" s="21">
        <v>1824220</v>
      </c>
      <c r="T17" s="21">
        <v>3171220</v>
      </c>
      <c r="U17" s="21">
        <v>3285990</v>
      </c>
      <c r="V17" s="21">
        <v>3084570</v>
      </c>
      <c r="W17" s="21">
        <v>32836330</v>
      </c>
    </row>
    <row r="18" spans="1:23" ht="16" x14ac:dyDescent="0.4">
      <c r="A18" s="6">
        <v>2022</v>
      </c>
      <c r="B18" s="7" t="s">
        <v>26</v>
      </c>
      <c r="C18" s="7" t="s">
        <v>10</v>
      </c>
      <c r="D18" s="7" t="s">
        <v>11</v>
      </c>
      <c r="E18" s="7" t="s">
        <v>8</v>
      </c>
      <c r="F18" s="8">
        <v>637200</v>
      </c>
      <c r="G18" s="9">
        <v>25</v>
      </c>
      <c r="H18" s="10" t="s">
        <v>31</v>
      </c>
      <c r="I18" s="5" t="str">
        <f>CHOOSE(MATCH(B18,{"Январь","Февраль","Март","Апрель","Май","Июнь","Июль","Август","Сентябрь","Октябрь","Ноябрь","Декабрь"},0),
"Jan","Feb","Mar","Apr","May","Jun","Jul","Aug","Sep","Oct","Nov","Dec")</f>
        <v>Feb</v>
      </c>
      <c r="J18" s="20" t="s">
        <v>17</v>
      </c>
      <c r="K18" s="21">
        <v>3738270</v>
      </c>
      <c r="L18" s="21">
        <v>1756650</v>
      </c>
      <c r="M18" s="21">
        <v>2078660</v>
      </c>
      <c r="N18" s="21">
        <v>2948280</v>
      </c>
      <c r="O18" s="21">
        <v>2391450</v>
      </c>
      <c r="P18" s="21">
        <v>2397160</v>
      </c>
      <c r="Q18" s="21">
        <v>1519680</v>
      </c>
      <c r="R18" s="21">
        <v>3683650</v>
      </c>
      <c r="S18" s="21">
        <v>1570130</v>
      </c>
      <c r="T18" s="21">
        <v>2511440</v>
      </c>
      <c r="U18" s="21">
        <v>736550</v>
      </c>
      <c r="V18" s="21">
        <v>2844660</v>
      </c>
      <c r="W18" s="21">
        <v>28176580</v>
      </c>
    </row>
    <row r="19" spans="1:23" ht="16" x14ac:dyDescent="0.4">
      <c r="A19" s="6">
        <v>2022</v>
      </c>
      <c r="B19" s="7" t="s">
        <v>26</v>
      </c>
      <c r="C19" s="7" t="s">
        <v>6</v>
      </c>
      <c r="D19" s="7" t="s">
        <v>11</v>
      </c>
      <c r="E19" s="7" t="s">
        <v>8</v>
      </c>
      <c r="F19" s="8">
        <v>373560</v>
      </c>
      <c r="G19" s="9">
        <v>19</v>
      </c>
      <c r="H19" s="10" t="s">
        <v>32</v>
      </c>
      <c r="I19" s="5" t="str">
        <f>CHOOSE(MATCH(B19,{"Январь","Февраль","Март","Апрель","Май","Июнь","Июль","Август","Сентябрь","Октябрь","Ноябрь","Декабрь"},0),
"Jan","Feb","Mar","Apr","May","Jun","Jul","Aug","Sep","Oct","Nov","Dec")</f>
        <v>Feb</v>
      </c>
      <c r="J19" s="20" t="s">
        <v>6</v>
      </c>
      <c r="K19" s="21">
        <v>2557270</v>
      </c>
      <c r="L19" s="21">
        <v>3453810</v>
      </c>
      <c r="M19" s="21">
        <v>3211360</v>
      </c>
      <c r="N19" s="21">
        <v>2018730</v>
      </c>
      <c r="O19" s="21">
        <v>3352310</v>
      </c>
      <c r="P19" s="21">
        <v>2766680</v>
      </c>
      <c r="Q19" s="21">
        <v>2482970</v>
      </c>
      <c r="R19" s="21">
        <v>1099510</v>
      </c>
      <c r="S19" s="21">
        <v>3861650</v>
      </c>
      <c r="T19" s="21">
        <v>4228070</v>
      </c>
      <c r="U19" s="21">
        <v>2947260</v>
      </c>
      <c r="V19" s="21">
        <v>2276820</v>
      </c>
      <c r="W19" s="21">
        <v>34256440</v>
      </c>
    </row>
    <row r="20" spans="1:23" ht="16" x14ac:dyDescent="0.4">
      <c r="A20" s="6">
        <v>2022</v>
      </c>
      <c r="B20" s="7" t="s">
        <v>26</v>
      </c>
      <c r="C20" s="7" t="s">
        <v>22</v>
      </c>
      <c r="D20" s="7" t="s">
        <v>11</v>
      </c>
      <c r="E20" s="7" t="s">
        <v>12</v>
      </c>
      <c r="F20" s="8">
        <v>338010</v>
      </c>
      <c r="G20" s="9">
        <v>30</v>
      </c>
      <c r="H20" s="10" t="s">
        <v>33</v>
      </c>
      <c r="I20" s="5" t="str">
        <f>CHOOSE(MATCH(B20,{"Январь","Февраль","Март","Апрель","Май","Июнь","Июль","Август","Сентябрь","Октябрь","Ноябрь","Декабрь"},0),
"Jan","Feb","Mar","Apr","May","Jun","Jul","Aug","Sep","Oct","Nov","Dec")</f>
        <v>Feb</v>
      </c>
      <c r="J20" s="20" t="s">
        <v>10</v>
      </c>
      <c r="K20" s="21">
        <v>1922420</v>
      </c>
      <c r="L20" s="21">
        <v>4748670</v>
      </c>
      <c r="M20" s="21">
        <v>2517160</v>
      </c>
      <c r="N20" s="21">
        <v>2963560</v>
      </c>
      <c r="O20" s="21">
        <v>2913960</v>
      </c>
      <c r="P20" s="21">
        <v>3908660</v>
      </c>
      <c r="Q20" s="21">
        <v>3868500</v>
      </c>
      <c r="R20" s="21">
        <v>3715780</v>
      </c>
      <c r="S20" s="21">
        <v>4111250</v>
      </c>
      <c r="T20" s="21">
        <v>2357860</v>
      </c>
      <c r="U20" s="21">
        <v>4838610</v>
      </c>
      <c r="V20" s="21">
        <v>4244080</v>
      </c>
      <c r="W20" s="21">
        <v>42110510</v>
      </c>
    </row>
    <row r="21" spans="1:23" ht="16" x14ac:dyDescent="0.4">
      <c r="A21" s="6">
        <v>2022</v>
      </c>
      <c r="B21" s="7" t="s">
        <v>26</v>
      </c>
      <c r="C21" s="7" t="s">
        <v>10</v>
      </c>
      <c r="D21" s="7" t="s">
        <v>14</v>
      </c>
      <c r="E21" s="7" t="s">
        <v>8</v>
      </c>
      <c r="F21" s="8">
        <v>315690</v>
      </c>
      <c r="G21" s="9">
        <v>12</v>
      </c>
      <c r="H21" s="10" t="s">
        <v>34</v>
      </c>
      <c r="I21" s="5" t="str">
        <f>CHOOSE(MATCH(B21,{"Январь","Февраль","Март","Апрель","Май","Июнь","Июль","Август","Сентябрь","Октябрь","Ноябрь","Декабрь"},0),
"Jan","Feb","Mar","Apr","May","Jun","Jul","Aug","Sep","Oct","Nov","Dec")</f>
        <v>Feb</v>
      </c>
      <c r="J21" s="20" t="s">
        <v>22</v>
      </c>
      <c r="K21" s="21">
        <v>2411690</v>
      </c>
      <c r="L21" s="21">
        <v>1789410</v>
      </c>
      <c r="M21" s="21">
        <v>1102080</v>
      </c>
      <c r="N21" s="21">
        <v>2078140</v>
      </c>
      <c r="O21" s="21">
        <v>1858290</v>
      </c>
      <c r="P21" s="21">
        <v>1228610</v>
      </c>
      <c r="Q21" s="21">
        <v>2719340</v>
      </c>
      <c r="R21" s="21">
        <v>1796970</v>
      </c>
      <c r="S21" s="21">
        <v>2225920</v>
      </c>
      <c r="T21" s="21">
        <v>1375060</v>
      </c>
      <c r="U21" s="21">
        <v>3292910</v>
      </c>
      <c r="V21" s="21">
        <v>760310</v>
      </c>
      <c r="W21" s="21">
        <v>22638730</v>
      </c>
    </row>
    <row r="22" spans="1:23" ht="16" x14ac:dyDescent="0.4">
      <c r="A22" s="6">
        <v>2022</v>
      </c>
      <c r="B22" s="7" t="s">
        <v>26</v>
      </c>
      <c r="C22" s="7" t="s">
        <v>10</v>
      </c>
      <c r="D22" s="7" t="s">
        <v>7</v>
      </c>
      <c r="E22" s="7" t="s">
        <v>15</v>
      </c>
      <c r="F22" s="8">
        <v>633160</v>
      </c>
      <c r="G22" s="9">
        <v>34</v>
      </c>
      <c r="H22" s="10" t="s">
        <v>35</v>
      </c>
      <c r="I22" s="5" t="str">
        <f>CHOOSE(MATCH(B22,{"Январь","Февраль","Март","Апрель","Май","Июнь","Июль","Август","Сентябрь","Октябрь","Ноябрь","Декабрь"},0),
"Jan","Feb","Mar","Apr","May","Jun","Jul","Aug","Sep","Oct","Nov","Dec")</f>
        <v>Feb</v>
      </c>
      <c r="J22" s="20" t="s">
        <v>402</v>
      </c>
      <c r="K22" s="21">
        <v>11872310</v>
      </c>
      <c r="L22" s="21">
        <v>13599740</v>
      </c>
      <c r="M22" s="21">
        <v>13398280</v>
      </c>
      <c r="N22" s="21">
        <v>12533340</v>
      </c>
      <c r="O22" s="21">
        <v>12198920</v>
      </c>
      <c r="P22" s="21">
        <v>13618120</v>
      </c>
      <c r="Q22" s="21">
        <v>13027310</v>
      </c>
      <c r="R22" s="21">
        <v>14221990</v>
      </c>
      <c r="S22" s="21">
        <v>13593170</v>
      </c>
      <c r="T22" s="21">
        <v>13643650</v>
      </c>
      <c r="U22" s="21">
        <v>15101320</v>
      </c>
      <c r="V22" s="21">
        <v>13210440</v>
      </c>
      <c r="W22" s="21">
        <v>160018590</v>
      </c>
    </row>
    <row r="23" spans="1:23" ht="16" x14ac:dyDescent="0.4">
      <c r="A23" s="6">
        <v>2022</v>
      </c>
      <c r="B23" s="7" t="s">
        <v>26</v>
      </c>
      <c r="C23" s="7" t="s">
        <v>10</v>
      </c>
      <c r="D23" s="7" t="s">
        <v>14</v>
      </c>
      <c r="E23" s="7" t="s">
        <v>15</v>
      </c>
      <c r="F23" s="8">
        <v>415480</v>
      </c>
      <c r="G23" s="9">
        <v>21</v>
      </c>
      <c r="H23" s="10" t="s">
        <v>36</v>
      </c>
      <c r="I23" s="5" t="str">
        <f>CHOOSE(MATCH(B23,{"Январь","Февраль","Март","Апрель","Май","Июнь","Июль","Август","Сентябрь","Октябрь","Ноябрь","Декабрь"},0),
"Jan","Feb","Mar","Apr","May","Jun","Jul","Aug","Sep","Oct","Nov","Dec")</f>
        <v>Feb</v>
      </c>
      <c r="J23"/>
      <c r="K23"/>
      <c r="L23"/>
    </row>
    <row r="24" spans="1:23" ht="16" x14ac:dyDescent="0.4">
      <c r="A24" s="6">
        <v>2022</v>
      </c>
      <c r="B24" s="7" t="s">
        <v>37</v>
      </c>
      <c r="C24" s="7" t="s">
        <v>17</v>
      </c>
      <c r="D24" s="7" t="s">
        <v>7</v>
      </c>
      <c r="E24" s="7" t="s">
        <v>8</v>
      </c>
      <c r="F24" s="8">
        <v>743870</v>
      </c>
      <c r="G24" s="9">
        <v>37</v>
      </c>
      <c r="H24" s="10" t="s">
        <v>38</v>
      </c>
      <c r="I24" s="5" t="str">
        <f>CHOOSE(MATCH(B24,{"Январь","Февраль","Март","Апрель","Май","Июнь","Июль","Август","Сентябрь","Октябрь","Ноябрь","Декабрь"},0),
"Jan","Feb","Mar","Apr","May","Jun","Jul","Aug","Sep","Oct","Nov","Dec")</f>
        <v>Mar</v>
      </c>
      <c r="J24"/>
      <c r="K24"/>
      <c r="L24"/>
    </row>
    <row r="25" spans="1:23" ht="16" x14ac:dyDescent="0.4">
      <c r="A25" s="6">
        <v>2022</v>
      </c>
      <c r="B25" s="7" t="s">
        <v>37</v>
      </c>
      <c r="C25" s="7" t="s">
        <v>2</v>
      </c>
      <c r="D25" s="7" t="s">
        <v>11</v>
      </c>
      <c r="E25" s="7" t="s">
        <v>12</v>
      </c>
      <c r="F25" s="8">
        <v>180640</v>
      </c>
      <c r="G25" s="9">
        <v>13</v>
      </c>
      <c r="H25" s="10" t="s">
        <v>39</v>
      </c>
      <c r="I25" s="5" t="str">
        <f>CHOOSE(MATCH(B25,{"Январь","Февраль","Март","Апрель","Май","Июнь","Июль","Август","Сентябрь","Октябрь","Ноябрь","Декабрь"},0),
"Jan","Feb","Mar","Apr","May","Jun","Jul","Aug","Sep","Oct","Nov","Dec")</f>
        <v>Mar</v>
      </c>
      <c r="J25"/>
      <c r="K25"/>
      <c r="L25"/>
    </row>
    <row r="26" spans="1:23" ht="16" x14ac:dyDescent="0.4">
      <c r="A26" s="6">
        <v>2022</v>
      </c>
      <c r="B26" s="7" t="s">
        <v>37</v>
      </c>
      <c r="C26" s="7" t="s">
        <v>6</v>
      </c>
      <c r="D26" s="7" t="s">
        <v>7</v>
      </c>
      <c r="E26" s="7" t="s">
        <v>12</v>
      </c>
      <c r="F26" s="8">
        <v>368420</v>
      </c>
      <c r="G26" s="9">
        <v>30</v>
      </c>
      <c r="H26" s="10" t="s">
        <v>40</v>
      </c>
      <c r="I26" s="5" t="str">
        <f>CHOOSE(MATCH(B26,{"Январь","Февраль","Март","Апрель","Май","Июнь","Июль","Август","Сентябрь","Октябрь","Ноябрь","Декабрь"},0),
"Jan","Feb","Mar","Apr","May","Jun","Jul","Aug","Sep","Oct","Nov","Dec")</f>
        <v>Mar</v>
      </c>
      <c r="J26"/>
      <c r="K26"/>
      <c r="L26"/>
    </row>
    <row r="27" spans="1:23" ht="16" x14ac:dyDescent="0.4">
      <c r="A27" s="6">
        <v>2022</v>
      </c>
      <c r="B27" s="7" t="s">
        <v>37</v>
      </c>
      <c r="C27" s="7" t="s">
        <v>6</v>
      </c>
      <c r="D27" s="7" t="s">
        <v>3</v>
      </c>
      <c r="E27" s="7" t="s">
        <v>15</v>
      </c>
      <c r="F27" s="8">
        <v>276270</v>
      </c>
      <c r="G27" s="9">
        <v>20</v>
      </c>
      <c r="H27" s="10" t="s">
        <v>41</v>
      </c>
      <c r="I27" s="5" t="str">
        <f>CHOOSE(MATCH(B27,{"Январь","Февраль","Март","Апрель","Май","Июнь","Июль","Август","Сентябрь","Октябрь","Ноябрь","Декабрь"},0),
"Jan","Feb","Mar","Apr","May","Jun","Jul","Aug","Sep","Oct","Nov","Dec")</f>
        <v>Mar</v>
      </c>
      <c r="J27"/>
      <c r="K27"/>
      <c r="L27"/>
    </row>
    <row r="28" spans="1:23" ht="16" x14ac:dyDescent="0.4">
      <c r="A28" s="6">
        <v>2022</v>
      </c>
      <c r="B28" s="7" t="s">
        <v>37</v>
      </c>
      <c r="C28" s="7" t="s">
        <v>2</v>
      </c>
      <c r="D28" s="7" t="s">
        <v>18</v>
      </c>
      <c r="E28" s="7" t="s">
        <v>4</v>
      </c>
      <c r="F28" s="8">
        <v>222340</v>
      </c>
      <c r="G28" s="9">
        <v>12</v>
      </c>
      <c r="H28" s="10" t="s">
        <v>42</v>
      </c>
      <c r="I28" s="5" t="str">
        <f>CHOOSE(MATCH(B28,{"Январь","Февраль","Март","Апрель","Май","Июнь","Июль","Август","Сентябрь","Октябрь","Ноябрь","Декабрь"},0),
"Jan","Feb","Mar","Apr","May","Jun","Jul","Aug","Sep","Oct","Nov","Dec")</f>
        <v>Mar</v>
      </c>
      <c r="J28"/>
      <c r="K28"/>
      <c r="L28"/>
    </row>
    <row r="29" spans="1:23" ht="16" x14ac:dyDescent="0.4">
      <c r="A29" s="6">
        <v>2022</v>
      </c>
      <c r="B29" s="7" t="s">
        <v>37</v>
      </c>
      <c r="C29" s="7" t="s">
        <v>6</v>
      </c>
      <c r="D29" s="7" t="s">
        <v>3</v>
      </c>
      <c r="E29" s="7" t="s">
        <v>15</v>
      </c>
      <c r="F29" s="8">
        <v>242080</v>
      </c>
      <c r="G29" s="9">
        <v>17</v>
      </c>
      <c r="H29" s="10" t="s">
        <v>43</v>
      </c>
      <c r="I29" s="5" t="str">
        <f>CHOOSE(MATCH(B29,{"Январь","Февраль","Март","Апрель","Май","Июнь","Июль","Август","Сентябрь","Октябрь","Ноябрь","Декабрь"},0),
"Jan","Feb","Mar","Apr","May","Jun","Jul","Aug","Sep","Oct","Nov","Dec")</f>
        <v>Mar</v>
      </c>
      <c r="J29"/>
      <c r="K29"/>
      <c r="L29"/>
    </row>
    <row r="30" spans="1:23" ht="16" x14ac:dyDescent="0.4">
      <c r="A30" s="6">
        <v>2022</v>
      </c>
      <c r="B30" s="7" t="s">
        <v>37</v>
      </c>
      <c r="C30" s="7" t="s">
        <v>17</v>
      </c>
      <c r="D30" s="7" t="s">
        <v>3</v>
      </c>
      <c r="E30" s="7" t="s">
        <v>15</v>
      </c>
      <c r="F30" s="8">
        <v>338470</v>
      </c>
      <c r="G30" s="9">
        <v>21</v>
      </c>
      <c r="H30" s="10" t="s">
        <v>44</v>
      </c>
      <c r="I30" s="5" t="str">
        <f>CHOOSE(MATCH(B30,{"Январь","Февраль","Март","Апрель","Май","Июнь","Июль","Август","Сентябрь","Октябрь","Ноябрь","Декабрь"},0),
"Jan","Feb","Mar","Apr","May","Jun","Jul","Aug","Sep","Oct","Nov","Dec")</f>
        <v>Mar</v>
      </c>
      <c r="J30"/>
      <c r="K30"/>
      <c r="L30"/>
    </row>
    <row r="31" spans="1:23" ht="16" x14ac:dyDescent="0.4">
      <c r="A31" s="6">
        <v>2022</v>
      </c>
      <c r="B31" s="7" t="s">
        <v>37</v>
      </c>
      <c r="C31" s="7" t="s">
        <v>2</v>
      </c>
      <c r="D31" s="7" t="s">
        <v>3</v>
      </c>
      <c r="E31" s="7" t="s">
        <v>4</v>
      </c>
      <c r="F31" s="8">
        <v>543500</v>
      </c>
      <c r="G31" s="9">
        <v>28</v>
      </c>
      <c r="H31" s="10" t="s">
        <v>45</v>
      </c>
      <c r="I31" s="5" t="str">
        <f>CHOOSE(MATCH(B31,{"Январь","Февраль","Март","Апрель","Май","Июнь","Июль","Август","Сентябрь","Октябрь","Ноябрь","Декабрь"},0),
"Jan","Feb","Mar","Apr","May","Jun","Jul","Aug","Sep","Oct","Nov","Dec")</f>
        <v>Mar</v>
      </c>
      <c r="J31"/>
      <c r="K31"/>
      <c r="L31"/>
    </row>
    <row r="32" spans="1:23" ht="16" x14ac:dyDescent="0.4">
      <c r="A32" s="6">
        <v>2022</v>
      </c>
      <c r="B32" s="7" t="s">
        <v>37</v>
      </c>
      <c r="C32" s="7" t="s">
        <v>6</v>
      </c>
      <c r="D32" s="7" t="s">
        <v>11</v>
      </c>
      <c r="E32" s="7" t="s">
        <v>8</v>
      </c>
      <c r="F32" s="8">
        <v>369550</v>
      </c>
      <c r="G32" s="9">
        <v>19</v>
      </c>
      <c r="H32" s="10" t="s">
        <v>46</v>
      </c>
      <c r="I32" s="5" t="str">
        <f>CHOOSE(MATCH(B32,{"Январь","Февраль","Март","Апрель","Май","Июнь","Июль","Август","Сентябрь","Октябрь","Ноябрь","Декабрь"},0),
"Jan","Feb","Mar","Apr","May","Jun","Jul","Aug","Sep","Oct","Nov","Dec")</f>
        <v>Mar</v>
      </c>
      <c r="J32"/>
      <c r="K32"/>
      <c r="L32"/>
    </row>
    <row r="33" spans="1:19" x14ac:dyDescent="0.35">
      <c r="A33" s="6">
        <v>2022</v>
      </c>
      <c r="B33" s="7" t="s">
        <v>37</v>
      </c>
      <c r="C33" s="7" t="s">
        <v>22</v>
      </c>
      <c r="D33" s="7" t="s">
        <v>3</v>
      </c>
      <c r="E33" s="7" t="s">
        <v>15</v>
      </c>
      <c r="F33" s="8">
        <v>347900</v>
      </c>
      <c r="G33" s="9">
        <v>27</v>
      </c>
      <c r="H33" s="10" t="s">
        <v>47</v>
      </c>
      <c r="I33" s="5" t="str">
        <f>CHOOSE(MATCH(B33,{"Январь","Февраль","Март","Апрель","Май","Июнь","Июль","Август","Сентябрь","Октябрь","Ноябрь","Декабрь"},0),
"Jan","Feb","Mar","Apr","May","Jun","Jul","Aug","Sep","Oct","Nov","Dec")</f>
        <v>Mar</v>
      </c>
    </row>
    <row r="34" spans="1:19" x14ac:dyDescent="0.35">
      <c r="A34" s="6">
        <v>2022</v>
      </c>
      <c r="B34" s="7" t="s">
        <v>48</v>
      </c>
      <c r="C34" s="7" t="s">
        <v>17</v>
      </c>
      <c r="D34" s="7" t="s">
        <v>11</v>
      </c>
      <c r="E34" s="7" t="s">
        <v>8</v>
      </c>
      <c r="F34" s="8">
        <v>761340</v>
      </c>
      <c r="G34" s="9">
        <v>36</v>
      </c>
      <c r="H34" s="10" t="s">
        <v>49</v>
      </c>
      <c r="I34" s="5" t="str">
        <f>CHOOSE(MATCH(B34,{"Январь","Февраль","Март","Апрель","Май","Июнь","Июль","Август","Сентябрь","Октябрь","Ноябрь","Декабрь"},0),
"Jan","Feb","Mar","Apr","May","Jun","Jul","Aug","Sep","Oct","Nov","Dec")</f>
        <v>Apr</v>
      </c>
    </row>
    <row r="35" spans="1:19" x14ac:dyDescent="0.35">
      <c r="A35" s="6">
        <v>2022</v>
      </c>
      <c r="B35" s="7" t="s">
        <v>48</v>
      </c>
      <c r="C35" s="7" t="s">
        <v>2</v>
      </c>
      <c r="D35" s="7" t="s">
        <v>14</v>
      </c>
      <c r="E35" s="7" t="s">
        <v>12</v>
      </c>
      <c r="F35" s="8">
        <v>220870</v>
      </c>
      <c r="G35" s="9">
        <v>16</v>
      </c>
      <c r="H35" s="10" t="s">
        <v>50</v>
      </c>
      <c r="I35" s="5" t="str">
        <f>CHOOSE(MATCH(B35,{"Январь","Февраль","Март","Апрель","Май","Июнь","Июль","Август","Сентябрь","Октябрь","Ноябрь","Декабрь"},0),
"Jan","Feb","Mar","Apr","May","Jun","Jul","Aug","Sep","Oct","Nov","Dec")</f>
        <v>Apr</v>
      </c>
    </row>
    <row r="36" spans="1:19" x14ac:dyDescent="0.35">
      <c r="A36" s="6">
        <v>2022</v>
      </c>
      <c r="B36" s="7" t="s">
        <v>48</v>
      </c>
      <c r="C36" s="7" t="s">
        <v>2</v>
      </c>
      <c r="D36" s="7" t="s">
        <v>18</v>
      </c>
      <c r="E36" s="7" t="s">
        <v>4</v>
      </c>
      <c r="F36" s="8">
        <v>389350</v>
      </c>
      <c r="G36" s="9">
        <v>20</v>
      </c>
      <c r="H36" s="10" t="s">
        <v>51</v>
      </c>
      <c r="I36" s="5" t="str">
        <f>CHOOSE(MATCH(B36,{"Январь","Февраль","Март","Апрель","Май","Июнь","Июль","Август","Сентябрь","Октябрь","Ноябрь","Декабрь"},0),
"Jan","Feb","Mar","Apr","May","Jun","Jul","Aug","Sep","Oct","Nov","Dec")</f>
        <v>Apr</v>
      </c>
    </row>
    <row r="37" spans="1:19" x14ac:dyDescent="0.35">
      <c r="A37" s="6">
        <v>2022</v>
      </c>
      <c r="B37" s="7" t="s">
        <v>48</v>
      </c>
      <c r="C37" s="7" t="s">
        <v>10</v>
      </c>
      <c r="D37" s="7" t="s">
        <v>18</v>
      </c>
      <c r="E37" s="7" t="s">
        <v>8</v>
      </c>
      <c r="F37" s="8">
        <v>316890</v>
      </c>
      <c r="G37" s="9">
        <v>13</v>
      </c>
      <c r="H37" s="10" t="s">
        <v>52</v>
      </c>
      <c r="I37" s="5" t="str">
        <f>CHOOSE(MATCH(B37,{"Январь","Февраль","Март","Апрель","Май","Июнь","Июль","Август","Сентябрь","Октябрь","Ноябрь","Декабрь"},0),
"Jan","Feb","Mar","Apr","May","Jun","Jul","Aug","Sep","Oct","Nov","Dec")</f>
        <v>Apr</v>
      </c>
    </row>
    <row r="38" spans="1:19" x14ac:dyDescent="0.35">
      <c r="A38" s="6">
        <v>2022</v>
      </c>
      <c r="B38" s="7" t="s">
        <v>48</v>
      </c>
      <c r="C38" s="7" t="s">
        <v>6</v>
      </c>
      <c r="D38" s="7" t="s">
        <v>14</v>
      </c>
      <c r="E38" s="7" t="s">
        <v>8</v>
      </c>
      <c r="F38" s="8">
        <v>460170</v>
      </c>
      <c r="G38" s="9">
        <v>25</v>
      </c>
      <c r="H38" s="10" t="s">
        <v>53</v>
      </c>
      <c r="I38" s="5" t="str">
        <f>CHOOSE(MATCH(B38,{"Январь","Февраль","Март","Апрель","Май","Июнь","Июль","Август","Сентябрь","Октябрь","Ноябрь","Декабрь"},0),
"Jan","Feb","Mar","Apr","May","Jun","Jul","Aug","Sep","Oct","Nov","Dec")</f>
        <v>Apr</v>
      </c>
    </row>
    <row r="39" spans="1:19" x14ac:dyDescent="0.35">
      <c r="A39" s="6">
        <v>2022</v>
      </c>
      <c r="B39" s="7" t="s">
        <v>48</v>
      </c>
      <c r="C39" s="7" t="s">
        <v>10</v>
      </c>
      <c r="D39" s="7" t="s">
        <v>18</v>
      </c>
      <c r="E39" s="7" t="s">
        <v>12</v>
      </c>
      <c r="F39" s="8">
        <v>253650</v>
      </c>
      <c r="G39" s="9">
        <v>16</v>
      </c>
      <c r="H39" s="10" t="s">
        <v>54</v>
      </c>
      <c r="I39" s="5" t="str">
        <f>CHOOSE(MATCH(B39,{"Январь","Февраль","Март","Апрель","Май","Июнь","Июль","Август","Сентябрь","Октябрь","Ноябрь","Декабрь"},0),
"Jan","Feb","Mar","Apr","May","Jun","Jul","Aug","Sep","Oct","Nov","Dec")</f>
        <v>Apr</v>
      </c>
    </row>
    <row r="40" spans="1:19" x14ac:dyDescent="0.35">
      <c r="A40" s="6">
        <v>2022</v>
      </c>
      <c r="B40" s="7" t="s">
        <v>48</v>
      </c>
      <c r="C40" s="7" t="s">
        <v>17</v>
      </c>
      <c r="D40" s="7" t="s">
        <v>7</v>
      </c>
      <c r="E40" s="7" t="s">
        <v>4</v>
      </c>
      <c r="F40" s="8">
        <v>566420</v>
      </c>
      <c r="G40" s="9">
        <v>32</v>
      </c>
      <c r="H40" s="10" t="s">
        <v>55</v>
      </c>
      <c r="I40" s="5" t="str">
        <f>CHOOSE(MATCH(B40,{"Январь","Февраль","Март","Апрель","Май","Июнь","Июль","Август","Сентябрь","Октябрь","Ноябрь","Декабрь"},0),
"Jan","Feb","Mar","Apr","May","Jun","Jul","Aug","Sep","Oct","Nov","Dec")</f>
        <v>Apr</v>
      </c>
    </row>
    <row r="41" spans="1:19" x14ac:dyDescent="0.35">
      <c r="A41" s="6">
        <v>2022</v>
      </c>
      <c r="B41" s="7" t="s">
        <v>48</v>
      </c>
      <c r="C41" s="7" t="s">
        <v>22</v>
      </c>
      <c r="D41" s="7" t="s">
        <v>3</v>
      </c>
      <c r="E41" s="7" t="s">
        <v>12</v>
      </c>
      <c r="F41" s="8">
        <v>360170</v>
      </c>
      <c r="G41" s="9">
        <v>30</v>
      </c>
      <c r="H41" s="10" t="s">
        <v>56</v>
      </c>
      <c r="I41" s="5" t="str">
        <f>CHOOSE(MATCH(B41,{"Январь","Февраль","Март","Апрель","Май","Июнь","Июль","Август","Сентябрь","Октябрь","Ноябрь","Декабрь"},0),
"Jan","Feb","Mar","Apr","May","Jun","Jul","Aug","Sep","Oct","Nov","Dec")</f>
        <v>Apr</v>
      </c>
    </row>
    <row r="42" spans="1:19" x14ac:dyDescent="0.35">
      <c r="A42" s="6">
        <v>2022</v>
      </c>
      <c r="B42" s="7" t="s">
        <v>48</v>
      </c>
      <c r="C42" s="7" t="s">
        <v>10</v>
      </c>
      <c r="D42" s="7" t="s">
        <v>14</v>
      </c>
      <c r="E42" s="7" t="s">
        <v>8</v>
      </c>
      <c r="F42" s="8">
        <v>550050</v>
      </c>
      <c r="G42" s="9">
        <v>22</v>
      </c>
      <c r="H42" s="10" t="s">
        <v>57</v>
      </c>
      <c r="I42" s="5" t="str">
        <f>CHOOSE(MATCH(B42,{"Январь","Февраль","Март","Апрель","Май","Июнь","Июль","Август","Сентябрь","Октябрь","Ноябрь","Декабрь"},0),
"Jan","Feb","Mar","Apr","May","Jun","Jul","Aug","Sep","Oct","Nov","Dec")</f>
        <v>Apr</v>
      </c>
    </row>
    <row r="43" spans="1:19" x14ac:dyDescent="0.35">
      <c r="A43" s="6">
        <v>2022</v>
      </c>
      <c r="B43" s="7" t="s">
        <v>48</v>
      </c>
      <c r="C43" s="7" t="s">
        <v>6</v>
      </c>
      <c r="D43" s="7" t="s">
        <v>7</v>
      </c>
      <c r="E43" s="7" t="s">
        <v>12</v>
      </c>
      <c r="F43" s="8">
        <v>469230</v>
      </c>
      <c r="G43" s="9">
        <v>41</v>
      </c>
      <c r="H43" s="10" t="s">
        <v>58</v>
      </c>
      <c r="I43" s="5" t="str">
        <f>CHOOSE(MATCH(B43,{"Январь","Февраль","Март","Апрель","Май","Июнь","Июль","Август","Сентябрь","Октябрь","Ноябрь","Декабрь"},0),
"Jan","Feb","Mar","Apr","May","Jun","Jul","Aug","Sep","Oct","Nov","Dec")</f>
        <v>Apr</v>
      </c>
    </row>
    <row r="44" spans="1:19" x14ac:dyDescent="0.35">
      <c r="A44" s="6">
        <v>2022</v>
      </c>
      <c r="B44" s="7" t="s">
        <v>59</v>
      </c>
      <c r="C44" s="7" t="s">
        <v>10</v>
      </c>
      <c r="D44" s="7" t="s">
        <v>7</v>
      </c>
      <c r="E44" s="7" t="s">
        <v>12</v>
      </c>
      <c r="F44" s="8">
        <v>602600</v>
      </c>
      <c r="G44" s="9">
        <v>38</v>
      </c>
      <c r="H44" s="10" t="s">
        <v>60</v>
      </c>
      <c r="I44" s="5" t="str">
        <f>CHOOSE(MATCH(B44,{"Январь","Февраль","Март","Апрель","Май","Июнь","Июль","Август","Сентябрь","Октябрь","Ноябрь","Декабрь"},0),
"Jan","Feb","Mar","Apr","May","Jun","Jul","Aug","Sep","Oct","Nov","Dec")</f>
        <v>May</v>
      </c>
    </row>
    <row r="45" spans="1:19" ht="15.5" customHeight="1" x14ac:dyDescent="0.35">
      <c r="A45" s="6">
        <v>2022</v>
      </c>
      <c r="B45" s="7" t="s">
        <v>59</v>
      </c>
      <c r="C45" s="7" t="s">
        <v>2</v>
      </c>
      <c r="D45" s="7" t="s">
        <v>7</v>
      </c>
      <c r="E45" s="7" t="s">
        <v>15</v>
      </c>
      <c r="F45" s="8">
        <v>195710</v>
      </c>
      <c r="G45" s="9">
        <v>13</v>
      </c>
      <c r="H45" s="10" t="s">
        <v>61</v>
      </c>
      <c r="I45" s="5" t="str">
        <f>CHOOSE(MATCH(B45,{"Январь","Февраль","Март","Апрель","Май","Июнь","Июль","Август","Сентябрь","Октябрь","Ноябрь","Декабрь"},0),
"Jan","Feb","Mar","Apr","May","Jun","Jul","Aug","Sep","Oct","Nov","Dec")</f>
        <v>May</v>
      </c>
      <c r="J45" s="23" t="s">
        <v>426</v>
      </c>
      <c r="K45" s="24"/>
      <c r="L45" s="24"/>
      <c r="M45" s="24"/>
      <c r="N45" s="24"/>
      <c r="O45" s="24"/>
      <c r="P45" s="24"/>
      <c r="Q45" s="24"/>
      <c r="R45" s="24"/>
      <c r="S45" s="25"/>
    </row>
    <row r="46" spans="1:19" x14ac:dyDescent="0.35">
      <c r="A46" s="6">
        <v>2022</v>
      </c>
      <c r="B46" s="7" t="s">
        <v>59</v>
      </c>
      <c r="C46" s="7" t="s">
        <v>10</v>
      </c>
      <c r="D46" s="7" t="s">
        <v>3</v>
      </c>
      <c r="E46" s="7" t="s">
        <v>4</v>
      </c>
      <c r="F46" s="8">
        <v>286620</v>
      </c>
      <c r="G46" s="9">
        <v>12</v>
      </c>
      <c r="H46" s="10" t="s">
        <v>62</v>
      </c>
      <c r="I46" s="5" t="str">
        <f>CHOOSE(MATCH(B46,{"Январь","Февраль","Март","Апрель","Май","Июнь","Июль","Август","Сентябрь","Октябрь","Ноябрь","Декабрь"},0),
"Jan","Feb","Mar","Apr","May","Jun","Jul","Aug","Sep","Oct","Nov","Dec")</f>
        <v>May</v>
      </c>
      <c r="J46" s="26"/>
      <c r="K46" s="27"/>
      <c r="L46" s="27"/>
      <c r="M46" s="27"/>
      <c r="N46" s="27"/>
      <c r="O46" s="27"/>
      <c r="P46" s="27"/>
      <c r="Q46" s="27"/>
      <c r="R46" s="27"/>
      <c r="S46" s="28"/>
    </row>
    <row r="47" spans="1:19" x14ac:dyDescent="0.35">
      <c r="A47" s="6">
        <v>2022</v>
      </c>
      <c r="B47" s="7" t="s">
        <v>59</v>
      </c>
      <c r="C47" s="7" t="s">
        <v>10</v>
      </c>
      <c r="D47" s="7" t="s">
        <v>11</v>
      </c>
      <c r="E47" s="7" t="s">
        <v>12</v>
      </c>
      <c r="F47" s="8">
        <v>339030</v>
      </c>
      <c r="G47" s="9">
        <v>21</v>
      </c>
      <c r="H47" s="10" t="s">
        <v>63</v>
      </c>
      <c r="I47" s="5" t="str">
        <f>CHOOSE(MATCH(B47,{"Январь","Февраль","Март","Апрель","Май","Июнь","Июль","Август","Сентябрь","Октябрь","Ноябрь","Декабрь"},0),
"Jan","Feb","Mar","Apr","May","Jun","Jul","Aug","Sep","Oct","Nov","Dec")</f>
        <v>May</v>
      </c>
      <c r="J47" s="26"/>
      <c r="K47" s="27"/>
      <c r="L47" s="27"/>
      <c r="M47" s="27"/>
      <c r="N47" s="27"/>
      <c r="O47" s="27"/>
      <c r="P47" s="27"/>
      <c r="Q47" s="27"/>
      <c r="R47" s="27"/>
      <c r="S47" s="28"/>
    </row>
    <row r="48" spans="1:19" x14ac:dyDescent="0.35">
      <c r="A48" s="6">
        <v>2022</v>
      </c>
      <c r="B48" s="7" t="s">
        <v>59</v>
      </c>
      <c r="C48" s="7" t="s">
        <v>6</v>
      </c>
      <c r="D48" s="7" t="s">
        <v>18</v>
      </c>
      <c r="E48" s="7" t="s">
        <v>15</v>
      </c>
      <c r="F48" s="8">
        <v>468720</v>
      </c>
      <c r="G48" s="9">
        <v>33</v>
      </c>
      <c r="H48" s="10" t="s">
        <v>64</v>
      </c>
      <c r="I48" s="5" t="str">
        <f>CHOOSE(MATCH(B48,{"Январь","Февраль","Март","Апрель","Май","Июнь","Июль","Август","Сентябрь","Октябрь","Ноябрь","Декабрь"},0),
"Jan","Feb","Mar","Apr","May","Jun","Jul","Aug","Sep","Oct","Nov","Dec")</f>
        <v>May</v>
      </c>
      <c r="J48" s="26"/>
      <c r="K48" s="27"/>
      <c r="L48" s="27"/>
      <c r="M48" s="27"/>
      <c r="N48" s="27"/>
      <c r="O48" s="27"/>
      <c r="P48" s="27"/>
      <c r="Q48" s="27"/>
      <c r="R48" s="27"/>
      <c r="S48" s="28"/>
    </row>
    <row r="49" spans="1:19" x14ac:dyDescent="0.35">
      <c r="A49" s="6">
        <v>2022</v>
      </c>
      <c r="B49" s="7" t="s">
        <v>59</v>
      </c>
      <c r="C49" s="7" t="s">
        <v>2</v>
      </c>
      <c r="D49" s="7" t="s">
        <v>3</v>
      </c>
      <c r="E49" s="7" t="s">
        <v>4</v>
      </c>
      <c r="F49" s="8">
        <v>668220</v>
      </c>
      <c r="G49" s="9">
        <v>35</v>
      </c>
      <c r="H49" s="10" t="s">
        <v>65</v>
      </c>
      <c r="I49" s="5" t="str">
        <f>CHOOSE(MATCH(B49,{"Январь","Февраль","Март","Апрель","Май","Июнь","Июль","Август","Сентябрь","Октябрь","Ноябрь","Декабрь"},0),
"Jan","Feb","Mar","Apr","May","Jun","Jul","Aug","Sep","Oct","Nov","Dec")</f>
        <v>May</v>
      </c>
      <c r="J49" s="26"/>
      <c r="K49" s="27"/>
      <c r="L49" s="27"/>
      <c r="M49" s="27"/>
      <c r="N49" s="27"/>
      <c r="O49" s="27"/>
      <c r="P49" s="27"/>
      <c r="Q49" s="27"/>
      <c r="R49" s="27"/>
      <c r="S49" s="28"/>
    </row>
    <row r="50" spans="1:19" x14ac:dyDescent="0.35">
      <c r="A50" s="6">
        <v>2022</v>
      </c>
      <c r="B50" s="7" t="s">
        <v>59</v>
      </c>
      <c r="C50" s="7" t="s">
        <v>6</v>
      </c>
      <c r="D50" s="7" t="s">
        <v>7</v>
      </c>
      <c r="E50" s="7" t="s">
        <v>12</v>
      </c>
      <c r="F50" s="8">
        <v>289640</v>
      </c>
      <c r="G50" s="9">
        <v>24</v>
      </c>
      <c r="H50" s="10" t="s">
        <v>66</v>
      </c>
      <c r="I50" s="5" t="str">
        <f>CHOOSE(MATCH(B50,{"Январь","Февраль","Март","Апрель","Май","Июнь","Июль","Август","Сентябрь","Октябрь","Ноябрь","Декабрь"},0),
"Jan","Feb","Mar","Apr","May","Jun","Jul","Aug","Sep","Oct","Nov","Dec")</f>
        <v>May</v>
      </c>
      <c r="J50" s="26"/>
      <c r="K50" s="27"/>
      <c r="L50" s="27"/>
      <c r="M50" s="27"/>
      <c r="N50" s="27"/>
      <c r="O50" s="27"/>
      <c r="P50" s="27"/>
      <c r="Q50" s="27"/>
      <c r="R50" s="27"/>
      <c r="S50" s="28"/>
    </row>
    <row r="51" spans="1:19" x14ac:dyDescent="0.35">
      <c r="A51" s="6">
        <v>2022</v>
      </c>
      <c r="B51" s="7" t="s">
        <v>59</v>
      </c>
      <c r="C51" s="7" t="s">
        <v>10</v>
      </c>
      <c r="D51" s="7" t="s">
        <v>14</v>
      </c>
      <c r="E51" s="7" t="s">
        <v>15</v>
      </c>
      <c r="F51" s="8">
        <v>668420</v>
      </c>
      <c r="G51" s="9">
        <v>35</v>
      </c>
      <c r="H51" s="10" t="s">
        <v>67</v>
      </c>
      <c r="I51" s="5" t="str">
        <f>CHOOSE(MATCH(B51,{"Январь","Февраль","Март","Апрель","Май","Июнь","Июль","Август","Сентябрь","Октябрь","Ноябрь","Декабрь"},0),
"Jan","Feb","Mar","Apr","May","Jun","Jul","Aug","Sep","Oct","Nov","Dec")</f>
        <v>May</v>
      </c>
      <c r="J51" s="26"/>
      <c r="K51" s="27"/>
      <c r="L51" s="27"/>
      <c r="M51" s="27"/>
      <c r="N51" s="27"/>
      <c r="O51" s="27"/>
      <c r="P51" s="27"/>
      <c r="Q51" s="27"/>
      <c r="R51" s="27"/>
      <c r="S51" s="28"/>
    </row>
    <row r="52" spans="1:19" x14ac:dyDescent="0.35">
      <c r="A52" s="6">
        <v>2022</v>
      </c>
      <c r="B52" s="7" t="s">
        <v>59</v>
      </c>
      <c r="C52" s="7" t="s">
        <v>2</v>
      </c>
      <c r="D52" s="7" t="s">
        <v>14</v>
      </c>
      <c r="E52" s="7" t="s">
        <v>4</v>
      </c>
      <c r="F52" s="8">
        <v>402320</v>
      </c>
      <c r="G52" s="9">
        <v>21</v>
      </c>
      <c r="H52" s="10" t="s">
        <v>68</v>
      </c>
      <c r="I52" s="5" t="str">
        <f>CHOOSE(MATCH(B52,{"Январь","Февраль","Март","Апрель","Май","Июнь","Июль","Август","Сентябрь","Октябрь","Ноябрь","Декабрь"},0),
"Jan","Feb","Mar","Apr","May","Jun","Jul","Aug","Sep","Oct","Nov","Dec")</f>
        <v>May</v>
      </c>
      <c r="J52" s="26"/>
      <c r="K52" s="27"/>
      <c r="L52" s="27"/>
      <c r="M52" s="27"/>
      <c r="N52" s="27"/>
      <c r="O52" s="27"/>
      <c r="P52" s="27"/>
      <c r="Q52" s="27"/>
      <c r="R52" s="27"/>
      <c r="S52" s="28"/>
    </row>
    <row r="53" spans="1:19" x14ac:dyDescent="0.35">
      <c r="A53" s="6">
        <v>2022</v>
      </c>
      <c r="B53" s="7" t="s">
        <v>59</v>
      </c>
      <c r="C53" s="7" t="s">
        <v>17</v>
      </c>
      <c r="D53" s="7" t="s">
        <v>3</v>
      </c>
      <c r="E53" s="7" t="s">
        <v>8</v>
      </c>
      <c r="F53" s="8">
        <v>242500</v>
      </c>
      <c r="G53" s="9">
        <v>12</v>
      </c>
      <c r="H53" s="10" t="s">
        <v>69</v>
      </c>
      <c r="I53" s="5" t="str">
        <f>CHOOSE(MATCH(B53,{"Январь","Февраль","Март","Апрель","Май","Июнь","Июль","Август","Сентябрь","Октябрь","Ноябрь","Декабрь"},0),
"Jan","Feb","Mar","Apr","May","Jun","Jul","Aug","Sep","Oct","Nov","Dec")</f>
        <v>May</v>
      </c>
      <c r="J53" s="26"/>
      <c r="K53" s="27"/>
      <c r="L53" s="27"/>
      <c r="M53" s="27"/>
      <c r="N53" s="27"/>
      <c r="O53" s="27"/>
      <c r="P53" s="27"/>
      <c r="Q53" s="27"/>
      <c r="R53" s="27"/>
      <c r="S53" s="28"/>
    </row>
    <row r="54" spans="1:19" x14ac:dyDescent="0.35">
      <c r="A54" s="6">
        <v>2022</v>
      </c>
      <c r="B54" s="7" t="s">
        <v>70</v>
      </c>
      <c r="C54" s="7" t="s">
        <v>10</v>
      </c>
      <c r="D54" s="7" t="s">
        <v>14</v>
      </c>
      <c r="E54" s="7" t="s">
        <v>8</v>
      </c>
      <c r="F54" s="8">
        <v>956590</v>
      </c>
      <c r="G54" s="9">
        <v>37</v>
      </c>
      <c r="H54" s="10" t="s">
        <v>71</v>
      </c>
      <c r="I54" s="5" t="str">
        <f>CHOOSE(MATCH(B54,{"Январь","Февраль","Март","Апрель","Май","Июнь","Июль","Август","Сентябрь","Октябрь","Ноябрь","Декабрь"},0),
"Jan","Feb","Mar","Apr","May","Jun","Jul","Aug","Sep","Oct","Nov","Dec")</f>
        <v>Jun</v>
      </c>
      <c r="J54" s="26"/>
      <c r="K54" s="27"/>
      <c r="L54" s="27"/>
      <c r="M54" s="27"/>
      <c r="N54" s="27"/>
      <c r="O54" s="27"/>
      <c r="P54" s="27"/>
      <c r="Q54" s="27"/>
      <c r="R54" s="27"/>
      <c r="S54" s="28"/>
    </row>
    <row r="55" spans="1:19" x14ac:dyDescent="0.35">
      <c r="A55" s="6">
        <v>2022</v>
      </c>
      <c r="B55" s="7" t="s">
        <v>70</v>
      </c>
      <c r="C55" s="7" t="s">
        <v>6</v>
      </c>
      <c r="D55" s="7" t="s">
        <v>11</v>
      </c>
      <c r="E55" s="7" t="s">
        <v>4</v>
      </c>
      <c r="F55" s="8">
        <v>598170</v>
      </c>
      <c r="G55" s="9">
        <v>37</v>
      </c>
      <c r="H55" s="10" t="s">
        <v>72</v>
      </c>
      <c r="I55" s="5" t="str">
        <f>CHOOSE(MATCH(B55,{"Январь","Февраль","Март","Апрель","Май","Июнь","Июль","Август","Сентябрь","Октябрь","Ноябрь","Декабрь"},0),
"Jan","Feb","Mar","Apr","May","Jun","Jul","Aug","Sep","Oct","Nov","Dec")</f>
        <v>Jun</v>
      </c>
      <c r="J55" s="26"/>
      <c r="K55" s="27"/>
      <c r="L55" s="27"/>
      <c r="M55" s="27"/>
      <c r="N55" s="27"/>
      <c r="O55" s="27"/>
      <c r="P55" s="27"/>
      <c r="Q55" s="27"/>
      <c r="R55" s="27"/>
      <c r="S55" s="28"/>
    </row>
    <row r="56" spans="1:19" x14ac:dyDescent="0.35">
      <c r="A56" s="6">
        <v>2022</v>
      </c>
      <c r="B56" s="7" t="s">
        <v>70</v>
      </c>
      <c r="C56" s="7" t="s">
        <v>10</v>
      </c>
      <c r="D56" s="7" t="s">
        <v>11</v>
      </c>
      <c r="E56" s="7" t="s">
        <v>4</v>
      </c>
      <c r="F56" s="8">
        <v>558690</v>
      </c>
      <c r="G56" s="9">
        <v>24</v>
      </c>
      <c r="H56" s="10" t="s">
        <v>73</v>
      </c>
      <c r="I56" s="5" t="str">
        <f>CHOOSE(MATCH(B56,{"Январь","Февраль","Март","Апрель","Май","Июнь","Июль","Август","Сентябрь","Октябрь","Ноябрь","Декабрь"},0),
"Jan","Feb","Mar","Apr","May","Jun","Jul","Aug","Sep","Oct","Nov","Dec")</f>
        <v>Jun</v>
      </c>
      <c r="J56" s="29"/>
      <c r="K56" s="30"/>
      <c r="L56" s="30"/>
      <c r="M56" s="30"/>
      <c r="N56" s="30"/>
      <c r="O56" s="30"/>
      <c r="P56" s="30"/>
      <c r="Q56" s="30"/>
      <c r="R56" s="30"/>
      <c r="S56" s="31"/>
    </row>
    <row r="57" spans="1:19" x14ac:dyDescent="0.35">
      <c r="A57" s="6">
        <v>2022</v>
      </c>
      <c r="B57" s="7" t="s">
        <v>70</v>
      </c>
      <c r="C57" s="7" t="s">
        <v>2</v>
      </c>
      <c r="D57" s="7" t="s">
        <v>18</v>
      </c>
      <c r="E57" s="7" t="s">
        <v>4</v>
      </c>
      <c r="F57" s="8">
        <v>336610</v>
      </c>
      <c r="G57" s="9">
        <v>18</v>
      </c>
      <c r="H57" s="10" t="s">
        <v>74</v>
      </c>
      <c r="I57" s="5" t="str">
        <f>CHOOSE(MATCH(B57,{"Январь","Февраль","Март","Апрель","Май","Июнь","Июль","Август","Сентябрь","Октябрь","Ноябрь","Декабрь"},0),
"Jan","Feb","Mar","Apr","May","Jun","Jul","Aug","Sep","Oct","Nov","Dec")</f>
        <v>Jun</v>
      </c>
    </row>
    <row r="58" spans="1:19" x14ac:dyDescent="0.35">
      <c r="A58" s="6">
        <v>2022</v>
      </c>
      <c r="B58" s="7" t="s">
        <v>70</v>
      </c>
      <c r="C58" s="7" t="s">
        <v>2</v>
      </c>
      <c r="D58" s="7" t="s">
        <v>18</v>
      </c>
      <c r="E58" s="7" t="s">
        <v>12</v>
      </c>
      <c r="F58" s="8">
        <v>346820</v>
      </c>
      <c r="G58" s="9">
        <v>26</v>
      </c>
      <c r="H58" s="10" t="s">
        <v>75</v>
      </c>
      <c r="I58" s="5" t="str">
        <f>CHOOSE(MATCH(B58,{"Январь","Февраль","Март","Апрель","Май","Июнь","Июль","Август","Сентябрь","Октябрь","Ноябрь","Декабрь"},0),
"Jan","Feb","Mar","Apr","May","Jun","Jul","Aug","Sep","Oct","Nov","Dec")</f>
        <v>Jun</v>
      </c>
    </row>
    <row r="59" spans="1:19" ht="16" x14ac:dyDescent="0.4">
      <c r="A59" s="6">
        <v>2022</v>
      </c>
      <c r="B59" s="7" t="s">
        <v>70</v>
      </c>
      <c r="C59" s="7" t="s">
        <v>2</v>
      </c>
      <c r="D59" s="7" t="s">
        <v>18</v>
      </c>
      <c r="E59" s="7" t="s">
        <v>15</v>
      </c>
      <c r="F59" s="8">
        <v>585450</v>
      </c>
      <c r="G59" s="9">
        <v>36</v>
      </c>
      <c r="H59" s="10" t="s">
        <v>76</v>
      </c>
      <c r="I59" s="5" t="str">
        <f>CHOOSE(MATCH(B59,{"Январь","Февраль","Март","Апрель","Май","Июнь","Июль","Август","Сентябрь","Октябрь","Ноябрь","Декабрь"},0),
"Jan","Feb","Mar","Apr","May","Jun","Jul","Aug","Sep","Oct","Nov","Dec")</f>
        <v>Jun</v>
      </c>
      <c r="J59" s="19" t="s">
        <v>405</v>
      </c>
      <c r="K59" s="19" t="s">
        <v>403</v>
      </c>
      <c r="L59"/>
      <c r="M59"/>
      <c r="N59"/>
      <c r="O59"/>
      <c r="P59"/>
    </row>
    <row r="60" spans="1:19" ht="16" x14ac:dyDescent="0.4">
      <c r="A60" s="6">
        <v>2022</v>
      </c>
      <c r="B60" s="7" t="s">
        <v>70</v>
      </c>
      <c r="C60" s="7" t="s">
        <v>10</v>
      </c>
      <c r="D60" s="7" t="s">
        <v>18</v>
      </c>
      <c r="E60" s="7" t="s">
        <v>12</v>
      </c>
      <c r="F60" s="8">
        <v>507640</v>
      </c>
      <c r="G60" s="9">
        <v>32</v>
      </c>
      <c r="H60" s="10" t="s">
        <v>77</v>
      </c>
      <c r="I60" s="5" t="str">
        <f>CHOOSE(MATCH(B60,{"Январь","Февраль","Март","Апрель","Май","Июнь","Июль","Август","Сентябрь","Октябрь","Ноябрь","Декабрь"},0),
"Jan","Feb","Mar","Apr","May","Jun","Jul","Aug","Sep","Oct","Nov","Dec")</f>
        <v>Jun</v>
      </c>
      <c r="J60" s="19" t="s">
        <v>401</v>
      </c>
      <c r="K60" t="s">
        <v>2</v>
      </c>
      <c r="L60" t="s">
        <v>17</v>
      </c>
      <c r="M60" t="s">
        <v>6</v>
      </c>
      <c r="N60" t="s">
        <v>10</v>
      </c>
      <c r="O60" t="s">
        <v>22</v>
      </c>
      <c r="P60" t="s">
        <v>402</v>
      </c>
    </row>
    <row r="61" spans="1:19" ht="16" x14ac:dyDescent="0.4">
      <c r="A61" s="6">
        <v>2022</v>
      </c>
      <c r="B61" s="7" t="s">
        <v>70</v>
      </c>
      <c r="C61" s="7" t="s">
        <v>17</v>
      </c>
      <c r="D61" s="7" t="s">
        <v>14</v>
      </c>
      <c r="E61" s="7" t="s">
        <v>8</v>
      </c>
      <c r="F61" s="8">
        <v>700190</v>
      </c>
      <c r="G61" s="9">
        <v>34</v>
      </c>
      <c r="H61" s="10" t="s">
        <v>78</v>
      </c>
      <c r="I61" s="5" t="str">
        <f>CHOOSE(MATCH(B61,{"Январь","Февраль","Март","Апрель","Май","Июнь","Июль","Август","Сентябрь","Октябрь","Ноябрь","Декабрь"},0),
"Jan","Feb","Mar","Apr","May","Jun","Jul","Aug","Sep","Oct","Nov","Dec")</f>
        <v>Jun</v>
      </c>
      <c r="J61" s="20" t="s">
        <v>7</v>
      </c>
      <c r="K61" s="21">
        <v>1291980</v>
      </c>
      <c r="L61" s="21"/>
      <c r="M61" s="21">
        <v>1101010</v>
      </c>
      <c r="N61" s="21">
        <v>588990</v>
      </c>
      <c r="O61" s="21">
        <v>329960</v>
      </c>
      <c r="P61" s="21">
        <v>3311940</v>
      </c>
    </row>
    <row r="62" spans="1:19" ht="16" x14ac:dyDescent="0.4">
      <c r="A62" s="6">
        <v>2022</v>
      </c>
      <c r="B62" s="7" t="s">
        <v>70</v>
      </c>
      <c r="C62" s="7" t="s">
        <v>10</v>
      </c>
      <c r="D62" s="7" t="s">
        <v>7</v>
      </c>
      <c r="E62" s="7" t="s">
        <v>15</v>
      </c>
      <c r="F62" s="8">
        <v>494240</v>
      </c>
      <c r="G62" s="9">
        <v>27</v>
      </c>
      <c r="H62" s="10" t="s">
        <v>79</v>
      </c>
      <c r="I62" s="5" t="str">
        <f>CHOOSE(MATCH(B62,{"Январь","Февраль","Март","Апрель","Май","Июнь","Июль","Август","Сентябрь","Октябрь","Ноябрь","Декабрь"},0),
"Jan","Feb","Mar","Apr","May","Jun","Jul","Aug","Sep","Oct","Nov","Dec")</f>
        <v>Jun</v>
      </c>
      <c r="J62" s="20" t="s">
        <v>18</v>
      </c>
      <c r="K62" s="21"/>
      <c r="L62" s="21">
        <v>462410</v>
      </c>
      <c r="M62" s="21"/>
      <c r="N62" s="21">
        <v>604640</v>
      </c>
      <c r="O62" s="21">
        <v>251400</v>
      </c>
      <c r="P62" s="21">
        <v>1318450</v>
      </c>
    </row>
    <row r="63" spans="1:19" ht="16" x14ac:dyDescent="0.4">
      <c r="A63" s="6">
        <v>2022</v>
      </c>
      <c r="B63" s="7" t="s">
        <v>70</v>
      </c>
      <c r="C63" s="7" t="s">
        <v>6</v>
      </c>
      <c r="D63" s="7" t="s">
        <v>14</v>
      </c>
      <c r="E63" s="7" t="s">
        <v>8</v>
      </c>
      <c r="F63" s="8">
        <v>547240</v>
      </c>
      <c r="G63" s="9">
        <v>29</v>
      </c>
      <c r="H63" s="10" t="s">
        <v>80</v>
      </c>
      <c r="I63" s="5" t="str">
        <f>CHOOSE(MATCH(B63,{"Январь","Февраль","Март","Апрель","Май","Июнь","Июль","Август","Сентябрь","Октябрь","Ноябрь","Декабрь"},0),
"Jan","Feb","Mar","Apr","May","Jun","Jul","Aug","Sep","Oct","Nov","Dec")</f>
        <v>Jun</v>
      </c>
      <c r="J63" s="20" t="s">
        <v>14</v>
      </c>
      <c r="K63" s="21">
        <v>1457880</v>
      </c>
      <c r="L63" s="21">
        <v>1244990</v>
      </c>
      <c r="M63" s="21">
        <v>482730</v>
      </c>
      <c r="N63" s="21">
        <v>942760</v>
      </c>
      <c r="O63" s="21">
        <v>468470</v>
      </c>
      <c r="P63" s="21">
        <v>4596830</v>
      </c>
    </row>
    <row r="64" spans="1:19" ht="16" x14ac:dyDescent="0.4">
      <c r="A64" s="6">
        <v>2022</v>
      </c>
      <c r="B64" s="7" t="s">
        <v>81</v>
      </c>
      <c r="C64" s="7" t="s">
        <v>2</v>
      </c>
      <c r="D64" s="7" t="s">
        <v>18</v>
      </c>
      <c r="E64" s="7" t="s">
        <v>8</v>
      </c>
      <c r="F64" s="8">
        <v>344860</v>
      </c>
      <c r="G64" s="9">
        <v>16</v>
      </c>
      <c r="H64" s="10" t="s">
        <v>82</v>
      </c>
      <c r="I64" s="5" t="str">
        <f>CHOOSE(MATCH(B64,{"Январь","Февраль","Март","Апрель","Май","Июнь","Июль","Август","Сентябрь","Октябрь","Ноябрь","Декабрь"},0),
"Jan","Feb","Mar","Apr","May","Jun","Jul","Aug","Sep","Oct","Nov","Dec")</f>
        <v>Jul</v>
      </c>
      <c r="J64" s="20" t="s">
        <v>11</v>
      </c>
      <c r="K64" s="21">
        <v>662060</v>
      </c>
      <c r="L64" s="21"/>
      <c r="M64" s="21">
        <v>1042470</v>
      </c>
      <c r="N64" s="21">
        <v>1559220</v>
      </c>
      <c r="O64" s="21">
        <v>483110</v>
      </c>
      <c r="P64" s="21">
        <v>3746860</v>
      </c>
    </row>
    <row r="65" spans="1:19" ht="16" x14ac:dyDescent="0.4">
      <c r="A65" s="6">
        <v>2022</v>
      </c>
      <c r="B65" s="7" t="s">
        <v>81</v>
      </c>
      <c r="C65" s="7" t="s">
        <v>10</v>
      </c>
      <c r="D65" s="7" t="s">
        <v>14</v>
      </c>
      <c r="E65" s="7" t="s">
        <v>12</v>
      </c>
      <c r="F65" s="8">
        <v>249820</v>
      </c>
      <c r="G65" s="9">
        <v>16</v>
      </c>
      <c r="H65" s="10" t="s">
        <v>83</v>
      </c>
      <c r="I65" s="5" t="str">
        <f>CHOOSE(MATCH(B65,{"Январь","Февраль","Март","Апрель","Май","Июнь","Июль","Август","Сентябрь","Октябрь","Ноябрь","Декабрь"},0),
"Jan","Feb","Mar","Apr","May","Jun","Jul","Aug","Sep","Oct","Nov","Dec")</f>
        <v>Jul</v>
      </c>
      <c r="J65" s="20" t="s">
        <v>3</v>
      </c>
      <c r="K65" s="21"/>
      <c r="L65" s="21">
        <v>524680</v>
      </c>
      <c r="M65" s="21">
        <v>314270</v>
      </c>
      <c r="N65" s="21">
        <v>344560</v>
      </c>
      <c r="O65" s="21"/>
      <c r="P65" s="21">
        <v>1183510</v>
      </c>
    </row>
    <row r="66" spans="1:19" ht="16" x14ac:dyDescent="0.4">
      <c r="A66" s="6">
        <v>2022</v>
      </c>
      <c r="B66" s="7" t="s">
        <v>81</v>
      </c>
      <c r="C66" s="7" t="s">
        <v>22</v>
      </c>
      <c r="D66" s="7" t="s">
        <v>7</v>
      </c>
      <c r="E66" s="7" t="s">
        <v>15</v>
      </c>
      <c r="F66" s="8">
        <v>349440</v>
      </c>
      <c r="G66" s="9">
        <v>27</v>
      </c>
      <c r="H66" s="10" t="s">
        <v>84</v>
      </c>
      <c r="I66" s="5" t="str">
        <f>CHOOSE(MATCH(B66,{"Январь","Февраль","Март","Апрель","Май","Июнь","Июль","Август","Сентябрь","Октябрь","Ноябрь","Декабрь"},0),
"Jan","Feb","Mar","Apr","May","Jun","Jul","Aug","Sep","Oct","Nov","Dec")</f>
        <v>Jul</v>
      </c>
      <c r="J66" s="20" t="s">
        <v>402</v>
      </c>
      <c r="K66" s="21">
        <v>3411920</v>
      </c>
      <c r="L66" s="21">
        <v>2232080</v>
      </c>
      <c r="M66" s="21">
        <v>2940480</v>
      </c>
      <c r="N66" s="21">
        <v>4040170</v>
      </c>
      <c r="O66" s="21">
        <v>1532940</v>
      </c>
      <c r="P66" s="21">
        <v>14157590</v>
      </c>
    </row>
    <row r="67" spans="1:19" ht="16" x14ac:dyDescent="0.4">
      <c r="A67" s="6">
        <v>2022</v>
      </c>
      <c r="B67" s="7" t="s">
        <v>81</v>
      </c>
      <c r="C67" s="7" t="s">
        <v>6</v>
      </c>
      <c r="D67" s="7" t="s">
        <v>14</v>
      </c>
      <c r="E67" s="7" t="s">
        <v>4</v>
      </c>
      <c r="F67" s="8">
        <v>245390</v>
      </c>
      <c r="G67" s="9">
        <v>16</v>
      </c>
      <c r="H67" s="10" t="s">
        <v>85</v>
      </c>
      <c r="I67" s="5" t="str">
        <f>CHOOSE(MATCH(B67,{"Январь","Февраль","Март","Апрель","Май","Июнь","Июль","Август","Сентябрь","Октябрь","Ноябрь","Декабрь"},0),
"Jan","Feb","Mar","Apr","May","Jun","Jul","Aug","Sep","Oct","Nov","Dec")</f>
        <v>Jul</v>
      </c>
      <c r="J67"/>
      <c r="K67"/>
      <c r="L67"/>
    </row>
    <row r="68" spans="1:19" ht="16" customHeight="1" x14ac:dyDescent="0.35">
      <c r="A68" s="6">
        <v>2022</v>
      </c>
      <c r="B68" s="7" t="s">
        <v>81</v>
      </c>
      <c r="C68" s="7" t="s">
        <v>17</v>
      </c>
      <c r="D68" s="7" t="s">
        <v>3</v>
      </c>
      <c r="E68" s="7" t="s">
        <v>12</v>
      </c>
      <c r="F68" s="8">
        <v>217110</v>
      </c>
      <c r="G68" s="9">
        <v>16</v>
      </c>
      <c r="H68" s="10" t="s">
        <v>86</v>
      </c>
      <c r="I68" s="5" t="str">
        <f>CHOOSE(MATCH(B68,{"Январь","Февраль","Март","Апрель","Май","Июнь","Июль","Август","Сентябрь","Октябрь","Ноябрь","Декабрь"},0),
"Jan","Feb","Mar","Apr","May","Jun","Jul","Aug","Sep","Oct","Nov","Dec")</f>
        <v>Jul</v>
      </c>
      <c r="J68" s="33" t="s">
        <v>427</v>
      </c>
      <c r="K68" s="34"/>
      <c r="L68" s="34"/>
      <c r="M68" s="34"/>
      <c r="N68" s="34"/>
      <c r="O68" s="34"/>
      <c r="P68" s="34"/>
      <c r="Q68" s="34"/>
      <c r="R68" s="34"/>
      <c r="S68" s="35"/>
    </row>
    <row r="69" spans="1:19" ht="16" customHeight="1" x14ac:dyDescent="0.35">
      <c r="A69" s="6">
        <v>2022</v>
      </c>
      <c r="B69" s="7" t="s">
        <v>81</v>
      </c>
      <c r="C69" s="7" t="s">
        <v>6</v>
      </c>
      <c r="D69" s="7" t="s">
        <v>11</v>
      </c>
      <c r="E69" s="7" t="s">
        <v>8</v>
      </c>
      <c r="F69" s="8">
        <v>729190</v>
      </c>
      <c r="G69" s="9">
        <v>38</v>
      </c>
      <c r="H69" s="10" t="s">
        <v>87</v>
      </c>
      <c r="I69" s="5" t="str">
        <f>CHOOSE(MATCH(B69,{"Январь","Февраль","Март","Апрель","Май","Июнь","Июль","Август","Сентябрь","Октябрь","Ноябрь","Декабрь"},0),
"Jan","Feb","Mar","Apr","May","Jun","Jul","Aug","Sep","Oct","Nov","Dec")</f>
        <v>Jul</v>
      </c>
      <c r="J69" s="36"/>
      <c r="K69" s="37"/>
      <c r="L69" s="37"/>
      <c r="M69" s="37"/>
      <c r="N69" s="37"/>
      <c r="O69" s="37"/>
      <c r="P69" s="37"/>
      <c r="Q69" s="37"/>
      <c r="R69" s="37"/>
      <c r="S69" s="38"/>
    </row>
    <row r="70" spans="1:19" ht="16" customHeight="1" x14ac:dyDescent="0.35">
      <c r="A70" s="6">
        <v>2022</v>
      </c>
      <c r="B70" s="7" t="s">
        <v>81</v>
      </c>
      <c r="C70" s="7" t="s">
        <v>17</v>
      </c>
      <c r="D70" s="7" t="s">
        <v>14</v>
      </c>
      <c r="E70" s="7" t="s">
        <v>4</v>
      </c>
      <c r="F70" s="8">
        <v>709350</v>
      </c>
      <c r="G70" s="9">
        <v>39</v>
      </c>
      <c r="H70" s="10" t="s">
        <v>88</v>
      </c>
      <c r="I70" s="5" t="str">
        <f>CHOOSE(MATCH(B70,{"Январь","Февраль","Март","Апрель","Май","Июнь","Июль","Август","Сентябрь","Октябрь","Ноябрь","Декабрь"},0),
"Jan","Feb","Mar","Apr","May","Jun","Jul","Aug","Sep","Oct","Nov","Dec")</f>
        <v>Jul</v>
      </c>
      <c r="J70" s="36"/>
      <c r="K70" s="37"/>
      <c r="L70" s="37"/>
      <c r="M70" s="37"/>
      <c r="N70" s="37"/>
      <c r="O70" s="37"/>
      <c r="P70" s="37"/>
      <c r="Q70" s="37"/>
      <c r="R70" s="37"/>
      <c r="S70" s="38"/>
    </row>
    <row r="71" spans="1:19" ht="16" customHeight="1" x14ac:dyDescent="0.35">
      <c r="A71" s="6">
        <v>2022</v>
      </c>
      <c r="B71" s="7" t="s">
        <v>81</v>
      </c>
      <c r="C71" s="7" t="s">
        <v>6</v>
      </c>
      <c r="D71" s="7" t="s">
        <v>3</v>
      </c>
      <c r="E71" s="7" t="s">
        <v>8</v>
      </c>
      <c r="F71" s="8">
        <v>272920</v>
      </c>
      <c r="G71" s="9">
        <v>15</v>
      </c>
      <c r="H71" s="10" t="s">
        <v>89</v>
      </c>
      <c r="I71" s="5" t="str">
        <f>CHOOSE(MATCH(B71,{"Январь","Февраль","Март","Апрель","Май","Июнь","Июль","Август","Сентябрь","Октябрь","Ноябрь","Декабрь"},0),
"Jan","Feb","Mar","Apr","May","Jun","Jul","Aug","Sep","Oct","Nov","Dec")</f>
        <v>Jul</v>
      </c>
      <c r="J71" s="36"/>
      <c r="K71" s="37"/>
      <c r="L71" s="37"/>
      <c r="M71" s="37"/>
      <c r="N71" s="37"/>
      <c r="O71" s="37"/>
      <c r="P71" s="37"/>
      <c r="Q71" s="37"/>
      <c r="R71" s="37"/>
      <c r="S71" s="38"/>
    </row>
    <row r="72" spans="1:19" ht="16" customHeight="1" x14ac:dyDescent="0.35">
      <c r="A72" s="6">
        <v>2022</v>
      </c>
      <c r="B72" s="7" t="s">
        <v>81</v>
      </c>
      <c r="C72" s="7" t="s">
        <v>2</v>
      </c>
      <c r="D72" s="7" t="s">
        <v>14</v>
      </c>
      <c r="E72" s="7" t="s">
        <v>15</v>
      </c>
      <c r="F72" s="8">
        <v>277500</v>
      </c>
      <c r="G72" s="9">
        <v>17</v>
      </c>
      <c r="H72" s="10" t="s">
        <v>90</v>
      </c>
      <c r="I72" s="5" t="str">
        <f>CHOOSE(MATCH(B72,{"Январь","Февраль","Март","Апрель","Май","Июнь","Июль","Август","Сентябрь","Октябрь","Ноябрь","Декабрь"},0),
"Jan","Feb","Mar","Apr","May","Jun","Jul","Aug","Sep","Oct","Nov","Dec")</f>
        <v>Jul</v>
      </c>
      <c r="J72" s="36"/>
      <c r="K72" s="37"/>
      <c r="L72" s="37"/>
      <c r="M72" s="37"/>
      <c r="N72" s="37"/>
      <c r="O72" s="37"/>
      <c r="P72" s="37"/>
      <c r="Q72" s="37"/>
      <c r="R72" s="37"/>
      <c r="S72" s="38"/>
    </row>
    <row r="73" spans="1:19" ht="16" customHeight="1" x14ac:dyDescent="0.35">
      <c r="A73" s="6">
        <v>2022</v>
      </c>
      <c r="B73" s="7" t="s">
        <v>81</v>
      </c>
      <c r="C73" s="7" t="s">
        <v>17</v>
      </c>
      <c r="D73" s="7" t="s">
        <v>18</v>
      </c>
      <c r="E73" s="7" t="s">
        <v>12</v>
      </c>
      <c r="F73" s="8">
        <v>365980</v>
      </c>
      <c r="G73" s="9">
        <v>28</v>
      </c>
      <c r="H73" s="10" t="s">
        <v>91</v>
      </c>
      <c r="I73" s="5" t="str">
        <f>CHOOSE(MATCH(B73,{"Январь","Февраль","Март","Апрель","Май","Июнь","Июль","Август","Сентябрь","Октябрь","Ноябрь","Декабрь"},0),
"Jan","Feb","Mar","Apr","May","Jun","Jul","Aug","Sep","Oct","Nov","Dec")</f>
        <v>Jul</v>
      </c>
      <c r="J73" s="36"/>
      <c r="K73" s="37"/>
      <c r="L73" s="37"/>
      <c r="M73" s="37"/>
      <c r="N73" s="37"/>
      <c r="O73" s="37"/>
      <c r="P73" s="37"/>
      <c r="Q73" s="37"/>
      <c r="R73" s="37"/>
      <c r="S73" s="38"/>
    </row>
    <row r="74" spans="1:19" ht="16" customHeight="1" x14ac:dyDescent="0.35">
      <c r="A74" s="6">
        <v>2022</v>
      </c>
      <c r="B74" s="7" t="s">
        <v>92</v>
      </c>
      <c r="C74" s="7" t="s">
        <v>10</v>
      </c>
      <c r="D74" s="7" t="s">
        <v>14</v>
      </c>
      <c r="E74" s="7" t="s">
        <v>8</v>
      </c>
      <c r="F74" s="8">
        <v>391170</v>
      </c>
      <c r="G74" s="9">
        <v>15</v>
      </c>
      <c r="H74" s="10" t="s">
        <v>93</v>
      </c>
      <c r="I74" s="5" t="str">
        <f>CHOOSE(MATCH(B74,{"Январь","Февраль","Март","Апрель","Май","Июнь","Июль","Август","Сентябрь","Октябрь","Ноябрь","Декабрь"},0),
"Jan","Feb","Mar","Apr","May","Jun","Jul","Aug","Sep","Oct","Nov","Dec")</f>
        <v>Aug</v>
      </c>
      <c r="J74" s="36"/>
      <c r="K74" s="37"/>
      <c r="L74" s="37"/>
      <c r="M74" s="37"/>
      <c r="N74" s="37"/>
      <c r="O74" s="37"/>
      <c r="P74" s="37"/>
      <c r="Q74" s="37"/>
      <c r="R74" s="37"/>
      <c r="S74" s="38"/>
    </row>
    <row r="75" spans="1:19" ht="16" customHeight="1" x14ac:dyDescent="0.35">
      <c r="A75" s="6">
        <v>2022</v>
      </c>
      <c r="B75" s="7" t="s">
        <v>92</v>
      </c>
      <c r="C75" s="7" t="s">
        <v>2</v>
      </c>
      <c r="D75" s="7" t="s">
        <v>11</v>
      </c>
      <c r="E75" s="7" t="s">
        <v>12</v>
      </c>
      <c r="F75" s="8">
        <v>504280</v>
      </c>
      <c r="G75" s="9">
        <v>34</v>
      </c>
      <c r="H75" s="10" t="s">
        <v>94</v>
      </c>
      <c r="I75" s="5" t="str">
        <f>CHOOSE(MATCH(B75,{"Январь","Февраль","Март","Апрель","Май","Июнь","Июль","Август","Сентябрь","Октябрь","Ноябрь","Декабрь"},0),
"Jan","Feb","Mar","Apr","May","Jun","Jul","Aug","Sep","Oct","Nov","Dec")</f>
        <v>Aug</v>
      </c>
      <c r="J75" s="39"/>
      <c r="K75" s="40"/>
      <c r="L75" s="40"/>
      <c r="M75" s="40"/>
      <c r="N75" s="40"/>
      <c r="O75" s="40"/>
      <c r="P75" s="40"/>
      <c r="Q75" s="40"/>
      <c r="R75" s="40"/>
      <c r="S75" s="41"/>
    </row>
    <row r="76" spans="1:19" ht="16" customHeight="1" x14ac:dyDescent="0.35">
      <c r="A76" s="6">
        <v>2022</v>
      </c>
      <c r="B76" s="7" t="s">
        <v>92</v>
      </c>
      <c r="C76" s="7" t="s">
        <v>17</v>
      </c>
      <c r="D76" s="7" t="s">
        <v>7</v>
      </c>
      <c r="E76" s="7" t="s">
        <v>4</v>
      </c>
      <c r="F76" s="8">
        <v>525930</v>
      </c>
      <c r="G76" s="9">
        <v>29</v>
      </c>
      <c r="H76" s="10" t="s">
        <v>95</v>
      </c>
      <c r="I76" s="5" t="str">
        <f>CHOOSE(MATCH(B76,{"Январь","Февраль","Март","Апрель","Май","Июнь","Июль","Август","Сентябрь","Октябрь","Ноябрь","Декабрь"},0),
"Jan","Feb","Mar","Apr","May","Jun","Jul","Aug","Sep","Oct","Nov","Dec")</f>
        <v>Aug</v>
      </c>
      <c r="J76" s="32"/>
      <c r="K76" s="32"/>
      <c r="L76" s="32"/>
      <c r="M76" s="32"/>
      <c r="N76" s="32"/>
      <c r="O76" s="32"/>
      <c r="P76" s="32"/>
      <c r="Q76" s="32"/>
      <c r="R76" s="32"/>
      <c r="S76" s="32"/>
    </row>
    <row r="77" spans="1:19" x14ac:dyDescent="0.35">
      <c r="A77" s="6">
        <v>2022</v>
      </c>
      <c r="B77" s="7" t="s">
        <v>92</v>
      </c>
      <c r="C77" s="7" t="s">
        <v>22</v>
      </c>
      <c r="D77" s="7" t="s">
        <v>11</v>
      </c>
      <c r="E77" s="7" t="s">
        <v>4</v>
      </c>
      <c r="F77" s="8">
        <v>439620</v>
      </c>
      <c r="G77" s="9">
        <v>29</v>
      </c>
      <c r="H77" s="10" t="s">
        <v>96</v>
      </c>
      <c r="I77" s="5" t="str">
        <f>CHOOSE(MATCH(B77,{"Январь","Февраль","Март","Апрель","Май","Июнь","Июль","Август","Сентябрь","Октябрь","Ноябрь","Декабрь"},0),
"Jan","Feb","Mar","Apr","May","Jun","Jul","Aug","Sep","Oct","Nov","Dec")</f>
        <v>Aug</v>
      </c>
      <c r="J77" s="32"/>
      <c r="K77" s="32"/>
      <c r="L77" s="32"/>
      <c r="M77" s="32"/>
      <c r="N77" s="32"/>
      <c r="O77" s="32"/>
      <c r="P77" s="32"/>
      <c r="Q77" s="32"/>
      <c r="R77" s="32"/>
      <c r="S77" s="32"/>
    </row>
    <row r="78" spans="1:19" x14ac:dyDescent="0.35">
      <c r="A78" s="6">
        <v>2022</v>
      </c>
      <c r="B78" s="7" t="s">
        <v>92</v>
      </c>
      <c r="C78" s="7" t="s">
        <v>17</v>
      </c>
      <c r="D78" s="7" t="s">
        <v>14</v>
      </c>
      <c r="E78" s="7" t="s">
        <v>8</v>
      </c>
      <c r="F78" s="8">
        <v>777640</v>
      </c>
      <c r="G78" s="9">
        <v>38</v>
      </c>
      <c r="H78" s="10" t="s">
        <v>97</v>
      </c>
      <c r="I78" s="5" t="str">
        <f>CHOOSE(MATCH(B78,{"Январь","Февраль","Март","Апрель","Май","Июнь","Июль","Август","Сентябрь","Октябрь","Ноябрь","Декабрь"},0),
"Jan","Feb","Mar","Apr","May","Jun","Jul","Aug","Sep","Oct","Nov","Dec")</f>
        <v>Aug</v>
      </c>
      <c r="J78" s="32"/>
      <c r="K78" s="32"/>
      <c r="L78" s="32"/>
      <c r="M78" s="32"/>
      <c r="N78" s="32"/>
      <c r="O78" s="32"/>
      <c r="P78" s="32"/>
      <c r="Q78" s="32"/>
      <c r="R78" s="32"/>
      <c r="S78" s="32"/>
    </row>
    <row r="79" spans="1:19" x14ac:dyDescent="0.35">
      <c r="A79" s="6">
        <v>2022</v>
      </c>
      <c r="B79" s="7" t="s">
        <v>92</v>
      </c>
      <c r="C79" s="7" t="s">
        <v>2</v>
      </c>
      <c r="D79" s="7" t="s">
        <v>7</v>
      </c>
      <c r="E79" s="7" t="s">
        <v>4</v>
      </c>
      <c r="F79" s="8">
        <v>340430</v>
      </c>
      <c r="G79" s="9">
        <v>19</v>
      </c>
      <c r="H79" s="10" t="s">
        <v>98</v>
      </c>
      <c r="I79" s="5" t="str">
        <f>CHOOSE(MATCH(B79,{"Январь","Февраль","Март","Апрель","Май","Июнь","Июль","Август","Сентябрь","Октябрь","Ноябрь","Декабрь"},0),
"Jan","Feb","Mar","Apr","May","Jun","Jul","Aug","Sep","Oct","Nov","Dec")</f>
        <v>Aug</v>
      </c>
      <c r="J79" s="32"/>
      <c r="K79" s="32"/>
      <c r="L79" s="32"/>
      <c r="M79" s="32"/>
      <c r="N79" s="32"/>
      <c r="O79" s="32"/>
      <c r="P79" s="32"/>
      <c r="Q79" s="32"/>
      <c r="R79" s="32"/>
      <c r="S79" s="32"/>
    </row>
    <row r="80" spans="1:19" x14ac:dyDescent="0.35">
      <c r="A80" s="6">
        <v>2022</v>
      </c>
      <c r="B80" s="7" t="s">
        <v>92</v>
      </c>
      <c r="C80" s="7" t="s">
        <v>17</v>
      </c>
      <c r="D80" s="7" t="s">
        <v>11</v>
      </c>
      <c r="E80" s="7" t="s">
        <v>8</v>
      </c>
      <c r="F80" s="8">
        <v>469960</v>
      </c>
      <c r="G80" s="9">
        <v>22</v>
      </c>
      <c r="H80" s="10" t="s">
        <v>99</v>
      </c>
      <c r="I80" s="5" t="str">
        <f>CHOOSE(MATCH(B80,{"Январь","Февраль","Март","Апрель","Май","Июнь","Июль","Август","Сентябрь","Октябрь","Ноябрь","Декабрь"},0),
"Jan","Feb","Mar","Apr","May","Jun","Jul","Aug","Sep","Oct","Nov","Dec")</f>
        <v>Aug</v>
      </c>
    </row>
    <row r="81" spans="1:9" x14ac:dyDescent="0.35">
      <c r="A81" s="6">
        <v>2022</v>
      </c>
      <c r="B81" s="7" t="s">
        <v>92</v>
      </c>
      <c r="C81" s="7" t="s">
        <v>22</v>
      </c>
      <c r="D81" s="7" t="s">
        <v>7</v>
      </c>
      <c r="E81" s="7" t="s">
        <v>15</v>
      </c>
      <c r="F81" s="8">
        <v>205960</v>
      </c>
      <c r="G81" s="9">
        <v>15</v>
      </c>
      <c r="H81" s="10" t="s">
        <v>100</v>
      </c>
      <c r="I81" s="5" t="str">
        <f>CHOOSE(MATCH(B81,{"Январь","Февраль","Март","Апрель","Май","Июнь","Июль","Август","Сентябрь","Октябрь","Ноябрь","Декабрь"},0),
"Jan","Feb","Mar","Apr","May","Jun","Jul","Aug","Sep","Oct","Nov","Dec")</f>
        <v>Aug</v>
      </c>
    </row>
    <row r="82" spans="1:9" x14ac:dyDescent="0.35">
      <c r="A82" s="6">
        <v>2022</v>
      </c>
      <c r="B82" s="7" t="s">
        <v>92</v>
      </c>
      <c r="C82" s="7" t="s">
        <v>6</v>
      </c>
      <c r="D82" s="7" t="s">
        <v>14</v>
      </c>
      <c r="E82" s="7" t="s">
        <v>4</v>
      </c>
      <c r="F82" s="8">
        <v>439200</v>
      </c>
      <c r="G82" s="9">
        <v>26</v>
      </c>
      <c r="H82" s="10" t="s">
        <v>101</v>
      </c>
      <c r="I82" s="5" t="str">
        <f>CHOOSE(MATCH(B82,{"Январь","Февраль","Март","Апрель","Май","Июнь","Июль","Август","Сентябрь","Октябрь","Ноябрь","Декабрь"},0),
"Jan","Feb","Mar","Apr","May","Jun","Jul","Aug","Sep","Oct","Nov","Dec")</f>
        <v>Aug</v>
      </c>
    </row>
    <row r="83" spans="1:9" x14ac:dyDescent="0.35">
      <c r="A83" s="6">
        <v>2022</v>
      </c>
      <c r="B83" s="7" t="s">
        <v>92</v>
      </c>
      <c r="C83" s="7" t="s">
        <v>2</v>
      </c>
      <c r="D83" s="7" t="s">
        <v>14</v>
      </c>
      <c r="E83" s="7" t="s">
        <v>12</v>
      </c>
      <c r="F83" s="8">
        <v>420700</v>
      </c>
      <c r="G83" s="9">
        <v>29</v>
      </c>
      <c r="H83" s="10" t="s">
        <v>102</v>
      </c>
      <c r="I83" s="5" t="str">
        <f>CHOOSE(MATCH(B83,{"Январь","Февраль","Март","Апрель","Май","Июнь","Июль","Август","Сентябрь","Октябрь","Ноябрь","Декабрь"},0),
"Jan","Feb","Mar","Apr","May","Jun","Jul","Aug","Sep","Oct","Nov","Dec")</f>
        <v>Aug</v>
      </c>
    </row>
    <row r="84" spans="1:9" x14ac:dyDescent="0.35">
      <c r="A84" s="6">
        <v>2022</v>
      </c>
      <c r="B84" s="7" t="s">
        <v>103</v>
      </c>
      <c r="C84" s="7" t="s">
        <v>6</v>
      </c>
      <c r="D84" s="7" t="s">
        <v>7</v>
      </c>
      <c r="E84" s="7" t="s">
        <v>12</v>
      </c>
      <c r="F84" s="8">
        <v>348110</v>
      </c>
      <c r="G84" s="9">
        <v>29</v>
      </c>
      <c r="H84" s="10" t="s">
        <v>104</v>
      </c>
      <c r="I84" s="5" t="str">
        <f>CHOOSE(MATCH(B84,{"Январь","Февраль","Март","Апрель","Май","Июнь","Июль","Август","Сентябрь","Октябрь","Ноябрь","Декабрь"},0),
"Jan","Feb","Mar","Apr","May","Jun","Jul","Aug","Sep","Oct","Nov","Dec")</f>
        <v>Sep</v>
      </c>
    </row>
    <row r="85" spans="1:9" x14ac:dyDescent="0.35">
      <c r="A85" s="6">
        <v>2022</v>
      </c>
      <c r="B85" s="7" t="s">
        <v>103</v>
      </c>
      <c r="C85" s="7" t="s">
        <v>17</v>
      </c>
      <c r="D85" s="7" t="s">
        <v>18</v>
      </c>
      <c r="E85" s="7" t="s">
        <v>12</v>
      </c>
      <c r="F85" s="8">
        <v>318760</v>
      </c>
      <c r="G85" s="9">
        <v>23</v>
      </c>
      <c r="H85" s="10" t="s">
        <v>105</v>
      </c>
      <c r="I85" s="5" t="str">
        <f>CHOOSE(MATCH(B85,{"Январь","Февраль","Март","Апрель","Май","Июнь","Июль","Август","Сентябрь","Октябрь","Ноябрь","Декабрь"},0),
"Jan","Feb","Mar","Apr","May","Jun","Jul","Aug","Sep","Oct","Nov","Dec")</f>
        <v>Sep</v>
      </c>
    </row>
    <row r="86" spans="1:9" x14ac:dyDescent="0.35">
      <c r="A86" s="6">
        <v>2022</v>
      </c>
      <c r="B86" s="7" t="s">
        <v>103</v>
      </c>
      <c r="C86" s="7" t="s">
        <v>17</v>
      </c>
      <c r="D86" s="7" t="s">
        <v>14</v>
      </c>
      <c r="E86" s="7" t="s">
        <v>8</v>
      </c>
      <c r="F86" s="8">
        <v>263220</v>
      </c>
      <c r="G86" s="9">
        <v>13</v>
      </c>
      <c r="H86" s="10" t="s">
        <v>106</v>
      </c>
      <c r="I86" s="5" t="str">
        <f>CHOOSE(MATCH(B86,{"Январь","Февраль","Март","Апрель","Май","Июнь","Июль","Август","Сентябрь","Октябрь","Ноябрь","Декабрь"},0),
"Jan","Feb","Mar","Apr","May","Jun","Jul","Aug","Sep","Oct","Nov","Dec")</f>
        <v>Sep</v>
      </c>
    </row>
    <row r="87" spans="1:9" x14ac:dyDescent="0.35">
      <c r="A87" s="6">
        <v>2022</v>
      </c>
      <c r="B87" s="7" t="s">
        <v>103</v>
      </c>
      <c r="C87" s="7" t="s">
        <v>2</v>
      </c>
      <c r="D87" s="7" t="s">
        <v>11</v>
      </c>
      <c r="E87" s="7" t="s">
        <v>15</v>
      </c>
      <c r="F87" s="8">
        <v>438740</v>
      </c>
      <c r="G87" s="9">
        <v>27</v>
      </c>
      <c r="H87" s="10" t="s">
        <v>107</v>
      </c>
      <c r="I87" s="5" t="str">
        <f>CHOOSE(MATCH(B87,{"Январь","Февраль","Март","Апрель","Май","Июнь","Июль","Август","Сентябрь","Октябрь","Ноябрь","Декабрь"},0),
"Jan","Feb","Mar","Apr","May","Jun","Jul","Aug","Sep","Oct","Nov","Dec")</f>
        <v>Sep</v>
      </c>
    </row>
    <row r="88" spans="1:9" x14ac:dyDescent="0.35">
      <c r="A88" s="6">
        <v>2022</v>
      </c>
      <c r="B88" s="7" t="s">
        <v>103</v>
      </c>
      <c r="C88" s="7" t="s">
        <v>22</v>
      </c>
      <c r="D88" s="7" t="s">
        <v>11</v>
      </c>
      <c r="E88" s="7" t="s">
        <v>4</v>
      </c>
      <c r="F88" s="8">
        <v>579020</v>
      </c>
      <c r="G88" s="9">
        <v>36</v>
      </c>
      <c r="H88" s="10" t="s">
        <v>108</v>
      </c>
      <c r="I88" s="5" t="str">
        <f>CHOOSE(MATCH(B88,{"Январь","Февраль","Март","Апрель","Май","Июнь","Июль","Август","Сентябрь","Октябрь","Ноябрь","Декабрь"},0),
"Jan","Feb","Mar","Apr","May","Jun","Jul","Aug","Sep","Oct","Nov","Dec")</f>
        <v>Sep</v>
      </c>
    </row>
    <row r="89" spans="1:9" x14ac:dyDescent="0.35">
      <c r="A89" s="6">
        <v>2022</v>
      </c>
      <c r="B89" s="7" t="s">
        <v>103</v>
      </c>
      <c r="C89" s="7" t="s">
        <v>10</v>
      </c>
      <c r="D89" s="7" t="s">
        <v>14</v>
      </c>
      <c r="E89" s="7" t="s">
        <v>4</v>
      </c>
      <c r="F89" s="8">
        <v>826170</v>
      </c>
      <c r="G89" s="9">
        <v>37</v>
      </c>
      <c r="H89" s="10" t="s">
        <v>109</v>
      </c>
      <c r="I89" s="5" t="str">
        <f>CHOOSE(MATCH(B89,{"Январь","Февраль","Март","Апрель","Май","Июнь","Июль","Август","Сентябрь","Октябрь","Ноябрь","Декабрь"},0),
"Jan","Feb","Mar","Apr","May","Jun","Jul","Aug","Sep","Oct","Nov","Dec")</f>
        <v>Sep</v>
      </c>
    </row>
    <row r="90" spans="1:9" x14ac:dyDescent="0.35">
      <c r="A90" s="6">
        <v>2022</v>
      </c>
      <c r="B90" s="7" t="s">
        <v>103</v>
      </c>
      <c r="C90" s="7" t="s">
        <v>17</v>
      </c>
      <c r="D90" s="7" t="s">
        <v>18</v>
      </c>
      <c r="E90" s="7" t="s">
        <v>12</v>
      </c>
      <c r="F90" s="8">
        <v>261580</v>
      </c>
      <c r="G90" s="9">
        <v>20</v>
      </c>
      <c r="H90" s="10" t="s">
        <v>110</v>
      </c>
      <c r="I90" s="5" t="str">
        <f>CHOOSE(MATCH(B90,{"Январь","Февраль","Март","Апрель","Май","Июнь","Июль","Август","Сентябрь","Октябрь","Ноябрь","Декабрь"},0),
"Jan","Feb","Mar","Apr","May","Jun","Jul","Aug","Sep","Oct","Nov","Dec")</f>
        <v>Sep</v>
      </c>
    </row>
    <row r="91" spans="1:9" x14ac:dyDescent="0.35">
      <c r="A91" s="6">
        <v>2022</v>
      </c>
      <c r="B91" s="7" t="s">
        <v>103</v>
      </c>
      <c r="C91" s="7" t="s">
        <v>22</v>
      </c>
      <c r="D91" s="7" t="s">
        <v>7</v>
      </c>
      <c r="E91" s="7" t="s">
        <v>4</v>
      </c>
      <c r="F91" s="8">
        <v>234970</v>
      </c>
      <c r="G91" s="9">
        <v>16</v>
      </c>
      <c r="H91" s="10" t="s">
        <v>111</v>
      </c>
      <c r="I91" s="5" t="str">
        <f>CHOOSE(MATCH(B91,{"Январь","Февраль","Март","Апрель","Май","Июнь","Июль","Август","Сентябрь","Октябрь","Ноябрь","Декабрь"},0),
"Jan","Feb","Mar","Apr","May","Jun","Jul","Aug","Sep","Oct","Nov","Dec")</f>
        <v>Sep</v>
      </c>
    </row>
    <row r="92" spans="1:9" x14ac:dyDescent="0.35">
      <c r="A92" s="6">
        <v>2022</v>
      </c>
      <c r="B92" s="7" t="s">
        <v>103</v>
      </c>
      <c r="C92" s="7" t="s">
        <v>10</v>
      </c>
      <c r="D92" s="7" t="s">
        <v>14</v>
      </c>
      <c r="E92" s="7" t="s">
        <v>12</v>
      </c>
      <c r="F92" s="8">
        <v>310700</v>
      </c>
      <c r="G92" s="9">
        <v>19</v>
      </c>
      <c r="H92" s="10" t="s">
        <v>112</v>
      </c>
      <c r="I92" s="5" t="str">
        <f>CHOOSE(MATCH(B92,{"Январь","Февраль","Март","Апрель","Май","Июнь","Июль","Август","Сентябрь","Октябрь","Ноябрь","Декабрь"},0),
"Jan","Feb","Mar","Apr","May","Jun","Jul","Aug","Sep","Oct","Nov","Dec")</f>
        <v>Sep</v>
      </c>
    </row>
    <row r="93" spans="1:9" x14ac:dyDescent="0.35">
      <c r="A93" s="6">
        <v>2022</v>
      </c>
      <c r="B93" s="7" t="s">
        <v>103</v>
      </c>
      <c r="C93" s="7" t="s">
        <v>2</v>
      </c>
      <c r="D93" s="7" t="s">
        <v>18</v>
      </c>
      <c r="E93" s="7" t="s">
        <v>15</v>
      </c>
      <c r="F93" s="8">
        <v>207950</v>
      </c>
      <c r="G93" s="9">
        <v>13</v>
      </c>
      <c r="H93" s="10" t="s">
        <v>113</v>
      </c>
      <c r="I93" s="5" t="str">
        <f>CHOOSE(MATCH(B93,{"Январь","Февраль","Март","Апрель","Май","Июнь","Июль","Август","Сентябрь","Октябрь","Ноябрь","Декабрь"},0),
"Jan","Feb","Mar","Apr","May","Jun","Jul","Aug","Sep","Oct","Nov","Dec")</f>
        <v>Sep</v>
      </c>
    </row>
    <row r="94" spans="1:9" x14ac:dyDescent="0.35">
      <c r="A94" s="6">
        <v>2022</v>
      </c>
      <c r="B94" s="7" t="s">
        <v>114</v>
      </c>
      <c r="C94" s="7" t="s">
        <v>22</v>
      </c>
      <c r="D94" s="7" t="s">
        <v>18</v>
      </c>
      <c r="E94" s="7" t="s">
        <v>4</v>
      </c>
      <c r="F94" s="8">
        <v>324280</v>
      </c>
      <c r="G94" s="9">
        <v>22</v>
      </c>
      <c r="H94" s="10" t="s">
        <v>115</v>
      </c>
      <c r="I94" s="5" t="str">
        <f>CHOOSE(MATCH(B94,{"Январь","Февраль","Март","Апрель","Май","Июнь","Июль","Август","Сентябрь","Октябрь","Ноябрь","Декабрь"},0),
"Jan","Feb","Mar","Apr","May","Jun","Jul","Aug","Sep","Oct","Nov","Dec")</f>
        <v>Oct</v>
      </c>
    </row>
    <row r="95" spans="1:9" x14ac:dyDescent="0.35">
      <c r="A95" s="6">
        <v>2022</v>
      </c>
      <c r="B95" s="7" t="s">
        <v>114</v>
      </c>
      <c r="C95" s="7" t="s">
        <v>17</v>
      </c>
      <c r="D95" s="7" t="s">
        <v>7</v>
      </c>
      <c r="E95" s="7" t="s">
        <v>15</v>
      </c>
      <c r="F95" s="8">
        <v>561590</v>
      </c>
      <c r="G95" s="9">
        <v>38</v>
      </c>
      <c r="H95" s="10" t="s">
        <v>116</v>
      </c>
      <c r="I95" s="5" t="str">
        <f>CHOOSE(MATCH(B95,{"Январь","Февраль","Март","Апрель","Май","Июнь","Июль","Август","Сентябрь","Октябрь","Ноябрь","Декабрь"},0),
"Jan","Feb","Mar","Apr","May","Jun","Jul","Aug","Sep","Oct","Nov","Dec")</f>
        <v>Oct</v>
      </c>
    </row>
    <row r="96" spans="1:9" x14ac:dyDescent="0.35">
      <c r="A96" s="6">
        <v>2022</v>
      </c>
      <c r="B96" s="7" t="s">
        <v>114</v>
      </c>
      <c r="C96" s="7" t="s">
        <v>2</v>
      </c>
      <c r="D96" s="7" t="s">
        <v>3</v>
      </c>
      <c r="E96" s="7" t="s">
        <v>8</v>
      </c>
      <c r="F96" s="8">
        <v>734730</v>
      </c>
      <c r="G96" s="9">
        <v>32</v>
      </c>
      <c r="H96" s="10" t="s">
        <v>117</v>
      </c>
      <c r="I96" s="5" t="str">
        <f>CHOOSE(MATCH(B96,{"Январь","Февраль","Март","Апрель","Май","Июнь","Июль","Август","Сентябрь","Октябрь","Ноябрь","Декабрь"},0),
"Jan","Feb","Mar","Apr","May","Jun","Jul","Aug","Sep","Oct","Nov","Dec")</f>
        <v>Oct</v>
      </c>
    </row>
    <row r="97" spans="1:9" x14ac:dyDescent="0.35">
      <c r="A97" s="6">
        <v>2022</v>
      </c>
      <c r="B97" s="7" t="s">
        <v>114</v>
      </c>
      <c r="C97" s="7" t="s">
        <v>6</v>
      </c>
      <c r="D97" s="7" t="s">
        <v>11</v>
      </c>
      <c r="E97" s="7" t="s">
        <v>8</v>
      </c>
      <c r="F97" s="8">
        <v>683950</v>
      </c>
      <c r="G97" s="9">
        <v>36</v>
      </c>
      <c r="H97" s="10" t="s">
        <v>118</v>
      </c>
      <c r="I97" s="5" t="str">
        <f>CHOOSE(MATCH(B97,{"Январь","Февраль","Март","Апрель","Май","Июнь","Июль","Август","Сентябрь","Октябрь","Ноябрь","Декабрь"},0),
"Jan","Feb","Mar","Apr","May","Jun","Jul","Aug","Sep","Oct","Nov","Dec")</f>
        <v>Oct</v>
      </c>
    </row>
    <row r="98" spans="1:9" x14ac:dyDescent="0.35">
      <c r="A98" s="6">
        <v>2022</v>
      </c>
      <c r="B98" s="7" t="s">
        <v>114</v>
      </c>
      <c r="C98" s="7" t="s">
        <v>2</v>
      </c>
      <c r="D98" s="7" t="s">
        <v>11</v>
      </c>
      <c r="E98" s="7" t="s">
        <v>4</v>
      </c>
      <c r="F98" s="8">
        <v>498040</v>
      </c>
      <c r="G98" s="9">
        <v>26</v>
      </c>
      <c r="H98" s="10" t="s">
        <v>119</v>
      </c>
      <c r="I98" s="5" t="str">
        <f>CHOOSE(MATCH(B98,{"Январь","Февраль","Март","Апрель","Май","Июнь","Июль","Август","Сентябрь","Октябрь","Ноябрь","Декабрь"},0),
"Jan","Feb","Mar","Apr","May","Jun","Jul","Aug","Sep","Oct","Nov","Dec")</f>
        <v>Oct</v>
      </c>
    </row>
    <row r="99" spans="1:9" x14ac:dyDescent="0.35">
      <c r="A99" s="6">
        <v>2022</v>
      </c>
      <c r="B99" s="7" t="s">
        <v>114</v>
      </c>
      <c r="C99" s="7" t="s">
        <v>6</v>
      </c>
      <c r="D99" s="7" t="s">
        <v>18</v>
      </c>
      <c r="E99" s="7" t="s">
        <v>15</v>
      </c>
      <c r="F99" s="8">
        <v>553490</v>
      </c>
      <c r="G99" s="9">
        <v>41</v>
      </c>
      <c r="H99" s="10" t="s">
        <v>120</v>
      </c>
      <c r="I99" s="5" t="str">
        <f>CHOOSE(MATCH(B99,{"Январь","Февраль","Март","Апрель","Май","Июнь","Июль","Август","Сентябрь","Октябрь","Ноябрь","Декабрь"},0),
"Jan","Feb","Mar","Apr","May","Jun","Jul","Aug","Sep","Oct","Nov","Dec")</f>
        <v>Oct</v>
      </c>
    </row>
    <row r="100" spans="1:9" x14ac:dyDescent="0.35">
      <c r="A100" s="6">
        <v>2022</v>
      </c>
      <c r="B100" s="7" t="s">
        <v>114</v>
      </c>
      <c r="C100" s="7" t="s">
        <v>10</v>
      </c>
      <c r="D100" s="7" t="s">
        <v>11</v>
      </c>
      <c r="E100" s="7" t="s">
        <v>12</v>
      </c>
      <c r="F100" s="8">
        <v>469050</v>
      </c>
      <c r="G100" s="9">
        <v>27</v>
      </c>
      <c r="H100" s="10" t="s">
        <v>121</v>
      </c>
      <c r="I100" s="5" t="str">
        <f>CHOOSE(MATCH(B100,{"Январь","Февраль","Март","Апрель","Май","Июнь","Июль","Август","Сентябрь","Октябрь","Ноябрь","Декабрь"},0),
"Jan","Feb","Mar","Apr","May","Jun","Jul","Aug","Sep","Oct","Nov","Dec")</f>
        <v>Oct</v>
      </c>
    </row>
    <row r="101" spans="1:9" x14ac:dyDescent="0.35">
      <c r="A101" s="6">
        <v>2022</v>
      </c>
      <c r="B101" s="7" t="s">
        <v>114</v>
      </c>
      <c r="C101" s="7" t="s">
        <v>6</v>
      </c>
      <c r="D101" s="7" t="s">
        <v>11</v>
      </c>
      <c r="E101" s="7" t="s">
        <v>15</v>
      </c>
      <c r="F101" s="8">
        <v>314410</v>
      </c>
      <c r="G101" s="9">
        <v>21</v>
      </c>
      <c r="H101" s="10" t="s">
        <v>122</v>
      </c>
      <c r="I101" s="5" t="str">
        <f>CHOOSE(MATCH(B101,{"Январь","Февраль","Март","Апрель","Май","Июнь","Июль","Август","Сентябрь","Октябрь","Ноябрь","Декабрь"},0),
"Jan","Feb","Mar","Apr","May","Jun","Jul","Aug","Sep","Oct","Nov","Dec")</f>
        <v>Oct</v>
      </c>
    </row>
    <row r="102" spans="1:9" x14ac:dyDescent="0.35">
      <c r="A102" s="6">
        <v>2022</v>
      </c>
      <c r="B102" s="7" t="s">
        <v>114</v>
      </c>
      <c r="C102" s="7" t="s">
        <v>6</v>
      </c>
      <c r="D102" s="7" t="s">
        <v>3</v>
      </c>
      <c r="E102" s="7" t="s">
        <v>12</v>
      </c>
      <c r="F102" s="8">
        <v>444330</v>
      </c>
      <c r="G102" s="9">
        <v>37</v>
      </c>
      <c r="H102" s="10" t="s">
        <v>123</v>
      </c>
      <c r="I102" s="5" t="str">
        <f>CHOOSE(MATCH(B102,{"Январь","Февраль","Март","Апрель","Май","Июнь","Июль","Август","Сентябрь","Октябрь","Ноябрь","Декабрь"},0),
"Jan","Feb","Mar","Apr","May","Jun","Jul","Aug","Sep","Oct","Nov","Dec")</f>
        <v>Oct</v>
      </c>
    </row>
    <row r="103" spans="1:9" x14ac:dyDescent="0.35">
      <c r="A103" s="6">
        <v>2022</v>
      </c>
      <c r="B103" s="7" t="s">
        <v>114</v>
      </c>
      <c r="C103" s="7" t="s">
        <v>6</v>
      </c>
      <c r="D103" s="7" t="s">
        <v>7</v>
      </c>
      <c r="E103" s="7" t="s">
        <v>4</v>
      </c>
      <c r="F103" s="8">
        <v>264590</v>
      </c>
      <c r="G103" s="9">
        <v>17</v>
      </c>
      <c r="H103" s="10" t="s">
        <v>124</v>
      </c>
      <c r="I103" s="5" t="str">
        <f>CHOOSE(MATCH(B103,{"Январь","Февраль","Март","Апрель","Май","Июнь","Июль","Август","Сентябрь","Октябрь","Ноябрь","Декабрь"},0),
"Jan","Feb","Mar","Apr","May","Jun","Jul","Aug","Sep","Oct","Nov","Dec")</f>
        <v>Oct</v>
      </c>
    </row>
    <row r="104" spans="1:9" x14ac:dyDescent="0.35">
      <c r="A104" s="6">
        <v>2022</v>
      </c>
      <c r="B104" s="7" t="s">
        <v>125</v>
      </c>
      <c r="C104" s="7" t="s">
        <v>10</v>
      </c>
      <c r="D104" s="7" t="s">
        <v>14</v>
      </c>
      <c r="E104" s="7" t="s">
        <v>8</v>
      </c>
      <c r="F104" s="8">
        <v>698350</v>
      </c>
      <c r="G104" s="9">
        <v>27</v>
      </c>
      <c r="H104" s="10" t="s">
        <v>126</v>
      </c>
      <c r="I104" s="5" t="str">
        <f>CHOOSE(MATCH(B104,{"Январь","Февраль","Март","Апрель","Май","Июнь","Июль","Август","Сентябрь","Октябрь","Ноябрь","Декабрь"},0),
"Jan","Feb","Mar","Apr","May","Jun","Jul","Aug","Sep","Oct","Nov","Dec")</f>
        <v>Nov</v>
      </c>
    </row>
    <row r="105" spans="1:9" x14ac:dyDescent="0.35">
      <c r="A105" s="6">
        <v>2022</v>
      </c>
      <c r="B105" s="7" t="s">
        <v>125</v>
      </c>
      <c r="C105" s="7" t="s">
        <v>10</v>
      </c>
      <c r="D105" s="7" t="s">
        <v>7</v>
      </c>
      <c r="E105" s="7" t="s">
        <v>8</v>
      </c>
      <c r="F105" s="8">
        <v>743230</v>
      </c>
      <c r="G105" s="9">
        <v>30</v>
      </c>
      <c r="H105" s="10" t="s">
        <v>127</v>
      </c>
      <c r="I105" s="5" t="str">
        <f>CHOOSE(MATCH(B105,{"Январь","Февраль","Март","Апрель","Май","Июнь","Июль","Август","Сентябрь","Октябрь","Ноябрь","Декабрь"},0),
"Jan","Feb","Mar","Apr","May","Jun","Jul","Aug","Sep","Oct","Nov","Dec")</f>
        <v>Nov</v>
      </c>
    </row>
    <row r="106" spans="1:9" x14ac:dyDescent="0.35">
      <c r="A106" s="6">
        <v>2022</v>
      </c>
      <c r="B106" s="7" t="s">
        <v>125</v>
      </c>
      <c r="C106" s="7" t="s">
        <v>2</v>
      </c>
      <c r="D106" s="7" t="s">
        <v>14</v>
      </c>
      <c r="E106" s="7" t="s">
        <v>12</v>
      </c>
      <c r="F106" s="8">
        <v>390590</v>
      </c>
      <c r="G106" s="9">
        <v>28</v>
      </c>
      <c r="H106" s="10" t="s">
        <v>128</v>
      </c>
      <c r="I106" s="5" t="str">
        <f>CHOOSE(MATCH(B106,{"Январь","Февраль","Март","Апрель","Май","Июнь","Июль","Август","Сентябрь","Октябрь","Ноябрь","Декабрь"},0),
"Jan","Feb","Mar","Apr","May","Jun","Jul","Aug","Sep","Oct","Nov","Dec")</f>
        <v>Nov</v>
      </c>
    </row>
    <row r="107" spans="1:9" x14ac:dyDescent="0.35">
      <c r="A107" s="6">
        <v>2022</v>
      </c>
      <c r="B107" s="7" t="s">
        <v>125</v>
      </c>
      <c r="C107" s="7" t="s">
        <v>22</v>
      </c>
      <c r="D107" s="7" t="s">
        <v>11</v>
      </c>
      <c r="E107" s="7" t="s">
        <v>8</v>
      </c>
      <c r="F107" s="8">
        <v>620670</v>
      </c>
      <c r="G107" s="9">
        <v>34</v>
      </c>
      <c r="H107" s="10" t="s">
        <v>129</v>
      </c>
      <c r="I107" s="5" t="str">
        <f>CHOOSE(MATCH(B107,{"Январь","Февраль","Март","Апрель","Май","Июнь","Июль","Август","Сентябрь","Октябрь","Ноябрь","Декабрь"},0),
"Jan","Feb","Mar","Apr","May","Jun","Jul","Aug","Sep","Oct","Nov","Dec")</f>
        <v>Nov</v>
      </c>
    </row>
    <row r="108" spans="1:9" x14ac:dyDescent="0.35">
      <c r="A108" s="6">
        <v>2022</v>
      </c>
      <c r="B108" s="7" t="s">
        <v>125</v>
      </c>
      <c r="C108" s="7" t="s">
        <v>6</v>
      </c>
      <c r="D108" s="7" t="s">
        <v>14</v>
      </c>
      <c r="E108" s="7" t="s">
        <v>8</v>
      </c>
      <c r="F108" s="8">
        <v>745810</v>
      </c>
      <c r="G108" s="9">
        <v>39</v>
      </c>
      <c r="H108" s="10" t="s">
        <v>130</v>
      </c>
      <c r="I108" s="5" t="str">
        <f>CHOOSE(MATCH(B108,{"Январь","Февраль","Март","Апрель","Май","Июнь","Июль","Август","Сентябрь","Октябрь","Ноябрь","Декабрь"},0),
"Jan","Feb","Mar","Apr","May","Jun","Jul","Aug","Sep","Oct","Nov","Dec")</f>
        <v>Nov</v>
      </c>
    </row>
    <row r="109" spans="1:9" x14ac:dyDescent="0.35">
      <c r="A109" s="6">
        <v>2022</v>
      </c>
      <c r="B109" s="7" t="s">
        <v>125</v>
      </c>
      <c r="C109" s="7" t="s">
        <v>6</v>
      </c>
      <c r="D109" s="7" t="s">
        <v>11</v>
      </c>
      <c r="E109" s="7" t="s">
        <v>15</v>
      </c>
      <c r="F109" s="8">
        <v>319370</v>
      </c>
      <c r="G109" s="9">
        <v>23</v>
      </c>
      <c r="H109" s="10" t="s">
        <v>131</v>
      </c>
      <c r="I109" s="5" t="str">
        <f>CHOOSE(MATCH(B109,{"Январь","Февраль","Март","Апрель","Май","Июнь","Июль","Август","Сентябрь","Октябрь","Ноябрь","Декабрь"},0),
"Jan","Feb","Mar","Apr","May","Jun","Jul","Aug","Sep","Oct","Nov","Dec")</f>
        <v>Nov</v>
      </c>
    </row>
    <row r="110" spans="1:9" x14ac:dyDescent="0.35">
      <c r="A110" s="6">
        <v>2022</v>
      </c>
      <c r="B110" s="7" t="s">
        <v>125</v>
      </c>
      <c r="C110" s="7" t="s">
        <v>2</v>
      </c>
      <c r="D110" s="7" t="s">
        <v>18</v>
      </c>
      <c r="E110" s="7" t="s">
        <v>15</v>
      </c>
      <c r="F110" s="8">
        <v>254240</v>
      </c>
      <c r="G110" s="9">
        <v>15</v>
      </c>
      <c r="H110" s="10" t="s">
        <v>132</v>
      </c>
      <c r="I110" s="5" t="str">
        <f>CHOOSE(MATCH(B110,{"Январь","Февраль","Март","Апрель","Май","Июнь","Июль","Август","Сентябрь","Октябрь","Ноябрь","Декабрь"},0),
"Jan","Feb","Mar","Apr","May","Jun","Jul","Aug","Sep","Oct","Nov","Dec")</f>
        <v>Nov</v>
      </c>
    </row>
    <row r="111" spans="1:9" x14ac:dyDescent="0.35">
      <c r="A111" s="6">
        <v>2022</v>
      </c>
      <c r="B111" s="7" t="s">
        <v>125</v>
      </c>
      <c r="C111" s="7" t="s">
        <v>10</v>
      </c>
      <c r="D111" s="7" t="s">
        <v>7</v>
      </c>
      <c r="E111" s="7" t="s">
        <v>4</v>
      </c>
      <c r="F111" s="8">
        <v>568030</v>
      </c>
      <c r="G111" s="9">
        <v>27</v>
      </c>
      <c r="H111" s="10" t="s">
        <v>133</v>
      </c>
      <c r="I111" s="5" t="str">
        <f>CHOOSE(MATCH(B111,{"Январь","Февраль","Март","Апрель","Май","Июнь","Июль","Август","Сентябрь","Октябрь","Ноябрь","Декабрь"},0),
"Jan","Feb","Mar","Apr","May","Jun","Jul","Aug","Sep","Oct","Nov","Dec")</f>
        <v>Nov</v>
      </c>
    </row>
    <row r="112" spans="1:9" x14ac:dyDescent="0.35">
      <c r="A112" s="6">
        <v>2022</v>
      </c>
      <c r="B112" s="7" t="s">
        <v>125</v>
      </c>
      <c r="C112" s="7" t="s">
        <v>2</v>
      </c>
      <c r="D112" s="7" t="s">
        <v>18</v>
      </c>
      <c r="E112" s="7" t="s">
        <v>8</v>
      </c>
      <c r="F112" s="8">
        <v>683130</v>
      </c>
      <c r="G112" s="9">
        <v>32</v>
      </c>
      <c r="H112" s="10" t="s">
        <v>134</v>
      </c>
      <c r="I112" s="5" t="str">
        <f>CHOOSE(MATCH(B112,{"Январь","Февраль","Март","Апрель","Май","Июнь","Июль","Август","Сентябрь","Октябрь","Ноябрь","Декабрь"},0),
"Jan","Feb","Mar","Apr","May","Jun","Jul","Aug","Sep","Oct","Nov","Dec")</f>
        <v>Nov</v>
      </c>
    </row>
    <row r="113" spans="1:9" x14ac:dyDescent="0.35">
      <c r="A113" s="6">
        <v>2022</v>
      </c>
      <c r="B113" s="7" t="s">
        <v>125</v>
      </c>
      <c r="C113" s="7" t="s">
        <v>22</v>
      </c>
      <c r="D113" s="7" t="s">
        <v>18</v>
      </c>
      <c r="E113" s="7" t="s">
        <v>4</v>
      </c>
      <c r="F113" s="8">
        <v>348330</v>
      </c>
      <c r="G113" s="9">
        <v>24</v>
      </c>
      <c r="H113" s="10" t="s">
        <v>135</v>
      </c>
      <c r="I113" s="5" t="str">
        <f>CHOOSE(MATCH(B113,{"Январь","Февраль","Март","Апрель","Май","Июнь","Июль","Август","Сентябрь","Октябрь","Ноябрь","Декабрь"},0),
"Jan","Feb","Mar","Apr","May","Jun","Jul","Aug","Sep","Oct","Nov","Dec")</f>
        <v>Nov</v>
      </c>
    </row>
    <row r="114" spans="1:9" x14ac:dyDescent="0.35">
      <c r="A114" s="6">
        <v>2022</v>
      </c>
      <c r="B114" s="7" t="s">
        <v>136</v>
      </c>
      <c r="C114" s="7" t="s">
        <v>17</v>
      </c>
      <c r="D114" s="7" t="s">
        <v>14</v>
      </c>
      <c r="E114" s="7" t="s">
        <v>4</v>
      </c>
      <c r="F114" s="8">
        <v>724970</v>
      </c>
      <c r="G114" s="9">
        <v>41</v>
      </c>
      <c r="H114" s="10" t="s">
        <v>137</v>
      </c>
      <c r="I114" s="5" t="str">
        <f>CHOOSE(MATCH(B114,{"Январь","Февраль","Март","Апрель","Май","Июнь","Июль","Август","Сентябрь","Октябрь","Ноябрь","Декабрь"},0),
"Jan","Feb","Mar","Apr","May","Jun","Jul","Aug","Sep","Oct","Nov","Dec")</f>
        <v>Dec</v>
      </c>
    </row>
    <row r="115" spans="1:9" x14ac:dyDescent="0.35">
      <c r="A115" s="6">
        <v>2022</v>
      </c>
      <c r="B115" s="7" t="s">
        <v>136</v>
      </c>
      <c r="C115" s="7" t="s">
        <v>6</v>
      </c>
      <c r="D115" s="7" t="s">
        <v>14</v>
      </c>
      <c r="E115" s="7" t="s">
        <v>12</v>
      </c>
      <c r="F115" s="8">
        <v>334910</v>
      </c>
      <c r="G115" s="9">
        <v>28</v>
      </c>
      <c r="H115" s="10" t="s">
        <v>138</v>
      </c>
      <c r="I115" s="5" t="str">
        <f>CHOOSE(MATCH(B115,{"Январь","Февраль","Март","Апрель","Май","Июнь","Июль","Август","Сентябрь","Октябрь","Ноябрь","Декабрь"},0),
"Jan","Feb","Mar","Apr","May","Jun","Jul","Aug","Sep","Oct","Nov","Dec")</f>
        <v>Dec</v>
      </c>
    </row>
    <row r="116" spans="1:9" x14ac:dyDescent="0.35">
      <c r="A116" s="6">
        <v>2022</v>
      </c>
      <c r="B116" s="7" t="s">
        <v>136</v>
      </c>
      <c r="C116" s="7" t="s">
        <v>2</v>
      </c>
      <c r="D116" s="7" t="s">
        <v>7</v>
      </c>
      <c r="E116" s="7" t="s">
        <v>12</v>
      </c>
      <c r="F116" s="8">
        <v>380170</v>
      </c>
      <c r="G116" s="9">
        <v>29</v>
      </c>
      <c r="H116" s="10" t="s">
        <v>139</v>
      </c>
      <c r="I116" s="5" t="str">
        <f>CHOOSE(MATCH(B116,{"Январь","Февраль","Март","Апрель","Май","Июнь","Июль","Август","Сентябрь","Октябрь","Ноябрь","Декабрь"},0),
"Jan","Feb","Mar","Apr","May","Jun","Jul","Aug","Sep","Oct","Nov","Dec")</f>
        <v>Dec</v>
      </c>
    </row>
    <row r="117" spans="1:9" x14ac:dyDescent="0.35">
      <c r="A117" s="6">
        <v>2022</v>
      </c>
      <c r="B117" s="7" t="s">
        <v>136</v>
      </c>
      <c r="C117" s="7" t="s">
        <v>17</v>
      </c>
      <c r="D117" s="7" t="s">
        <v>3</v>
      </c>
      <c r="E117" s="7" t="s">
        <v>8</v>
      </c>
      <c r="F117" s="8">
        <v>326620</v>
      </c>
      <c r="G117" s="9">
        <v>16</v>
      </c>
      <c r="H117" s="10" t="s">
        <v>140</v>
      </c>
      <c r="I117" s="5" t="str">
        <f>CHOOSE(MATCH(B117,{"Январь","Февраль","Март","Апрель","Май","Июнь","Июль","Август","Сентябрь","Октябрь","Ноябрь","Декабрь"},0),
"Jan","Feb","Mar","Apr","May","Jun","Jul","Aug","Sep","Oct","Nov","Dec")</f>
        <v>Dec</v>
      </c>
    </row>
    <row r="118" spans="1:9" x14ac:dyDescent="0.35">
      <c r="A118" s="6">
        <v>2022</v>
      </c>
      <c r="B118" s="7" t="s">
        <v>136</v>
      </c>
      <c r="C118" s="7" t="s">
        <v>6</v>
      </c>
      <c r="D118" s="7" t="s">
        <v>14</v>
      </c>
      <c r="E118" s="7" t="s">
        <v>8</v>
      </c>
      <c r="F118" s="8">
        <v>591640</v>
      </c>
      <c r="G118" s="9">
        <v>31</v>
      </c>
      <c r="H118" s="10" t="s">
        <v>141</v>
      </c>
      <c r="I118" s="5" t="str">
        <f>CHOOSE(MATCH(B118,{"Январь","Февраль","Март","Апрель","Май","Июнь","Июль","Август","Сентябрь","Октябрь","Ноябрь","Декабрь"},0),
"Jan","Feb","Mar","Apr","May","Jun","Jul","Aug","Sep","Oct","Nov","Dec")</f>
        <v>Dec</v>
      </c>
    </row>
    <row r="119" spans="1:9" x14ac:dyDescent="0.35">
      <c r="A119" s="6">
        <v>2022</v>
      </c>
      <c r="B119" s="7" t="s">
        <v>136</v>
      </c>
      <c r="C119" s="7" t="s">
        <v>22</v>
      </c>
      <c r="D119" s="7" t="s">
        <v>7</v>
      </c>
      <c r="E119" s="7" t="s">
        <v>8</v>
      </c>
      <c r="F119" s="8">
        <v>191220</v>
      </c>
      <c r="G119" s="9">
        <v>12</v>
      </c>
      <c r="H119" s="10" t="s">
        <v>142</v>
      </c>
      <c r="I119" s="5" t="str">
        <f>CHOOSE(MATCH(B119,{"Январь","Февраль","Март","Апрель","Май","Июнь","Июль","Август","Сентябрь","Октябрь","Ноябрь","Декабрь"},0),
"Jan","Feb","Mar","Apr","May","Jun","Jul","Aug","Sep","Oct","Nov","Dec")</f>
        <v>Dec</v>
      </c>
    </row>
    <row r="120" spans="1:9" x14ac:dyDescent="0.35">
      <c r="A120" s="6">
        <v>2022</v>
      </c>
      <c r="B120" s="7" t="s">
        <v>136</v>
      </c>
      <c r="C120" s="7" t="s">
        <v>2</v>
      </c>
      <c r="D120" s="7" t="s">
        <v>7</v>
      </c>
      <c r="E120" s="7" t="s">
        <v>8</v>
      </c>
      <c r="F120" s="8">
        <v>365210</v>
      </c>
      <c r="G120" s="9">
        <v>18</v>
      </c>
      <c r="H120" s="10" t="s">
        <v>143</v>
      </c>
      <c r="I120" s="5" t="str">
        <f>CHOOSE(MATCH(B120,{"Январь","Февраль","Март","Апрель","Май","Июнь","Июль","Август","Сентябрь","Октябрь","Ноябрь","Декабрь"},0),
"Jan","Feb","Mar","Apr","May","Jun","Jul","Aug","Sep","Oct","Nov","Dec")</f>
        <v>Dec</v>
      </c>
    </row>
    <row r="121" spans="1:9" x14ac:dyDescent="0.35">
      <c r="A121" s="6">
        <v>2022</v>
      </c>
      <c r="B121" s="7" t="s">
        <v>136</v>
      </c>
      <c r="C121" s="7" t="s">
        <v>17</v>
      </c>
      <c r="D121" s="7" t="s">
        <v>7</v>
      </c>
      <c r="E121" s="7" t="s">
        <v>15</v>
      </c>
      <c r="F121" s="8">
        <v>312000</v>
      </c>
      <c r="G121" s="9">
        <v>22</v>
      </c>
      <c r="H121" s="10" t="s">
        <v>144</v>
      </c>
      <c r="I121" s="5" t="str">
        <f>CHOOSE(MATCH(B121,{"Январь","Февраль","Март","Апрель","Май","Июнь","Июль","Август","Сентябрь","Октябрь","Ноябрь","Декабрь"},0),
"Jan","Feb","Mar","Apr","May","Jun","Jul","Aug","Sep","Oct","Nov","Dec")</f>
        <v>Dec</v>
      </c>
    </row>
    <row r="122" spans="1:9" x14ac:dyDescent="0.35">
      <c r="A122" s="6">
        <v>2022</v>
      </c>
      <c r="B122" s="7" t="s">
        <v>136</v>
      </c>
      <c r="C122" s="7" t="s">
        <v>2</v>
      </c>
      <c r="D122" s="7" t="s">
        <v>3</v>
      </c>
      <c r="E122" s="7" t="s">
        <v>4</v>
      </c>
      <c r="F122" s="8">
        <v>757120</v>
      </c>
      <c r="G122" s="9">
        <v>38</v>
      </c>
      <c r="H122" s="10" t="s">
        <v>145</v>
      </c>
      <c r="I122" s="5" t="str">
        <f>CHOOSE(MATCH(B122,{"Январь","Февраль","Март","Апрель","Май","Июнь","Июль","Август","Сентябрь","Октябрь","Ноябрь","Декабрь"},0),
"Jan","Feb","Mar","Apr","May","Jun","Jul","Aug","Sep","Oct","Nov","Dec")</f>
        <v>Dec</v>
      </c>
    </row>
    <row r="123" spans="1:9" x14ac:dyDescent="0.35">
      <c r="A123" s="6">
        <v>2022</v>
      </c>
      <c r="B123" s="7" t="s">
        <v>136</v>
      </c>
      <c r="C123" s="7" t="s">
        <v>6</v>
      </c>
      <c r="D123" s="7" t="s">
        <v>18</v>
      </c>
      <c r="E123" s="7" t="s">
        <v>4</v>
      </c>
      <c r="F123" s="8">
        <v>338630</v>
      </c>
      <c r="G123" s="9">
        <v>21</v>
      </c>
      <c r="H123" s="10" t="s">
        <v>146</v>
      </c>
      <c r="I123" s="5" t="str">
        <f>CHOOSE(MATCH(B123,{"Январь","Февраль","Март","Апрель","Май","Июнь","Июль","Август","Сентябрь","Октябрь","Ноябрь","Декабрь"},0),
"Jan","Feb","Mar","Apr","May","Jun","Jul","Aug","Sep","Oct","Nov","Dec")</f>
        <v>Dec</v>
      </c>
    </row>
    <row r="124" spans="1:9" x14ac:dyDescent="0.35">
      <c r="A124" s="6">
        <v>2023</v>
      </c>
      <c r="B124" s="7" t="s">
        <v>1</v>
      </c>
      <c r="C124" s="7" t="s">
        <v>10</v>
      </c>
      <c r="D124" s="7" t="s">
        <v>11</v>
      </c>
      <c r="E124" s="7" t="s">
        <v>4</v>
      </c>
      <c r="F124" s="8">
        <v>918250</v>
      </c>
      <c r="G124" s="9">
        <v>40</v>
      </c>
      <c r="H124" s="10" t="s">
        <v>147</v>
      </c>
      <c r="I124" s="5" t="str">
        <f>CHOOSE(MATCH(B124,{"Январь","Февраль","Март","Апрель","Май","Июнь","Июль","Август","Сентябрь","Октябрь","Ноябрь","Декабрь"},0),
"Jan","Feb","Mar","Apr","May","Jun","Jul","Aug","Sep","Oct","Nov","Dec")</f>
        <v>Jan</v>
      </c>
    </row>
    <row r="125" spans="1:9" x14ac:dyDescent="0.35">
      <c r="A125" s="6">
        <v>2023</v>
      </c>
      <c r="B125" s="7" t="s">
        <v>1</v>
      </c>
      <c r="C125" s="7" t="s">
        <v>17</v>
      </c>
      <c r="D125" s="7" t="s">
        <v>3</v>
      </c>
      <c r="E125" s="7" t="s">
        <v>4</v>
      </c>
      <c r="F125" s="8">
        <v>701990</v>
      </c>
      <c r="G125" s="9">
        <v>37</v>
      </c>
      <c r="H125" s="10" t="s">
        <v>148</v>
      </c>
      <c r="I125" s="5" t="str">
        <f>CHOOSE(MATCH(B125,{"Январь","Февраль","Март","Апрель","Май","Июнь","Июль","Август","Сентябрь","Октябрь","Ноябрь","Декабрь"},0),
"Jan","Feb","Mar","Apr","May","Jun","Jul","Aug","Sep","Oct","Nov","Dec")</f>
        <v>Jan</v>
      </c>
    </row>
    <row r="126" spans="1:9" x14ac:dyDescent="0.35">
      <c r="A126" s="6">
        <v>2023</v>
      </c>
      <c r="B126" s="7" t="s">
        <v>1</v>
      </c>
      <c r="C126" s="7" t="s">
        <v>17</v>
      </c>
      <c r="D126" s="7" t="s">
        <v>14</v>
      </c>
      <c r="E126" s="7" t="s">
        <v>8</v>
      </c>
      <c r="F126" s="8">
        <v>337150</v>
      </c>
      <c r="G126" s="9">
        <v>17</v>
      </c>
      <c r="H126" s="10" t="s">
        <v>149</v>
      </c>
      <c r="I126" s="5" t="str">
        <f>CHOOSE(MATCH(B126,{"Январь","Февраль","Март","Апрель","Май","Июнь","Июль","Август","Сентябрь","Октябрь","Ноябрь","Декабрь"},0),
"Jan","Feb","Mar","Apr","May","Jun","Jul","Aug","Sep","Oct","Nov","Dec")</f>
        <v>Jan</v>
      </c>
    </row>
    <row r="127" spans="1:9" x14ac:dyDescent="0.35">
      <c r="A127" s="6">
        <v>2023</v>
      </c>
      <c r="B127" s="7" t="s">
        <v>1</v>
      </c>
      <c r="C127" s="7" t="s">
        <v>2</v>
      </c>
      <c r="D127" s="7" t="s">
        <v>11</v>
      </c>
      <c r="E127" s="7" t="s">
        <v>15</v>
      </c>
      <c r="F127" s="8">
        <v>438160</v>
      </c>
      <c r="G127" s="9">
        <v>27</v>
      </c>
      <c r="H127" s="10" t="s">
        <v>150</v>
      </c>
      <c r="I127" s="5" t="str">
        <f>CHOOSE(MATCH(B127,{"Январь","Февраль","Март","Апрель","Май","Июнь","Июль","Август","Сентябрь","Октябрь","Ноябрь","Декабрь"},0),
"Jan","Feb","Mar","Apr","May","Jun","Jul","Aug","Sep","Oct","Nov","Dec")</f>
        <v>Jan</v>
      </c>
    </row>
    <row r="128" spans="1:9" x14ac:dyDescent="0.35">
      <c r="A128" s="6">
        <v>2023</v>
      </c>
      <c r="B128" s="7" t="s">
        <v>1</v>
      </c>
      <c r="C128" s="7" t="s">
        <v>17</v>
      </c>
      <c r="D128" s="7" t="s">
        <v>3</v>
      </c>
      <c r="E128" s="7" t="s">
        <v>8</v>
      </c>
      <c r="F128" s="8">
        <v>469810</v>
      </c>
      <c r="G128" s="9">
        <v>22</v>
      </c>
      <c r="H128" s="10" t="s">
        <v>151</v>
      </c>
      <c r="I128" s="5" t="str">
        <f>CHOOSE(MATCH(B128,{"Январь","Февраль","Март","Апрель","Май","Июнь","Июль","Август","Сентябрь","Октябрь","Ноябрь","Декабрь"},0),
"Jan","Feb","Mar","Apr","May","Jun","Jul","Aug","Sep","Oct","Nov","Dec")</f>
        <v>Jan</v>
      </c>
    </row>
    <row r="129" spans="1:9" x14ac:dyDescent="0.35">
      <c r="A129" s="6">
        <v>2023</v>
      </c>
      <c r="B129" s="7" t="s">
        <v>1</v>
      </c>
      <c r="C129" s="7" t="s">
        <v>10</v>
      </c>
      <c r="D129" s="7" t="s">
        <v>3</v>
      </c>
      <c r="E129" s="7" t="s">
        <v>15</v>
      </c>
      <c r="F129" s="8">
        <v>219680</v>
      </c>
      <c r="G129" s="9">
        <v>12</v>
      </c>
      <c r="H129" s="10" t="s">
        <v>152</v>
      </c>
      <c r="I129" s="5" t="str">
        <f>CHOOSE(MATCH(B129,{"Январь","Февраль","Март","Апрель","Май","Июнь","Июль","Август","Сентябрь","Октябрь","Ноябрь","Декабрь"},0),
"Jan","Feb","Mar","Apr","May","Jun","Jul","Aug","Sep","Oct","Nov","Dec")</f>
        <v>Jan</v>
      </c>
    </row>
    <row r="130" spans="1:9" x14ac:dyDescent="0.35">
      <c r="A130" s="6">
        <v>2023</v>
      </c>
      <c r="B130" s="7" t="s">
        <v>1</v>
      </c>
      <c r="C130" s="7" t="s">
        <v>6</v>
      </c>
      <c r="D130" s="7" t="s">
        <v>7</v>
      </c>
      <c r="E130" s="7" t="s">
        <v>4</v>
      </c>
      <c r="F130" s="8">
        <v>208620</v>
      </c>
      <c r="G130" s="9">
        <v>12</v>
      </c>
      <c r="H130" s="10" t="s">
        <v>153</v>
      </c>
      <c r="I130" s="5" t="str">
        <f>CHOOSE(MATCH(B130,{"Январь","Февраль","Март","Апрель","Май","Июнь","Июль","Август","Сентябрь","Октябрь","Ноябрь","Декабрь"},0),
"Jan","Feb","Mar","Apr","May","Jun","Jul","Aug","Sep","Oct","Nov","Dec")</f>
        <v>Jan</v>
      </c>
    </row>
    <row r="131" spans="1:9" x14ac:dyDescent="0.35">
      <c r="A131" s="6">
        <v>2023</v>
      </c>
      <c r="B131" s="7" t="s">
        <v>1</v>
      </c>
      <c r="C131" s="7" t="s">
        <v>2</v>
      </c>
      <c r="D131" s="7" t="s">
        <v>7</v>
      </c>
      <c r="E131" s="7" t="s">
        <v>15</v>
      </c>
      <c r="F131" s="8">
        <v>237350</v>
      </c>
      <c r="G131" s="9">
        <v>14</v>
      </c>
      <c r="H131" s="10" t="s">
        <v>154</v>
      </c>
      <c r="I131" s="5" t="str">
        <f>CHOOSE(MATCH(B131,{"Январь","Февраль","Март","Апрель","Май","Июнь","Июль","Август","Сентябрь","Октябрь","Ноябрь","Декабрь"},0),
"Jan","Feb","Mar","Apr","May","Jun","Jul","Aug","Sep","Oct","Nov","Dec")</f>
        <v>Jan</v>
      </c>
    </row>
    <row r="132" spans="1:9" x14ac:dyDescent="0.35">
      <c r="A132" s="6">
        <v>2023</v>
      </c>
      <c r="B132" s="7" t="s">
        <v>1</v>
      </c>
      <c r="C132" s="7" t="s">
        <v>17</v>
      </c>
      <c r="D132" s="7" t="s">
        <v>14</v>
      </c>
      <c r="E132" s="7" t="s">
        <v>8</v>
      </c>
      <c r="F132" s="8">
        <v>504610</v>
      </c>
      <c r="G132" s="9">
        <v>24</v>
      </c>
      <c r="H132" s="10" t="s">
        <v>155</v>
      </c>
      <c r="I132" s="5" t="str">
        <f>CHOOSE(MATCH(B132,{"Январь","Февраль","Март","Апрель","Май","Июнь","Июль","Август","Сентябрь","Октябрь","Ноябрь","Декабрь"},0),
"Jan","Feb","Mar","Apr","May","Jun","Jul","Aug","Sep","Oct","Nov","Dec")</f>
        <v>Jan</v>
      </c>
    </row>
    <row r="133" spans="1:9" x14ac:dyDescent="0.35">
      <c r="A133" s="6">
        <v>2023</v>
      </c>
      <c r="B133" s="7" t="s">
        <v>1</v>
      </c>
      <c r="C133" s="7" t="s">
        <v>22</v>
      </c>
      <c r="D133" s="7" t="s">
        <v>18</v>
      </c>
      <c r="E133" s="7" t="s">
        <v>15</v>
      </c>
      <c r="F133" s="8">
        <v>304410</v>
      </c>
      <c r="G133" s="9">
        <v>24</v>
      </c>
      <c r="H133" s="10" t="s">
        <v>156</v>
      </c>
      <c r="I133" s="5" t="str">
        <f>CHOOSE(MATCH(B133,{"Январь","Февраль","Март","Апрель","Май","Июнь","Июль","Август","Сентябрь","Октябрь","Ноябрь","Декабрь"},0),
"Jan","Feb","Mar","Apr","May","Jun","Jul","Aug","Sep","Oct","Nov","Dec")</f>
        <v>Jan</v>
      </c>
    </row>
    <row r="134" spans="1:9" x14ac:dyDescent="0.35">
      <c r="A134" s="6">
        <v>2023</v>
      </c>
      <c r="B134" s="7" t="s">
        <v>26</v>
      </c>
      <c r="C134" s="7" t="s">
        <v>2</v>
      </c>
      <c r="D134" s="7" t="s">
        <v>18</v>
      </c>
      <c r="E134" s="7" t="s">
        <v>8</v>
      </c>
      <c r="F134" s="8">
        <v>512150</v>
      </c>
      <c r="G134" s="9">
        <v>24</v>
      </c>
      <c r="H134" s="10" t="s">
        <v>157</v>
      </c>
      <c r="I134" s="5" t="str">
        <f>CHOOSE(MATCH(B134,{"Январь","Февраль","Март","Апрель","Май","Июнь","Июль","Август","Сентябрь","Октябрь","Ноябрь","Декабрь"},0),
"Jan","Feb","Mar","Apr","May","Jun","Jul","Aug","Sep","Oct","Nov","Dec")</f>
        <v>Feb</v>
      </c>
    </row>
    <row r="135" spans="1:9" x14ac:dyDescent="0.35">
      <c r="A135" s="6">
        <v>2023</v>
      </c>
      <c r="B135" s="7" t="s">
        <v>26</v>
      </c>
      <c r="C135" s="7" t="s">
        <v>6</v>
      </c>
      <c r="D135" s="7" t="s">
        <v>7</v>
      </c>
      <c r="E135" s="7" t="s">
        <v>15</v>
      </c>
      <c r="F135" s="8">
        <v>419660</v>
      </c>
      <c r="G135" s="9">
        <v>32</v>
      </c>
      <c r="H135" s="10" t="s">
        <v>158</v>
      </c>
      <c r="I135" s="5" t="str">
        <f>CHOOSE(MATCH(B135,{"Январь","Февраль","Март","Апрель","Май","Июнь","Июль","Август","Сентябрь","Октябрь","Ноябрь","Декабрь"},0),
"Jan","Feb","Mar","Apr","May","Jun","Jul","Aug","Sep","Oct","Nov","Dec")</f>
        <v>Feb</v>
      </c>
    </row>
    <row r="136" spans="1:9" x14ac:dyDescent="0.35">
      <c r="A136" s="6">
        <v>2023</v>
      </c>
      <c r="B136" s="7" t="s">
        <v>26</v>
      </c>
      <c r="C136" s="7" t="s">
        <v>22</v>
      </c>
      <c r="D136" s="7" t="s">
        <v>14</v>
      </c>
      <c r="E136" s="7" t="s">
        <v>15</v>
      </c>
      <c r="F136" s="8">
        <v>433030</v>
      </c>
      <c r="G136" s="9">
        <v>33</v>
      </c>
      <c r="H136" s="10" t="s">
        <v>159</v>
      </c>
      <c r="I136" s="5" t="str">
        <f>CHOOSE(MATCH(B136,{"Январь","Февраль","Март","Апрель","Май","Июнь","Июль","Август","Сентябрь","Октябрь","Ноябрь","Декабрь"},0),
"Jan","Feb","Mar","Apr","May","Jun","Jul","Aug","Sep","Oct","Nov","Dec")</f>
        <v>Feb</v>
      </c>
    </row>
    <row r="137" spans="1:9" x14ac:dyDescent="0.35">
      <c r="A137" s="6">
        <v>2023</v>
      </c>
      <c r="B137" s="7" t="s">
        <v>26</v>
      </c>
      <c r="C137" s="7" t="s">
        <v>10</v>
      </c>
      <c r="D137" s="7" t="s">
        <v>18</v>
      </c>
      <c r="E137" s="7" t="s">
        <v>12</v>
      </c>
      <c r="F137" s="8">
        <v>678440</v>
      </c>
      <c r="G137" s="9">
        <v>41</v>
      </c>
      <c r="H137" s="10" t="s">
        <v>160</v>
      </c>
      <c r="I137" s="5" t="str">
        <f>CHOOSE(MATCH(B137,{"Январь","Февраль","Март","Апрель","Май","Июнь","Июль","Август","Сентябрь","Октябрь","Ноябрь","Декабрь"},0),
"Jan","Feb","Mar","Apr","May","Jun","Jul","Aug","Sep","Oct","Nov","Dec")</f>
        <v>Feb</v>
      </c>
    </row>
    <row r="138" spans="1:9" x14ac:dyDescent="0.35">
      <c r="A138" s="6">
        <v>2023</v>
      </c>
      <c r="B138" s="7" t="s">
        <v>26</v>
      </c>
      <c r="C138" s="7" t="s">
        <v>2</v>
      </c>
      <c r="D138" s="7" t="s">
        <v>11</v>
      </c>
      <c r="E138" s="7" t="s">
        <v>12</v>
      </c>
      <c r="F138" s="8">
        <v>350970</v>
      </c>
      <c r="G138" s="9">
        <v>24</v>
      </c>
      <c r="H138" s="10" t="s">
        <v>161</v>
      </c>
      <c r="I138" s="5" t="str">
        <f>CHOOSE(MATCH(B138,{"Январь","Февраль","Март","Апрель","Май","Июнь","Июль","Август","Сентябрь","Октябрь","Ноябрь","Декабрь"},0),
"Jan","Feb","Mar","Apr","May","Jun","Jul","Aug","Sep","Oct","Nov","Dec")</f>
        <v>Feb</v>
      </c>
    </row>
    <row r="139" spans="1:9" x14ac:dyDescent="0.35">
      <c r="A139" s="6">
        <v>2023</v>
      </c>
      <c r="B139" s="7" t="s">
        <v>26</v>
      </c>
      <c r="C139" s="7" t="s">
        <v>6</v>
      </c>
      <c r="D139" s="7" t="s">
        <v>7</v>
      </c>
      <c r="E139" s="7" t="s">
        <v>15</v>
      </c>
      <c r="F139" s="8">
        <v>190830</v>
      </c>
      <c r="G139" s="9">
        <v>14</v>
      </c>
      <c r="H139" s="10" t="s">
        <v>162</v>
      </c>
      <c r="I139" s="5" t="str">
        <f>CHOOSE(MATCH(B139,{"Январь","Февраль","Март","Апрель","Май","Июнь","Июль","Август","Сентябрь","Октябрь","Ноябрь","Декабрь"},0),
"Jan","Feb","Mar","Apr","May","Jun","Jul","Aug","Sep","Oct","Nov","Dec")</f>
        <v>Feb</v>
      </c>
    </row>
    <row r="140" spans="1:9" x14ac:dyDescent="0.35">
      <c r="A140" s="6">
        <v>2023</v>
      </c>
      <c r="B140" s="7" t="s">
        <v>26</v>
      </c>
      <c r="C140" s="7" t="s">
        <v>17</v>
      </c>
      <c r="D140" s="7" t="s">
        <v>14</v>
      </c>
      <c r="E140" s="7" t="s">
        <v>4</v>
      </c>
      <c r="F140" s="8">
        <v>675160</v>
      </c>
      <c r="G140" s="9">
        <v>38</v>
      </c>
      <c r="H140" s="10" t="s">
        <v>163</v>
      </c>
      <c r="I140" s="5" t="str">
        <f>CHOOSE(MATCH(B140,{"Январь","Февраль","Март","Апрель","Май","Июнь","Июль","Август","Сентябрь","Октябрь","Ноябрь","Декабрь"},0),
"Jan","Feb","Mar","Apr","May","Jun","Jul","Aug","Sep","Oct","Nov","Dec")</f>
        <v>Feb</v>
      </c>
    </row>
    <row r="141" spans="1:9" x14ac:dyDescent="0.35">
      <c r="A141" s="6">
        <v>2023</v>
      </c>
      <c r="B141" s="7" t="s">
        <v>26</v>
      </c>
      <c r="C141" s="7" t="s">
        <v>6</v>
      </c>
      <c r="D141" s="7" t="s">
        <v>11</v>
      </c>
      <c r="E141" s="7" t="s">
        <v>8</v>
      </c>
      <c r="F141" s="8">
        <v>767100</v>
      </c>
      <c r="G141" s="9">
        <v>41</v>
      </c>
      <c r="H141" s="10" t="s">
        <v>164</v>
      </c>
      <c r="I141" s="5" t="str">
        <f>CHOOSE(MATCH(B141,{"Январь","Февраль","Март","Апрель","Май","Июнь","Июль","Август","Сентябрь","Октябрь","Ноябрь","Декабрь"},0),
"Jan","Feb","Mar","Apr","May","Jun","Jul","Aug","Sep","Oct","Nov","Dec")</f>
        <v>Feb</v>
      </c>
    </row>
    <row r="142" spans="1:9" x14ac:dyDescent="0.35">
      <c r="A142" s="6">
        <v>2023</v>
      </c>
      <c r="B142" s="7" t="s">
        <v>26</v>
      </c>
      <c r="C142" s="7" t="s">
        <v>6</v>
      </c>
      <c r="D142" s="7" t="s">
        <v>3</v>
      </c>
      <c r="E142" s="7" t="s">
        <v>15</v>
      </c>
      <c r="F142" s="8">
        <v>417130</v>
      </c>
      <c r="G142" s="9">
        <v>29</v>
      </c>
      <c r="H142" s="10" t="s">
        <v>165</v>
      </c>
      <c r="I142" s="5" t="str">
        <f>CHOOSE(MATCH(B142,{"Январь","Февраль","Март","Апрель","Май","Июнь","Июль","Август","Сентябрь","Октябрь","Ноябрь","Декабрь"},0),
"Jan","Feb","Mar","Apr","May","Jun","Jul","Aug","Sep","Oct","Nov","Dec")</f>
        <v>Feb</v>
      </c>
    </row>
    <row r="143" spans="1:9" x14ac:dyDescent="0.35">
      <c r="A143" s="6">
        <v>2023</v>
      </c>
      <c r="B143" s="7" t="s">
        <v>26</v>
      </c>
      <c r="C143" s="7" t="s">
        <v>22</v>
      </c>
      <c r="D143" s="7" t="s">
        <v>18</v>
      </c>
      <c r="E143" s="7" t="s">
        <v>15</v>
      </c>
      <c r="F143" s="8">
        <v>376540</v>
      </c>
      <c r="G143" s="9">
        <v>29</v>
      </c>
      <c r="H143" s="10" t="s">
        <v>166</v>
      </c>
      <c r="I143" s="5" t="str">
        <f>CHOOSE(MATCH(B143,{"Январь","Февраль","Март","Апрель","Май","Июнь","Июль","Август","Сентябрь","Октябрь","Ноябрь","Декабрь"},0),
"Jan","Feb","Mar","Apr","May","Jun","Jul","Aug","Sep","Oct","Nov","Dec")</f>
        <v>Feb</v>
      </c>
    </row>
    <row r="144" spans="1:9" x14ac:dyDescent="0.35">
      <c r="A144" s="6">
        <v>2023</v>
      </c>
      <c r="B144" s="7" t="s">
        <v>37</v>
      </c>
      <c r="C144" s="7" t="s">
        <v>6</v>
      </c>
      <c r="D144" s="7" t="s">
        <v>11</v>
      </c>
      <c r="E144" s="7" t="s">
        <v>12</v>
      </c>
      <c r="F144" s="8">
        <v>195860</v>
      </c>
      <c r="G144" s="9">
        <v>15</v>
      </c>
      <c r="H144" s="10" t="s">
        <v>167</v>
      </c>
      <c r="I144" s="5" t="str">
        <f>CHOOSE(MATCH(B144,{"Январь","Февраль","Март","Апрель","Май","Июнь","Июль","Август","Сентябрь","Октябрь","Ноябрь","Декабрь"},0),
"Jan","Feb","Mar","Apr","May","Jun","Jul","Aug","Sep","Oct","Nov","Dec")</f>
        <v>Mar</v>
      </c>
    </row>
    <row r="145" spans="1:9" x14ac:dyDescent="0.35">
      <c r="A145" s="6">
        <v>2023</v>
      </c>
      <c r="B145" s="7" t="s">
        <v>37</v>
      </c>
      <c r="C145" s="7" t="s">
        <v>10</v>
      </c>
      <c r="D145" s="7" t="s">
        <v>14</v>
      </c>
      <c r="E145" s="7" t="s">
        <v>12</v>
      </c>
      <c r="F145" s="8">
        <v>353700</v>
      </c>
      <c r="G145" s="9">
        <v>21</v>
      </c>
      <c r="H145" s="10" t="s">
        <v>168</v>
      </c>
      <c r="I145" s="5" t="str">
        <f>CHOOSE(MATCH(B145,{"Январь","Февраль","Март","Апрель","Май","Июнь","Июль","Август","Сентябрь","Октябрь","Ноябрь","Декабрь"},0),
"Jan","Feb","Mar","Apr","May","Jun","Jul","Aug","Sep","Oct","Nov","Dec")</f>
        <v>Mar</v>
      </c>
    </row>
    <row r="146" spans="1:9" x14ac:dyDescent="0.35">
      <c r="A146" s="6">
        <v>2023</v>
      </c>
      <c r="B146" s="7" t="s">
        <v>37</v>
      </c>
      <c r="C146" s="7" t="s">
        <v>6</v>
      </c>
      <c r="D146" s="7" t="s">
        <v>14</v>
      </c>
      <c r="E146" s="7" t="s">
        <v>4</v>
      </c>
      <c r="F146" s="8">
        <v>249440</v>
      </c>
      <c r="G146" s="9">
        <v>16</v>
      </c>
      <c r="H146" s="10" t="s">
        <v>169</v>
      </c>
      <c r="I146" s="5" t="str">
        <f>CHOOSE(MATCH(B146,{"Январь","Февраль","Март","Апрель","Май","Июнь","Июль","Август","Сентябрь","Октябрь","Ноябрь","Декабрь"},0),
"Jan","Feb","Mar","Apr","May","Jun","Jul","Aug","Sep","Oct","Nov","Dec")</f>
        <v>Mar</v>
      </c>
    </row>
    <row r="147" spans="1:9" x14ac:dyDescent="0.35">
      <c r="A147" s="6">
        <v>2023</v>
      </c>
      <c r="B147" s="7" t="s">
        <v>37</v>
      </c>
      <c r="C147" s="7" t="s">
        <v>6</v>
      </c>
      <c r="D147" s="7" t="s">
        <v>3</v>
      </c>
      <c r="E147" s="7" t="s">
        <v>4</v>
      </c>
      <c r="F147" s="8">
        <v>685210</v>
      </c>
      <c r="G147" s="9">
        <v>41</v>
      </c>
      <c r="H147" s="10" t="s">
        <v>170</v>
      </c>
      <c r="I147" s="5" t="str">
        <f>CHOOSE(MATCH(B147,{"Январь","Февраль","Март","Апрель","Май","Июнь","Июль","Август","Сентябрь","Октябрь","Ноябрь","Декабрь"},0),
"Jan","Feb","Mar","Apr","May","Jun","Jul","Aug","Sep","Oct","Nov","Dec")</f>
        <v>Mar</v>
      </c>
    </row>
    <row r="148" spans="1:9" x14ac:dyDescent="0.35">
      <c r="A148" s="6">
        <v>2023</v>
      </c>
      <c r="B148" s="7" t="s">
        <v>37</v>
      </c>
      <c r="C148" s="7" t="s">
        <v>10</v>
      </c>
      <c r="D148" s="7" t="s">
        <v>3</v>
      </c>
      <c r="E148" s="7" t="s">
        <v>4</v>
      </c>
      <c r="F148" s="8">
        <v>796430</v>
      </c>
      <c r="G148" s="9">
        <v>34</v>
      </c>
      <c r="H148" s="10" t="s">
        <v>171</v>
      </c>
      <c r="I148" s="5" t="str">
        <f>CHOOSE(MATCH(B148,{"Январь","Февраль","Март","Апрель","Май","Июнь","Июль","Август","Сентябрь","Октябрь","Ноябрь","Декабрь"},0),
"Jan","Feb","Mar","Apr","May","Jun","Jul","Aug","Sep","Oct","Nov","Dec")</f>
        <v>Mar</v>
      </c>
    </row>
    <row r="149" spans="1:9" x14ac:dyDescent="0.35">
      <c r="A149" s="6">
        <v>2023</v>
      </c>
      <c r="B149" s="7" t="s">
        <v>37</v>
      </c>
      <c r="C149" s="7" t="s">
        <v>10</v>
      </c>
      <c r="D149" s="7" t="s">
        <v>14</v>
      </c>
      <c r="E149" s="7" t="s">
        <v>8</v>
      </c>
      <c r="F149" s="8">
        <v>642290</v>
      </c>
      <c r="G149" s="9">
        <v>25</v>
      </c>
      <c r="H149" s="10" t="s">
        <v>172</v>
      </c>
      <c r="I149" s="5" t="str">
        <f>CHOOSE(MATCH(B149,{"Январь","Февраль","Март","Апрель","Май","Июнь","Июль","Август","Сентябрь","Октябрь","Ноябрь","Декабрь"},0),
"Jan","Feb","Mar","Apr","May","Jun","Jul","Aug","Sep","Oct","Nov","Dec")</f>
        <v>Mar</v>
      </c>
    </row>
    <row r="150" spans="1:9" x14ac:dyDescent="0.35">
      <c r="A150" s="6">
        <v>2023</v>
      </c>
      <c r="B150" s="7" t="s">
        <v>37</v>
      </c>
      <c r="C150" s="7" t="s">
        <v>2</v>
      </c>
      <c r="D150" s="7" t="s">
        <v>7</v>
      </c>
      <c r="E150" s="7" t="s">
        <v>8</v>
      </c>
      <c r="F150" s="8">
        <v>456480</v>
      </c>
      <c r="G150" s="9">
        <v>22</v>
      </c>
      <c r="H150" s="10" t="s">
        <v>173</v>
      </c>
      <c r="I150" s="5" t="str">
        <f>CHOOSE(MATCH(B150,{"Январь","Февраль","Март","Апрель","Май","Июнь","Июль","Август","Сентябрь","Октябрь","Ноябрь","Декабрь"},0),
"Jan","Feb","Mar","Apr","May","Jun","Jul","Aug","Sep","Oct","Nov","Dec")</f>
        <v>Mar</v>
      </c>
    </row>
    <row r="151" spans="1:9" x14ac:dyDescent="0.35">
      <c r="A151" s="6">
        <v>2023</v>
      </c>
      <c r="B151" s="7" t="s">
        <v>37</v>
      </c>
      <c r="C151" s="7" t="s">
        <v>17</v>
      </c>
      <c r="D151" s="7" t="s">
        <v>11</v>
      </c>
      <c r="E151" s="7" t="s">
        <v>4</v>
      </c>
      <c r="F151" s="8">
        <v>741130</v>
      </c>
      <c r="G151" s="9">
        <v>40</v>
      </c>
      <c r="H151" s="10" t="s">
        <v>174</v>
      </c>
      <c r="I151" s="5" t="str">
        <f>CHOOSE(MATCH(B151,{"Январь","Февраль","Март","Апрель","Май","Июнь","Июль","Август","Сентябрь","Октябрь","Ноябрь","Декабрь"},0),
"Jan","Feb","Mar","Apr","May","Jun","Jul","Aug","Sep","Oct","Nov","Dec")</f>
        <v>Mar</v>
      </c>
    </row>
    <row r="152" spans="1:9" x14ac:dyDescent="0.35">
      <c r="A152" s="6">
        <v>2023</v>
      </c>
      <c r="B152" s="7" t="s">
        <v>37</v>
      </c>
      <c r="C152" s="7" t="s">
        <v>10</v>
      </c>
      <c r="D152" s="7" t="s">
        <v>7</v>
      </c>
      <c r="E152" s="7" t="s">
        <v>15</v>
      </c>
      <c r="F152" s="8">
        <v>724740</v>
      </c>
      <c r="G152" s="9">
        <v>39</v>
      </c>
      <c r="H152" s="10" t="s">
        <v>175</v>
      </c>
      <c r="I152" s="5" t="str">
        <f>CHOOSE(MATCH(B152,{"Январь","Февраль","Март","Апрель","Май","Июнь","Июль","Август","Сентябрь","Октябрь","Ноябрь","Декабрь"},0),
"Jan","Feb","Mar","Apr","May","Jun","Jul","Aug","Sep","Oct","Nov","Dec")</f>
        <v>Mar</v>
      </c>
    </row>
    <row r="153" spans="1:9" x14ac:dyDescent="0.35">
      <c r="A153" s="6">
        <v>2023</v>
      </c>
      <c r="B153" s="7" t="s">
        <v>37</v>
      </c>
      <c r="C153" s="7" t="s">
        <v>22</v>
      </c>
      <c r="D153" s="7" t="s">
        <v>14</v>
      </c>
      <c r="E153" s="7" t="s">
        <v>8</v>
      </c>
      <c r="F153" s="8">
        <v>449600</v>
      </c>
      <c r="G153" s="9">
        <v>25</v>
      </c>
      <c r="H153" s="10" t="s">
        <v>176</v>
      </c>
      <c r="I153" s="5" t="str">
        <f>CHOOSE(MATCH(B153,{"Январь","Февраль","Март","Апрель","Май","Июнь","Июль","Август","Сентябрь","Октябрь","Ноябрь","Декабрь"},0),
"Jan","Feb","Mar","Apr","May","Jun","Jul","Aug","Sep","Oct","Nov","Dec")</f>
        <v>Mar</v>
      </c>
    </row>
    <row r="154" spans="1:9" x14ac:dyDescent="0.35">
      <c r="A154" s="6">
        <v>2023</v>
      </c>
      <c r="B154" s="7" t="s">
        <v>48</v>
      </c>
      <c r="C154" s="7" t="s">
        <v>6</v>
      </c>
      <c r="D154" s="7" t="s">
        <v>14</v>
      </c>
      <c r="E154" s="7" t="s">
        <v>8</v>
      </c>
      <c r="F154" s="8">
        <v>721860</v>
      </c>
      <c r="G154" s="9">
        <v>38</v>
      </c>
      <c r="H154" s="10" t="s">
        <v>177</v>
      </c>
      <c r="I154" s="5" t="str">
        <f>CHOOSE(MATCH(B154,{"Январь","Февраль","Март","Апрель","Май","Июнь","Июль","Август","Сентябрь","Октябрь","Ноябрь","Декабрь"},0),
"Jan","Feb","Mar","Apr","May","Jun","Jul","Aug","Sep","Oct","Nov","Dec")</f>
        <v>Apr</v>
      </c>
    </row>
    <row r="155" spans="1:9" x14ac:dyDescent="0.35">
      <c r="A155" s="6">
        <v>2023</v>
      </c>
      <c r="B155" s="7" t="s">
        <v>48</v>
      </c>
      <c r="C155" s="7" t="s">
        <v>17</v>
      </c>
      <c r="D155" s="7" t="s">
        <v>14</v>
      </c>
      <c r="E155" s="7" t="s">
        <v>4</v>
      </c>
      <c r="F155" s="8">
        <v>478270</v>
      </c>
      <c r="G155" s="9">
        <v>26</v>
      </c>
      <c r="H155" s="10" t="s">
        <v>178</v>
      </c>
      <c r="I155" s="5" t="str">
        <f>CHOOSE(MATCH(B155,{"Январь","Февраль","Март","Апрель","Май","Июнь","Июль","Август","Сентябрь","Октябрь","Ноябрь","Декабрь"},0),
"Jan","Feb","Mar","Apr","May","Jun","Jul","Aug","Sep","Oct","Nov","Dec")</f>
        <v>Apr</v>
      </c>
    </row>
    <row r="156" spans="1:9" x14ac:dyDescent="0.35">
      <c r="A156" s="6">
        <v>2023</v>
      </c>
      <c r="B156" s="7" t="s">
        <v>48</v>
      </c>
      <c r="C156" s="7" t="s">
        <v>10</v>
      </c>
      <c r="D156" s="7" t="s">
        <v>3</v>
      </c>
      <c r="E156" s="7" t="s">
        <v>8</v>
      </c>
      <c r="F156" s="8">
        <v>520780</v>
      </c>
      <c r="G156" s="9">
        <v>20</v>
      </c>
      <c r="H156" s="10" t="s">
        <v>179</v>
      </c>
      <c r="I156" s="5" t="str">
        <f>CHOOSE(MATCH(B156,{"Январь","Февраль","Март","Апрель","Май","Июнь","Июль","Август","Сентябрь","Октябрь","Ноябрь","Декабрь"},0),
"Jan","Feb","Mar","Apr","May","Jun","Jul","Aug","Sep","Oct","Nov","Dec")</f>
        <v>Apr</v>
      </c>
    </row>
    <row r="157" spans="1:9" x14ac:dyDescent="0.35">
      <c r="A157" s="6">
        <v>2023</v>
      </c>
      <c r="B157" s="7" t="s">
        <v>48</v>
      </c>
      <c r="C157" s="7" t="s">
        <v>2</v>
      </c>
      <c r="D157" s="7" t="s">
        <v>11</v>
      </c>
      <c r="E157" s="7" t="s">
        <v>15</v>
      </c>
      <c r="F157" s="8">
        <v>252410</v>
      </c>
      <c r="G157" s="9">
        <v>16</v>
      </c>
      <c r="H157" s="10" t="s">
        <v>180</v>
      </c>
      <c r="I157" s="5" t="str">
        <f>CHOOSE(MATCH(B157,{"Январь","Февраль","Март","Апрель","Май","Июнь","Июль","Август","Сентябрь","Октябрь","Ноябрь","Декабрь"},0),
"Jan","Feb","Mar","Apr","May","Jun","Jul","Aug","Sep","Oct","Nov","Dec")</f>
        <v>Apr</v>
      </c>
    </row>
    <row r="158" spans="1:9" x14ac:dyDescent="0.35">
      <c r="A158" s="6">
        <v>2023</v>
      </c>
      <c r="B158" s="7" t="s">
        <v>48</v>
      </c>
      <c r="C158" s="7" t="s">
        <v>22</v>
      </c>
      <c r="D158" s="7" t="s">
        <v>18</v>
      </c>
      <c r="E158" s="7" t="s">
        <v>12</v>
      </c>
      <c r="F158" s="8">
        <v>454970</v>
      </c>
      <c r="G158" s="9">
        <v>42</v>
      </c>
      <c r="H158" s="10" t="s">
        <v>181</v>
      </c>
      <c r="I158" s="5" t="str">
        <f>CHOOSE(MATCH(B158,{"Январь","Февраль","Март","Апрель","Май","Июнь","Июль","Август","Сентябрь","Октябрь","Ноябрь","Декабрь"},0),
"Jan","Feb","Mar","Apr","May","Jun","Jul","Aug","Sep","Oct","Nov","Dec")</f>
        <v>Apr</v>
      </c>
    </row>
    <row r="159" spans="1:9" x14ac:dyDescent="0.35">
      <c r="A159" s="6">
        <v>2023</v>
      </c>
      <c r="B159" s="7" t="s">
        <v>48</v>
      </c>
      <c r="C159" s="7" t="s">
        <v>17</v>
      </c>
      <c r="D159" s="7" t="s">
        <v>3</v>
      </c>
      <c r="E159" s="7" t="s">
        <v>12</v>
      </c>
      <c r="F159" s="8">
        <v>404100</v>
      </c>
      <c r="G159" s="9">
        <v>30</v>
      </c>
      <c r="H159" s="10" t="s">
        <v>182</v>
      </c>
      <c r="I159" s="5" t="str">
        <f>CHOOSE(MATCH(B159,{"Январь","Февраль","Март","Апрель","Май","Июнь","Июль","Август","Сентябрь","Октябрь","Ноябрь","Декабрь"},0),
"Jan","Feb","Mar","Apr","May","Jun","Jul","Aug","Sep","Oct","Nov","Dec")</f>
        <v>Apr</v>
      </c>
    </row>
    <row r="160" spans="1:9" x14ac:dyDescent="0.35">
      <c r="A160" s="6">
        <v>2023</v>
      </c>
      <c r="B160" s="7" t="s">
        <v>48</v>
      </c>
      <c r="C160" s="7" t="s">
        <v>2</v>
      </c>
      <c r="D160" s="7" t="s">
        <v>3</v>
      </c>
      <c r="E160" s="7" t="s">
        <v>4</v>
      </c>
      <c r="F160" s="8">
        <v>524630</v>
      </c>
      <c r="G160" s="9">
        <v>27</v>
      </c>
      <c r="H160" s="10" t="s">
        <v>183</v>
      </c>
      <c r="I160" s="5" t="str">
        <f>CHOOSE(MATCH(B160,{"Январь","Февраль","Март","Апрель","Май","Июнь","Июль","Август","Сентябрь","Октябрь","Ноябрь","Декабрь"},0),
"Jan","Feb","Mar","Apr","May","Jun","Jul","Aug","Sep","Oct","Nov","Dec")</f>
        <v>Apr</v>
      </c>
    </row>
    <row r="161" spans="1:9" x14ac:dyDescent="0.35">
      <c r="A161" s="6">
        <v>2023</v>
      </c>
      <c r="B161" s="7" t="s">
        <v>48</v>
      </c>
      <c r="C161" s="7" t="s">
        <v>22</v>
      </c>
      <c r="D161" s="7" t="s">
        <v>18</v>
      </c>
      <c r="E161" s="7" t="s">
        <v>4</v>
      </c>
      <c r="F161" s="8">
        <v>210160</v>
      </c>
      <c r="G161" s="9">
        <v>13</v>
      </c>
      <c r="H161" s="10" t="s">
        <v>184</v>
      </c>
      <c r="I161" s="5" t="str">
        <f>CHOOSE(MATCH(B161,{"Январь","Февраль","Март","Апрель","Май","Июнь","Июль","Август","Сентябрь","Октябрь","Ноябрь","Декабрь"},0),
"Jan","Feb","Mar","Apr","May","Jun","Jul","Aug","Sep","Oct","Nov","Dec")</f>
        <v>Apr</v>
      </c>
    </row>
    <row r="162" spans="1:9" x14ac:dyDescent="0.35">
      <c r="A162" s="6">
        <v>2023</v>
      </c>
      <c r="B162" s="7" t="s">
        <v>48</v>
      </c>
      <c r="C162" s="7" t="s">
        <v>6</v>
      </c>
      <c r="D162" s="7" t="s">
        <v>18</v>
      </c>
      <c r="E162" s="7" t="s">
        <v>12</v>
      </c>
      <c r="F162" s="8">
        <v>367470</v>
      </c>
      <c r="G162" s="9">
        <v>30</v>
      </c>
      <c r="H162" s="10" t="s">
        <v>185</v>
      </c>
      <c r="I162" s="5" t="str">
        <f>CHOOSE(MATCH(B162,{"Январь","Февраль","Март","Апрель","Май","Июнь","Июль","Август","Сентябрь","Октябрь","Ноябрь","Декабрь"},0),
"Jan","Feb","Mar","Apr","May","Jun","Jul","Aug","Sep","Oct","Nov","Dec")</f>
        <v>Apr</v>
      </c>
    </row>
    <row r="163" spans="1:9" x14ac:dyDescent="0.35">
      <c r="A163" s="6">
        <v>2023</v>
      </c>
      <c r="B163" s="7" t="s">
        <v>48</v>
      </c>
      <c r="C163" s="7" t="s">
        <v>10</v>
      </c>
      <c r="D163" s="7" t="s">
        <v>3</v>
      </c>
      <c r="E163" s="7" t="s">
        <v>12</v>
      </c>
      <c r="F163" s="8">
        <v>277070</v>
      </c>
      <c r="G163" s="9">
        <v>17</v>
      </c>
      <c r="H163" s="10" t="s">
        <v>186</v>
      </c>
      <c r="I163" s="5" t="str">
        <f>CHOOSE(MATCH(B163,{"Январь","Февраль","Март","Апрель","Май","Июнь","Июль","Август","Сентябрь","Октябрь","Ноябрь","Декабрь"},0),
"Jan","Feb","Mar","Apr","May","Jun","Jul","Aug","Sep","Oct","Nov","Dec")</f>
        <v>Apr</v>
      </c>
    </row>
    <row r="164" spans="1:9" x14ac:dyDescent="0.35">
      <c r="A164" s="6">
        <v>2023</v>
      </c>
      <c r="B164" s="7" t="s">
        <v>59</v>
      </c>
      <c r="C164" s="7" t="s">
        <v>10</v>
      </c>
      <c r="D164" s="7" t="s">
        <v>18</v>
      </c>
      <c r="E164" s="7" t="s">
        <v>4</v>
      </c>
      <c r="F164" s="8">
        <v>764240</v>
      </c>
      <c r="G164" s="9">
        <v>35</v>
      </c>
      <c r="H164" s="10" t="s">
        <v>187</v>
      </c>
      <c r="I164" s="5" t="str">
        <f>CHOOSE(MATCH(B164,{"Январь","Февраль","Март","Апрель","Май","Июнь","Июль","Август","Сентябрь","Октябрь","Ноябрь","Декабрь"},0),
"Jan","Feb","Mar","Apr","May","Jun","Jul","Aug","Sep","Oct","Nov","Dec")</f>
        <v>May</v>
      </c>
    </row>
    <row r="165" spans="1:9" x14ac:dyDescent="0.35">
      <c r="A165" s="6">
        <v>2023</v>
      </c>
      <c r="B165" s="7" t="s">
        <v>59</v>
      </c>
      <c r="C165" s="7" t="s">
        <v>6</v>
      </c>
      <c r="D165" s="7" t="s">
        <v>11</v>
      </c>
      <c r="E165" s="7" t="s">
        <v>15</v>
      </c>
      <c r="F165" s="8">
        <v>231050</v>
      </c>
      <c r="G165" s="9">
        <v>17</v>
      </c>
      <c r="H165" s="10" t="s">
        <v>188</v>
      </c>
      <c r="I165" s="5" t="str">
        <f>CHOOSE(MATCH(B165,{"Январь","Февраль","Март","Апрель","Май","Июнь","Июль","Август","Сентябрь","Октябрь","Ноябрь","Декабрь"},0),
"Jan","Feb","Mar","Apr","May","Jun","Jul","Aug","Sep","Oct","Nov","Dec")</f>
        <v>May</v>
      </c>
    </row>
    <row r="166" spans="1:9" x14ac:dyDescent="0.35">
      <c r="A166" s="6">
        <v>2023</v>
      </c>
      <c r="B166" s="7" t="s">
        <v>59</v>
      </c>
      <c r="C166" s="7" t="s">
        <v>6</v>
      </c>
      <c r="D166" s="7" t="s">
        <v>14</v>
      </c>
      <c r="E166" s="7" t="s">
        <v>8</v>
      </c>
      <c r="F166" s="8">
        <v>391250</v>
      </c>
      <c r="G166" s="9">
        <v>20</v>
      </c>
      <c r="H166" s="10" t="s">
        <v>189</v>
      </c>
      <c r="I166" s="5" t="str">
        <f>CHOOSE(MATCH(B166,{"Январь","Февраль","Март","Апрель","Май","Июнь","Июль","Август","Сентябрь","Октябрь","Ноябрь","Декабрь"},0),
"Jan","Feb","Mar","Apr","May","Jun","Jul","Aug","Sep","Oct","Nov","Dec")</f>
        <v>May</v>
      </c>
    </row>
    <row r="167" spans="1:9" x14ac:dyDescent="0.35">
      <c r="A167" s="6">
        <v>2023</v>
      </c>
      <c r="B167" s="7" t="s">
        <v>59</v>
      </c>
      <c r="C167" s="7" t="s">
        <v>17</v>
      </c>
      <c r="D167" s="7" t="s">
        <v>11</v>
      </c>
      <c r="E167" s="7" t="s">
        <v>15</v>
      </c>
      <c r="F167" s="8">
        <v>559360</v>
      </c>
      <c r="G167" s="9">
        <v>36</v>
      </c>
      <c r="H167" s="10" t="s">
        <v>190</v>
      </c>
      <c r="I167" s="5" t="str">
        <f>CHOOSE(MATCH(B167,{"Январь","Февраль","Март","Апрель","Май","Июнь","Июль","Август","Сентябрь","Октябрь","Ноябрь","Декабрь"},0),
"Jan","Feb","Mar","Apr","May","Jun","Jul","Aug","Sep","Oct","Nov","Dec")</f>
        <v>May</v>
      </c>
    </row>
    <row r="168" spans="1:9" x14ac:dyDescent="0.35">
      <c r="A168" s="6">
        <v>2023</v>
      </c>
      <c r="B168" s="7" t="s">
        <v>59</v>
      </c>
      <c r="C168" s="7" t="s">
        <v>6</v>
      </c>
      <c r="D168" s="7" t="s">
        <v>14</v>
      </c>
      <c r="E168" s="7" t="s">
        <v>12</v>
      </c>
      <c r="F168" s="8">
        <v>152080</v>
      </c>
      <c r="G168" s="9">
        <v>13</v>
      </c>
      <c r="H168" s="10" t="s">
        <v>191</v>
      </c>
      <c r="I168" s="5" t="str">
        <f>CHOOSE(MATCH(B168,{"Январь","Февраль","Март","Апрель","Май","Июнь","Июль","Август","Сентябрь","Октябрь","Ноябрь","Декабрь"},0),
"Jan","Feb","Mar","Apr","May","Jun","Jul","Aug","Sep","Oct","Nov","Dec")</f>
        <v>May</v>
      </c>
    </row>
    <row r="169" spans="1:9" x14ac:dyDescent="0.35">
      <c r="A169" s="6">
        <v>2023</v>
      </c>
      <c r="B169" s="7" t="s">
        <v>59</v>
      </c>
      <c r="C169" s="7" t="s">
        <v>10</v>
      </c>
      <c r="D169" s="7" t="s">
        <v>11</v>
      </c>
      <c r="E169" s="7" t="s">
        <v>15</v>
      </c>
      <c r="F169" s="8">
        <v>253050</v>
      </c>
      <c r="G169" s="9">
        <v>14</v>
      </c>
      <c r="H169" s="10" t="s">
        <v>192</v>
      </c>
      <c r="I169" s="5" t="str">
        <f>CHOOSE(MATCH(B169,{"Январь","Февраль","Март","Апрель","Май","Июнь","Июль","Август","Сентябрь","Октябрь","Ноябрь","Декабрь"},0),
"Jan","Feb","Mar","Apr","May","Jun","Jul","Aug","Sep","Oct","Nov","Dec")</f>
        <v>May</v>
      </c>
    </row>
    <row r="170" spans="1:9" x14ac:dyDescent="0.35">
      <c r="A170" s="6">
        <v>2023</v>
      </c>
      <c r="B170" s="7" t="s">
        <v>59</v>
      </c>
      <c r="C170" s="7" t="s">
        <v>22</v>
      </c>
      <c r="D170" s="7" t="s">
        <v>7</v>
      </c>
      <c r="E170" s="7" t="s">
        <v>8</v>
      </c>
      <c r="F170" s="8">
        <v>476680</v>
      </c>
      <c r="G170" s="9">
        <v>27</v>
      </c>
      <c r="H170" s="10" t="s">
        <v>193</v>
      </c>
      <c r="I170" s="5" t="str">
        <f>CHOOSE(MATCH(B170,{"Январь","Февраль","Март","Апрель","Май","Июнь","Июль","Август","Сентябрь","Октябрь","Ноябрь","Декабрь"},0),
"Jan","Feb","Mar","Apr","May","Jun","Jul","Aug","Sep","Oct","Nov","Dec")</f>
        <v>May</v>
      </c>
    </row>
    <row r="171" spans="1:9" x14ac:dyDescent="0.35">
      <c r="A171" s="6">
        <v>2023</v>
      </c>
      <c r="B171" s="7" t="s">
        <v>59</v>
      </c>
      <c r="C171" s="7" t="s">
        <v>17</v>
      </c>
      <c r="D171" s="7" t="s">
        <v>18</v>
      </c>
      <c r="E171" s="7" t="s">
        <v>12</v>
      </c>
      <c r="F171" s="8">
        <v>312570</v>
      </c>
      <c r="G171" s="9">
        <v>23</v>
      </c>
      <c r="H171" s="10" t="s">
        <v>194</v>
      </c>
      <c r="I171" s="5" t="str">
        <f>CHOOSE(MATCH(B171,{"Январь","Февраль","Март","Апрель","Май","Июнь","Июль","Август","Сентябрь","Октябрь","Ноябрь","Декабрь"},0),
"Jan","Feb","Mar","Apr","May","Jun","Jul","Aug","Sep","Oct","Nov","Dec")</f>
        <v>May</v>
      </c>
    </row>
    <row r="172" spans="1:9" x14ac:dyDescent="0.35">
      <c r="A172" s="6">
        <v>2023</v>
      </c>
      <c r="B172" s="7" t="s">
        <v>59</v>
      </c>
      <c r="C172" s="7" t="s">
        <v>22</v>
      </c>
      <c r="D172" s="7" t="s">
        <v>7</v>
      </c>
      <c r="E172" s="7" t="s">
        <v>4</v>
      </c>
      <c r="F172" s="8">
        <v>336920</v>
      </c>
      <c r="G172" s="9">
        <v>22</v>
      </c>
      <c r="H172" s="10" t="s">
        <v>195</v>
      </c>
      <c r="I172" s="5" t="str">
        <f>CHOOSE(MATCH(B172,{"Январь","Февраль","Март","Апрель","Май","Июнь","Июль","Август","Сентябрь","Октябрь","Ноябрь","Декабрь"},0),
"Jan","Feb","Mar","Apr","May","Jun","Jul","Aug","Sep","Oct","Nov","Dec")</f>
        <v>May</v>
      </c>
    </row>
    <row r="173" spans="1:9" x14ac:dyDescent="0.35">
      <c r="A173" s="6">
        <v>2023</v>
      </c>
      <c r="B173" s="7" t="s">
        <v>59</v>
      </c>
      <c r="C173" s="7" t="s">
        <v>6</v>
      </c>
      <c r="D173" s="7" t="s">
        <v>3</v>
      </c>
      <c r="E173" s="7" t="s">
        <v>15</v>
      </c>
      <c r="F173" s="8">
        <v>540920</v>
      </c>
      <c r="G173" s="9">
        <v>37</v>
      </c>
      <c r="H173" s="10" t="s">
        <v>196</v>
      </c>
      <c r="I173" s="5" t="str">
        <f>CHOOSE(MATCH(B173,{"Январь","Февраль","Март","Апрель","Май","Июнь","Июль","Август","Сентябрь","Октябрь","Ноябрь","Декабрь"},0),
"Jan","Feb","Mar","Apr","May","Jun","Jul","Aug","Sep","Oct","Nov","Dec")</f>
        <v>May</v>
      </c>
    </row>
    <row r="174" spans="1:9" x14ac:dyDescent="0.35">
      <c r="A174" s="6">
        <v>2023</v>
      </c>
      <c r="B174" s="7" t="s">
        <v>70</v>
      </c>
      <c r="C174" s="7" t="s">
        <v>2</v>
      </c>
      <c r="D174" s="7" t="s">
        <v>7</v>
      </c>
      <c r="E174" s="7" t="s">
        <v>12</v>
      </c>
      <c r="F174" s="8">
        <v>312990</v>
      </c>
      <c r="G174" s="9">
        <v>24</v>
      </c>
      <c r="H174" s="10" t="s">
        <v>197</v>
      </c>
      <c r="I174" s="5" t="str">
        <f>CHOOSE(MATCH(B174,{"Январь","Февраль","Март","Апрель","Май","Июнь","Июль","Август","Сентябрь","Октябрь","Ноябрь","Декабрь"},0),
"Jan","Feb","Mar","Apr","May","Jun","Jul","Aug","Sep","Oct","Nov","Dec")</f>
        <v>Jun</v>
      </c>
    </row>
    <row r="175" spans="1:9" x14ac:dyDescent="0.35">
      <c r="A175" s="6">
        <v>2023</v>
      </c>
      <c r="B175" s="7" t="s">
        <v>70</v>
      </c>
      <c r="C175" s="7" t="s">
        <v>2</v>
      </c>
      <c r="D175" s="7" t="s">
        <v>11</v>
      </c>
      <c r="E175" s="7" t="s">
        <v>4</v>
      </c>
      <c r="F175" s="8">
        <v>269050</v>
      </c>
      <c r="G175" s="9">
        <v>13</v>
      </c>
      <c r="H175" s="10" t="s">
        <v>198</v>
      </c>
      <c r="I175" s="5" t="str">
        <f>CHOOSE(MATCH(B175,{"Январь","Февраль","Март","Апрель","Май","Июнь","Июль","Август","Сентябрь","Октябрь","Ноябрь","Декабрь"},0),
"Jan","Feb","Mar","Apr","May","Jun","Jul","Aug","Sep","Oct","Nov","Dec")</f>
        <v>Jun</v>
      </c>
    </row>
    <row r="176" spans="1:9" x14ac:dyDescent="0.35">
      <c r="A176" s="6">
        <v>2023</v>
      </c>
      <c r="B176" s="7" t="s">
        <v>70</v>
      </c>
      <c r="C176" s="7" t="s">
        <v>17</v>
      </c>
      <c r="D176" s="7" t="s">
        <v>7</v>
      </c>
      <c r="E176" s="7" t="s">
        <v>15</v>
      </c>
      <c r="F176" s="8">
        <v>380090</v>
      </c>
      <c r="G176" s="9">
        <v>26</v>
      </c>
      <c r="H176" s="10" t="s">
        <v>199</v>
      </c>
      <c r="I176" s="5" t="str">
        <f>CHOOSE(MATCH(B176,{"Январь","Февраль","Март","Апрель","Май","Июнь","Июль","Август","Сентябрь","Октябрь","Ноябрь","Декабрь"},0),
"Jan","Feb","Mar","Apr","May","Jun","Jul","Aug","Sep","Oct","Nov","Dec")</f>
        <v>Jun</v>
      </c>
    </row>
    <row r="177" spans="1:9" x14ac:dyDescent="0.35">
      <c r="A177" s="6">
        <v>2023</v>
      </c>
      <c r="B177" s="7" t="s">
        <v>70</v>
      </c>
      <c r="C177" s="7" t="s">
        <v>6</v>
      </c>
      <c r="D177" s="7" t="s">
        <v>7</v>
      </c>
      <c r="E177" s="7" t="s">
        <v>4</v>
      </c>
      <c r="F177" s="8">
        <v>524860</v>
      </c>
      <c r="G177" s="9">
        <v>33</v>
      </c>
      <c r="H177" s="10" t="s">
        <v>200</v>
      </c>
      <c r="I177" s="5" t="str">
        <f>CHOOSE(MATCH(B177,{"Январь","Февраль","Март","Апрель","Май","Июнь","Июль","Август","Сентябрь","Октябрь","Ноябрь","Декабрь"},0),
"Jan","Feb","Mar","Apr","May","Jun","Jul","Aug","Sep","Oct","Nov","Dec")</f>
        <v>Jun</v>
      </c>
    </row>
    <row r="178" spans="1:9" x14ac:dyDescent="0.35">
      <c r="A178" s="6">
        <v>2023</v>
      </c>
      <c r="B178" s="7" t="s">
        <v>70</v>
      </c>
      <c r="C178" s="7" t="s">
        <v>22</v>
      </c>
      <c r="D178" s="7" t="s">
        <v>7</v>
      </c>
      <c r="E178" s="7" t="s">
        <v>15</v>
      </c>
      <c r="F178" s="8">
        <v>468110</v>
      </c>
      <c r="G178" s="9">
        <v>37</v>
      </c>
      <c r="H178" s="10" t="s">
        <v>201</v>
      </c>
      <c r="I178" s="5" t="str">
        <f>CHOOSE(MATCH(B178,{"Январь","Февраль","Март","Апрель","Май","Июнь","Июль","Август","Сентябрь","Октябрь","Ноябрь","Декабрь"},0),
"Jan","Feb","Mar","Apr","May","Jun","Jul","Aug","Sep","Oct","Nov","Dec")</f>
        <v>Jun</v>
      </c>
    </row>
    <row r="179" spans="1:9" x14ac:dyDescent="0.35">
      <c r="A179" s="6">
        <v>2023</v>
      </c>
      <c r="B179" s="7" t="s">
        <v>70</v>
      </c>
      <c r="C179" s="7" t="s">
        <v>6</v>
      </c>
      <c r="D179" s="7" t="s">
        <v>7</v>
      </c>
      <c r="E179" s="7" t="s">
        <v>4</v>
      </c>
      <c r="F179" s="8">
        <v>501960</v>
      </c>
      <c r="G179" s="9">
        <v>31</v>
      </c>
      <c r="H179" s="10" t="s">
        <v>202</v>
      </c>
      <c r="I179" s="5" t="str">
        <f>CHOOSE(MATCH(B179,{"Январь","Февраль","Март","Апрель","Май","Июнь","Июль","Август","Сентябрь","Октябрь","Ноябрь","Декабрь"},0),
"Jan","Feb","Mar","Apr","May","Jun","Jul","Aug","Sep","Oct","Nov","Dec")</f>
        <v>Jun</v>
      </c>
    </row>
    <row r="180" spans="1:9" x14ac:dyDescent="0.35">
      <c r="A180" s="6">
        <v>2023</v>
      </c>
      <c r="B180" s="7" t="s">
        <v>70</v>
      </c>
      <c r="C180" s="7" t="s">
        <v>10</v>
      </c>
      <c r="D180" s="7" t="s">
        <v>3</v>
      </c>
      <c r="E180" s="7" t="s">
        <v>8</v>
      </c>
      <c r="F180" s="8">
        <v>317120</v>
      </c>
      <c r="G180" s="9">
        <v>12</v>
      </c>
      <c r="H180" s="10" t="s">
        <v>203</v>
      </c>
      <c r="I180" s="5" t="str">
        <f>CHOOSE(MATCH(B180,{"Январь","Февраль","Март","Апрель","Май","Июнь","Июль","Август","Сентябрь","Октябрь","Ноябрь","Декабрь"},0),
"Jan","Feb","Mar","Apr","May","Jun","Jul","Aug","Sep","Oct","Nov","Dec")</f>
        <v>Jun</v>
      </c>
    </row>
    <row r="181" spans="1:9" x14ac:dyDescent="0.35">
      <c r="A181" s="6">
        <v>2023</v>
      </c>
      <c r="B181" s="7" t="s">
        <v>70</v>
      </c>
      <c r="C181" s="7" t="s">
        <v>22</v>
      </c>
      <c r="D181" s="7" t="s">
        <v>3</v>
      </c>
      <c r="E181" s="7" t="s">
        <v>8</v>
      </c>
      <c r="F181" s="8">
        <v>587920</v>
      </c>
      <c r="G181" s="9">
        <v>33</v>
      </c>
      <c r="H181" s="10" t="s">
        <v>204</v>
      </c>
      <c r="I181" s="5" t="str">
        <f>CHOOSE(MATCH(B181,{"Январь","Февраль","Март","Апрель","Май","Июнь","Июль","Август","Сентябрь","Октябрь","Ноябрь","Декабрь"},0),
"Jan","Feb","Mar","Apr","May","Jun","Jul","Aug","Sep","Oct","Nov","Dec")</f>
        <v>Jun</v>
      </c>
    </row>
    <row r="182" spans="1:9" x14ac:dyDescent="0.35">
      <c r="A182" s="6">
        <v>2023</v>
      </c>
      <c r="B182" s="7" t="s">
        <v>70</v>
      </c>
      <c r="C182" s="7" t="s">
        <v>22</v>
      </c>
      <c r="D182" s="7" t="s">
        <v>3</v>
      </c>
      <c r="E182" s="7" t="s">
        <v>15</v>
      </c>
      <c r="F182" s="8">
        <v>172580</v>
      </c>
      <c r="G182" s="9">
        <v>14</v>
      </c>
      <c r="H182" s="10" t="s">
        <v>205</v>
      </c>
      <c r="I182" s="5" t="str">
        <f>CHOOSE(MATCH(B182,{"Январь","Февраль","Март","Апрель","Май","Июнь","Июль","Август","Сентябрь","Октябрь","Ноябрь","Декабрь"},0),
"Jan","Feb","Mar","Apr","May","Jun","Jul","Aug","Sep","Oct","Nov","Dec")</f>
        <v>Jun</v>
      </c>
    </row>
    <row r="183" spans="1:9" x14ac:dyDescent="0.35">
      <c r="A183" s="6">
        <v>2023</v>
      </c>
      <c r="B183" s="7" t="s">
        <v>70</v>
      </c>
      <c r="C183" s="7" t="s">
        <v>17</v>
      </c>
      <c r="D183" s="7" t="s">
        <v>3</v>
      </c>
      <c r="E183" s="7" t="s">
        <v>15</v>
      </c>
      <c r="F183" s="8">
        <v>523340</v>
      </c>
      <c r="G183" s="9">
        <v>34</v>
      </c>
      <c r="H183" s="10" t="s">
        <v>206</v>
      </c>
      <c r="I183" s="5" t="str">
        <f>CHOOSE(MATCH(B183,{"Январь","Февраль","Март","Апрель","Май","Июнь","Июль","Август","Сентябрь","Октябрь","Ноябрь","Декабрь"},0),
"Jan","Feb","Mar","Apr","May","Jun","Jul","Aug","Sep","Oct","Nov","Dec")</f>
        <v>Jun</v>
      </c>
    </row>
    <row r="184" spans="1:9" x14ac:dyDescent="0.35">
      <c r="A184" s="6">
        <v>2023</v>
      </c>
      <c r="B184" s="7" t="s">
        <v>81</v>
      </c>
      <c r="C184" s="7" t="s">
        <v>10</v>
      </c>
      <c r="D184" s="7" t="s">
        <v>7</v>
      </c>
      <c r="E184" s="7" t="s">
        <v>8</v>
      </c>
      <c r="F184" s="8">
        <v>931210</v>
      </c>
      <c r="G184" s="9">
        <v>38</v>
      </c>
      <c r="H184" s="10" t="s">
        <v>207</v>
      </c>
      <c r="I184" s="5" t="str">
        <f>CHOOSE(MATCH(B184,{"Январь","Февраль","Март","Апрель","Май","Июнь","Июль","Август","Сентябрь","Октябрь","Ноябрь","Декабрь"},0),
"Jan","Feb","Mar","Apr","May","Jun","Jul","Aug","Sep","Oct","Nov","Dec")</f>
        <v>Jul</v>
      </c>
    </row>
    <row r="185" spans="1:9" x14ac:dyDescent="0.35">
      <c r="A185" s="6">
        <v>2023</v>
      </c>
      <c r="B185" s="7" t="s">
        <v>81</v>
      </c>
      <c r="C185" s="7" t="s">
        <v>22</v>
      </c>
      <c r="D185" s="7" t="s">
        <v>18</v>
      </c>
      <c r="E185" s="7" t="s">
        <v>4</v>
      </c>
      <c r="F185" s="8">
        <v>615390</v>
      </c>
      <c r="G185" s="9">
        <v>40</v>
      </c>
      <c r="H185" s="10" t="s">
        <v>208</v>
      </c>
      <c r="I185" s="5" t="str">
        <f>CHOOSE(MATCH(B185,{"Январь","Февраль","Март","Апрель","Май","Июнь","Июль","Август","Сентябрь","Октябрь","Ноябрь","Декабрь"},0),
"Jan","Feb","Mar","Apr","May","Jun","Jul","Aug","Sep","Oct","Nov","Dec")</f>
        <v>Jul</v>
      </c>
    </row>
    <row r="186" spans="1:9" x14ac:dyDescent="0.35">
      <c r="A186" s="6">
        <v>2023</v>
      </c>
      <c r="B186" s="7" t="s">
        <v>81</v>
      </c>
      <c r="C186" s="7" t="s">
        <v>2</v>
      </c>
      <c r="D186" s="7" t="s">
        <v>3</v>
      </c>
      <c r="E186" s="7" t="s">
        <v>12</v>
      </c>
      <c r="F186" s="8">
        <v>185980</v>
      </c>
      <c r="G186" s="9">
        <v>13</v>
      </c>
      <c r="H186" s="10" t="s">
        <v>209</v>
      </c>
      <c r="I186" s="5" t="str">
        <f>CHOOSE(MATCH(B186,{"Январь","Февраль","Март","Апрель","Май","Июнь","Июль","Август","Сентябрь","Октябрь","Ноябрь","Декабрь"},0),
"Jan","Feb","Mar","Apr","May","Jun","Jul","Aug","Sep","Oct","Nov","Dec")</f>
        <v>Jul</v>
      </c>
    </row>
    <row r="187" spans="1:9" x14ac:dyDescent="0.35">
      <c r="A187" s="6">
        <v>2023</v>
      </c>
      <c r="B187" s="7" t="s">
        <v>81</v>
      </c>
      <c r="C187" s="7" t="s">
        <v>6</v>
      </c>
      <c r="D187" s="7" t="s">
        <v>3</v>
      </c>
      <c r="E187" s="7" t="s">
        <v>4</v>
      </c>
      <c r="F187" s="8">
        <v>310710</v>
      </c>
      <c r="G187" s="9">
        <v>19</v>
      </c>
      <c r="H187" s="10" t="s">
        <v>210</v>
      </c>
      <c r="I187" s="5" t="str">
        <f>CHOOSE(MATCH(B187,{"Январь","Февраль","Март","Апрель","Май","Июнь","Июль","Август","Сентябрь","Октябрь","Ноябрь","Декабрь"},0),
"Jan","Feb","Mar","Apr","May","Jun","Jul","Aug","Sep","Oct","Nov","Dec")</f>
        <v>Jul</v>
      </c>
    </row>
    <row r="188" spans="1:9" x14ac:dyDescent="0.35">
      <c r="A188" s="6">
        <v>2023</v>
      </c>
      <c r="B188" s="7" t="s">
        <v>81</v>
      </c>
      <c r="C188" s="7" t="s">
        <v>2</v>
      </c>
      <c r="D188" s="7" t="s">
        <v>18</v>
      </c>
      <c r="E188" s="7" t="s">
        <v>4</v>
      </c>
      <c r="F188" s="8">
        <v>633570</v>
      </c>
      <c r="G188" s="9">
        <v>34</v>
      </c>
      <c r="H188" s="10" t="s">
        <v>211</v>
      </c>
      <c r="I188" s="5" t="str">
        <f>CHOOSE(MATCH(B188,{"Январь","Февраль","Март","Апрель","Май","Июнь","Июль","Август","Сентябрь","Октябрь","Ноябрь","Декабрь"},0),
"Jan","Feb","Mar","Apr","May","Jun","Jul","Aug","Sep","Oct","Nov","Dec")</f>
        <v>Jul</v>
      </c>
    </row>
    <row r="189" spans="1:9" x14ac:dyDescent="0.35">
      <c r="A189" s="6">
        <v>2023</v>
      </c>
      <c r="B189" s="7" t="s">
        <v>81</v>
      </c>
      <c r="C189" s="7" t="s">
        <v>22</v>
      </c>
      <c r="D189" s="7" t="s">
        <v>18</v>
      </c>
      <c r="E189" s="7" t="s">
        <v>15</v>
      </c>
      <c r="F189" s="8">
        <v>284770</v>
      </c>
      <c r="G189" s="9">
        <v>21</v>
      </c>
      <c r="H189" s="10" t="s">
        <v>212</v>
      </c>
      <c r="I189" s="5" t="str">
        <f>CHOOSE(MATCH(B189,{"Январь","Февраль","Март","Апрель","Май","Июнь","Июль","Август","Сентябрь","Октябрь","Ноябрь","Декабрь"},0),
"Jan","Feb","Mar","Apr","May","Jun","Jul","Aug","Sep","Oct","Nov","Dec")</f>
        <v>Jul</v>
      </c>
    </row>
    <row r="190" spans="1:9" x14ac:dyDescent="0.35">
      <c r="A190" s="6">
        <v>2023</v>
      </c>
      <c r="B190" s="7" t="s">
        <v>81</v>
      </c>
      <c r="C190" s="7" t="s">
        <v>17</v>
      </c>
      <c r="D190" s="7" t="s">
        <v>3</v>
      </c>
      <c r="E190" s="7" t="s">
        <v>4</v>
      </c>
      <c r="F190" s="8">
        <v>227240</v>
      </c>
      <c r="G190" s="9">
        <v>13</v>
      </c>
      <c r="H190" s="10" t="s">
        <v>213</v>
      </c>
      <c r="I190" s="5" t="str">
        <f>CHOOSE(MATCH(B190,{"Январь","Февраль","Март","Апрель","Май","Июнь","Июль","Август","Сентябрь","Октябрь","Ноябрь","Декабрь"},0),
"Jan","Feb","Mar","Apr","May","Jun","Jul","Aug","Sep","Oct","Nov","Dec")</f>
        <v>Jul</v>
      </c>
    </row>
    <row r="191" spans="1:9" x14ac:dyDescent="0.35">
      <c r="A191" s="6">
        <v>2023</v>
      </c>
      <c r="B191" s="7" t="s">
        <v>81</v>
      </c>
      <c r="C191" s="7" t="s">
        <v>10</v>
      </c>
      <c r="D191" s="7" t="s">
        <v>7</v>
      </c>
      <c r="E191" s="7" t="s">
        <v>8</v>
      </c>
      <c r="F191" s="8">
        <v>944710</v>
      </c>
      <c r="G191" s="9">
        <v>38</v>
      </c>
      <c r="H191" s="10" t="s">
        <v>214</v>
      </c>
      <c r="I191" s="5" t="str">
        <f>CHOOSE(MATCH(B191,{"Январь","Февраль","Март","Апрель","Май","Июнь","Июль","Август","Сентябрь","Октябрь","Ноябрь","Декабрь"},0),
"Jan","Feb","Mar","Apr","May","Jun","Jul","Aug","Sep","Oct","Nov","Dec")</f>
        <v>Jul</v>
      </c>
    </row>
    <row r="192" spans="1:9" x14ac:dyDescent="0.35">
      <c r="A192" s="6">
        <v>2023</v>
      </c>
      <c r="B192" s="7" t="s">
        <v>81</v>
      </c>
      <c r="C192" s="7" t="s">
        <v>10</v>
      </c>
      <c r="D192" s="7" t="s">
        <v>7</v>
      </c>
      <c r="E192" s="7" t="s">
        <v>8</v>
      </c>
      <c r="F192" s="8">
        <v>682750</v>
      </c>
      <c r="G192" s="9">
        <v>27</v>
      </c>
      <c r="H192" s="10" t="s">
        <v>215</v>
      </c>
      <c r="I192" s="5" t="str">
        <f>CHOOSE(MATCH(B192,{"Январь","Февраль","Март","Апрель","Май","Июнь","Июль","Август","Сентябрь","Октябрь","Ноябрь","Декабрь"},0),
"Jan","Feb","Mar","Apr","May","Jun","Jul","Aug","Sep","Oct","Nov","Dec")</f>
        <v>Jul</v>
      </c>
    </row>
    <row r="193" spans="1:9" x14ac:dyDescent="0.35">
      <c r="A193" s="6">
        <v>2023</v>
      </c>
      <c r="B193" s="7" t="s">
        <v>81</v>
      </c>
      <c r="C193" s="7" t="s">
        <v>6</v>
      </c>
      <c r="D193" s="7" t="s">
        <v>7</v>
      </c>
      <c r="E193" s="7" t="s">
        <v>15</v>
      </c>
      <c r="F193" s="8">
        <v>485010</v>
      </c>
      <c r="G193" s="9">
        <v>36</v>
      </c>
      <c r="H193" s="10" t="s">
        <v>216</v>
      </c>
      <c r="I193" s="5" t="str">
        <f>CHOOSE(MATCH(B193,{"Январь","Февраль","Март","Апрель","Май","Июнь","Июль","Август","Сентябрь","Октябрь","Ноябрь","Декабрь"},0),
"Jan","Feb","Mar","Apr","May","Jun","Jul","Aug","Sep","Oct","Nov","Dec")</f>
        <v>Jul</v>
      </c>
    </row>
    <row r="194" spans="1:9" x14ac:dyDescent="0.35">
      <c r="A194" s="6">
        <v>2023</v>
      </c>
      <c r="B194" s="7" t="s">
        <v>92</v>
      </c>
      <c r="C194" s="7" t="s">
        <v>22</v>
      </c>
      <c r="D194" s="7" t="s">
        <v>7</v>
      </c>
      <c r="E194" s="7" t="s">
        <v>4</v>
      </c>
      <c r="F194" s="8">
        <v>346460</v>
      </c>
      <c r="G194" s="9">
        <v>23</v>
      </c>
      <c r="H194" s="10" t="s">
        <v>217</v>
      </c>
      <c r="I194" s="5" t="str">
        <f>CHOOSE(MATCH(B194,{"Январь","Февраль","Март","Апрель","Май","Июнь","Июль","Август","Сентябрь","Октябрь","Ноябрь","Декабрь"},0),
"Jan","Feb","Mar","Apr","May","Jun","Jul","Aug","Sep","Oct","Nov","Dec")</f>
        <v>Aug</v>
      </c>
    </row>
    <row r="195" spans="1:9" x14ac:dyDescent="0.35">
      <c r="A195" s="6">
        <v>2023</v>
      </c>
      <c r="B195" s="7" t="s">
        <v>92</v>
      </c>
      <c r="C195" s="7" t="s">
        <v>2</v>
      </c>
      <c r="D195" s="7" t="s">
        <v>11</v>
      </c>
      <c r="E195" s="7" t="s">
        <v>4</v>
      </c>
      <c r="F195" s="8">
        <v>549430</v>
      </c>
      <c r="G195" s="9">
        <v>28</v>
      </c>
      <c r="H195" s="10" t="s">
        <v>218</v>
      </c>
      <c r="I195" s="5" t="str">
        <f>CHOOSE(MATCH(B195,{"Январь","Февраль","Март","Апрель","Май","Июнь","Июль","Август","Сентябрь","Октябрь","Ноябрь","Декабрь"},0),
"Jan","Feb","Mar","Apr","May","Jun","Jul","Aug","Sep","Oct","Nov","Dec")</f>
        <v>Aug</v>
      </c>
    </row>
    <row r="196" spans="1:9" x14ac:dyDescent="0.35">
      <c r="A196" s="6">
        <v>2023</v>
      </c>
      <c r="B196" s="7" t="s">
        <v>92</v>
      </c>
      <c r="C196" s="7" t="s">
        <v>2</v>
      </c>
      <c r="D196" s="7" t="s">
        <v>3</v>
      </c>
      <c r="E196" s="7" t="s">
        <v>15</v>
      </c>
      <c r="F196" s="8">
        <v>251100</v>
      </c>
      <c r="G196" s="9">
        <v>16</v>
      </c>
      <c r="H196" s="10" t="s">
        <v>219</v>
      </c>
      <c r="I196" s="5" t="str">
        <f>CHOOSE(MATCH(B196,{"Январь","Февраль","Март","Апрель","Май","Июнь","Июль","Август","Сентябрь","Октябрь","Ноябрь","Декабрь"},0),
"Jan","Feb","Mar","Apr","May","Jun","Jul","Aug","Sep","Oct","Nov","Dec")</f>
        <v>Aug</v>
      </c>
    </row>
    <row r="197" spans="1:9" x14ac:dyDescent="0.35">
      <c r="A197" s="6">
        <v>2023</v>
      </c>
      <c r="B197" s="7" t="s">
        <v>92</v>
      </c>
      <c r="C197" s="7" t="s">
        <v>2</v>
      </c>
      <c r="D197" s="7" t="s">
        <v>18</v>
      </c>
      <c r="E197" s="7" t="s">
        <v>4</v>
      </c>
      <c r="F197" s="8">
        <v>270050</v>
      </c>
      <c r="G197" s="9">
        <v>15</v>
      </c>
      <c r="H197" s="10" t="s">
        <v>220</v>
      </c>
      <c r="I197" s="5" t="str">
        <f>CHOOSE(MATCH(B197,{"Январь","Февраль","Март","Апрель","Май","Июнь","Июль","Август","Сентябрь","Октябрь","Ноябрь","Декабрь"},0),
"Jan","Feb","Mar","Apr","May","Jun","Jul","Aug","Sep","Oct","Nov","Dec")</f>
        <v>Aug</v>
      </c>
    </row>
    <row r="198" spans="1:9" x14ac:dyDescent="0.35">
      <c r="A198" s="6">
        <v>2023</v>
      </c>
      <c r="B198" s="7" t="s">
        <v>92</v>
      </c>
      <c r="C198" s="7" t="s">
        <v>22</v>
      </c>
      <c r="D198" s="7" t="s">
        <v>18</v>
      </c>
      <c r="E198" s="7" t="s">
        <v>4</v>
      </c>
      <c r="F198" s="8">
        <v>548750</v>
      </c>
      <c r="G198" s="9">
        <v>36</v>
      </c>
      <c r="H198" s="10" t="s">
        <v>221</v>
      </c>
      <c r="I198" s="5" t="str">
        <f>CHOOSE(MATCH(B198,{"Январь","Февраль","Март","Апрель","Май","Июнь","Июль","Август","Сентябрь","Октябрь","Ноябрь","Декабрь"},0),
"Jan","Feb","Mar","Apr","May","Jun","Jul","Aug","Sep","Oct","Nov","Dec")</f>
        <v>Aug</v>
      </c>
    </row>
    <row r="199" spans="1:9" x14ac:dyDescent="0.35">
      <c r="A199" s="6">
        <v>2023</v>
      </c>
      <c r="B199" s="7" t="s">
        <v>92</v>
      </c>
      <c r="C199" s="7" t="s">
        <v>2</v>
      </c>
      <c r="D199" s="7" t="s">
        <v>14</v>
      </c>
      <c r="E199" s="7" t="s">
        <v>8</v>
      </c>
      <c r="F199" s="8">
        <v>418570</v>
      </c>
      <c r="G199" s="9">
        <v>19</v>
      </c>
      <c r="H199" s="10" t="s">
        <v>222</v>
      </c>
      <c r="I199" s="5" t="str">
        <f>CHOOSE(MATCH(B199,{"Январь","Февраль","Март","Апрель","Май","Июнь","Июль","Август","Сентябрь","Октябрь","Ноябрь","Декабрь"},0),
"Jan","Feb","Mar","Apr","May","Jun","Jul","Aug","Sep","Oct","Nov","Dec")</f>
        <v>Aug</v>
      </c>
    </row>
    <row r="200" spans="1:9" x14ac:dyDescent="0.35">
      <c r="A200" s="6">
        <v>2023</v>
      </c>
      <c r="B200" s="7" t="s">
        <v>92</v>
      </c>
      <c r="C200" s="7" t="s">
        <v>22</v>
      </c>
      <c r="D200" s="7" t="s">
        <v>18</v>
      </c>
      <c r="E200" s="7" t="s">
        <v>8</v>
      </c>
      <c r="F200" s="8">
        <v>256180</v>
      </c>
      <c r="G200" s="9">
        <v>14</v>
      </c>
      <c r="H200" s="10" t="s">
        <v>223</v>
      </c>
      <c r="I200" s="5" t="str">
        <f>CHOOSE(MATCH(B200,{"Январь","Февраль","Март","Апрель","Май","Июнь","Июль","Август","Сентябрь","Октябрь","Ноябрь","Декабрь"},0),
"Jan","Feb","Mar","Apr","May","Jun","Jul","Aug","Sep","Oct","Nov","Dec")</f>
        <v>Aug</v>
      </c>
    </row>
    <row r="201" spans="1:9" x14ac:dyDescent="0.35">
      <c r="A201" s="6">
        <v>2023</v>
      </c>
      <c r="B201" s="7" t="s">
        <v>92</v>
      </c>
      <c r="C201" s="7" t="s">
        <v>10</v>
      </c>
      <c r="D201" s="7" t="s">
        <v>7</v>
      </c>
      <c r="E201" s="7" t="s">
        <v>12</v>
      </c>
      <c r="F201" s="8">
        <v>565640</v>
      </c>
      <c r="G201" s="9">
        <v>35</v>
      </c>
      <c r="H201" s="10" t="s">
        <v>224</v>
      </c>
      <c r="I201" s="5" t="str">
        <f>CHOOSE(MATCH(B201,{"Январь","Февраль","Март","Апрель","Май","Июнь","Июль","Август","Сентябрь","Октябрь","Ноябрь","Декабрь"},0),
"Jan","Feb","Mar","Apr","May","Jun","Jul","Aug","Sep","Oct","Nov","Dec")</f>
        <v>Aug</v>
      </c>
    </row>
    <row r="202" spans="1:9" x14ac:dyDescent="0.35">
      <c r="A202" s="6">
        <v>2023</v>
      </c>
      <c r="B202" s="7" t="s">
        <v>92</v>
      </c>
      <c r="C202" s="7" t="s">
        <v>2</v>
      </c>
      <c r="D202" s="7" t="s">
        <v>7</v>
      </c>
      <c r="E202" s="7" t="s">
        <v>12</v>
      </c>
      <c r="F202" s="8">
        <v>379910</v>
      </c>
      <c r="G202" s="9">
        <v>29</v>
      </c>
      <c r="H202" s="10" t="s">
        <v>225</v>
      </c>
      <c r="I202" s="5" t="str">
        <f>CHOOSE(MATCH(B202,{"Январь","Февраль","Март","Апрель","Май","Июнь","Июль","Август","Сентябрь","Октябрь","Ноябрь","Декабрь"},0),
"Jan","Feb","Mar","Apr","May","Jun","Jul","Aug","Sep","Oct","Nov","Dec")</f>
        <v>Aug</v>
      </c>
    </row>
    <row r="203" spans="1:9" x14ac:dyDescent="0.35">
      <c r="A203" s="6">
        <v>2023</v>
      </c>
      <c r="B203" s="7" t="s">
        <v>92</v>
      </c>
      <c r="C203" s="7" t="s">
        <v>2</v>
      </c>
      <c r="D203" s="7" t="s">
        <v>7</v>
      </c>
      <c r="E203" s="7" t="s">
        <v>12</v>
      </c>
      <c r="F203" s="8">
        <v>376720</v>
      </c>
      <c r="G203" s="9">
        <v>27</v>
      </c>
      <c r="H203" s="10" t="s">
        <v>226</v>
      </c>
      <c r="I203" s="5" t="str">
        <f>CHOOSE(MATCH(B203,{"Январь","Февраль","Март","Апрель","Май","Июнь","Июль","Август","Сентябрь","Октябрь","Ноябрь","Декабрь"},0),
"Jan","Feb","Mar","Apr","May","Jun","Jul","Aug","Sep","Oct","Nov","Dec")</f>
        <v>Aug</v>
      </c>
    </row>
    <row r="204" spans="1:9" x14ac:dyDescent="0.35">
      <c r="A204" s="6">
        <v>2023</v>
      </c>
      <c r="B204" s="7" t="s">
        <v>103</v>
      </c>
      <c r="C204" s="7" t="s">
        <v>22</v>
      </c>
      <c r="D204" s="7" t="s">
        <v>18</v>
      </c>
      <c r="E204" s="7" t="s">
        <v>8</v>
      </c>
      <c r="F204" s="8">
        <v>573950</v>
      </c>
      <c r="G204" s="9">
        <v>34</v>
      </c>
      <c r="H204" s="10" t="s">
        <v>227</v>
      </c>
      <c r="I204" s="5" t="str">
        <f>CHOOSE(MATCH(B204,{"Январь","Февраль","Март","Апрель","Май","Июнь","Июль","Август","Сентябрь","Октябрь","Ноябрь","Декабрь"},0),
"Jan","Feb","Mar","Apr","May","Jun","Jul","Aug","Sep","Oct","Nov","Dec")</f>
        <v>Sep</v>
      </c>
    </row>
    <row r="205" spans="1:9" x14ac:dyDescent="0.35">
      <c r="A205" s="6">
        <v>2023</v>
      </c>
      <c r="B205" s="7" t="s">
        <v>103</v>
      </c>
      <c r="C205" s="7" t="s">
        <v>10</v>
      </c>
      <c r="D205" s="7" t="s">
        <v>18</v>
      </c>
      <c r="E205" s="7" t="s">
        <v>8</v>
      </c>
      <c r="F205" s="8">
        <v>1005920</v>
      </c>
      <c r="G205" s="9">
        <v>40</v>
      </c>
      <c r="H205" s="10" t="s">
        <v>228</v>
      </c>
      <c r="I205" s="5" t="str">
        <f>CHOOSE(MATCH(B205,{"Январь","Февраль","Март","Апрель","Май","Июнь","Июль","Август","Сентябрь","Октябрь","Ноябрь","Декабрь"},0),
"Jan","Feb","Mar","Apr","May","Jun","Jul","Aug","Sep","Oct","Nov","Dec")</f>
        <v>Sep</v>
      </c>
    </row>
    <row r="206" spans="1:9" x14ac:dyDescent="0.35">
      <c r="A206" s="6">
        <v>2023</v>
      </c>
      <c r="B206" s="7" t="s">
        <v>103</v>
      </c>
      <c r="C206" s="7" t="s">
        <v>6</v>
      </c>
      <c r="D206" s="7" t="s">
        <v>18</v>
      </c>
      <c r="E206" s="7" t="s">
        <v>8</v>
      </c>
      <c r="F206" s="8">
        <v>714390</v>
      </c>
      <c r="G206" s="9">
        <v>38</v>
      </c>
      <c r="H206" s="10" t="s">
        <v>229</v>
      </c>
      <c r="I206" s="5" t="str">
        <f>CHOOSE(MATCH(B206,{"Январь","Февраль","Март","Апрель","Май","Июнь","Июль","Август","Сентябрь","Октябрь","Ноябрь","Декабрь"},0),
"Jan","Feb","Mar","Apr","May","Jun","Jul","Aug","Sep","Oct","Nov","Dec")</f>
        <v>Sep</v>
      </c>
    </row>
    <row r="207" spans="1:9" x14ac:dyDescent="0.35">
      <c r="A207" s="6">
        <v>2023</v>
      </c>
      <c r="B207" s="7" t="s">
        <v>103</v>
      </c>
      <c r="C207" s="7" t="s">
        <v>6</v>
      </c>
      <c r="D207" s="7" t="s">
        <v>3</v>
      </c>
      <c r="E207" s="7" t="s">
        <v>15</v>
      </c>
      <c r="F207" s="8">
        <v>520410</v>
      </c>
      <c r="G207" s="9">
        <v>37</v>
      </c>
      <c r="H207" s="10" t="s">
        <v>230</v>
      </c>
      <c r="I207" s="5" t="str">
        <f>CHOOSE(MATCH(B207,{"Январь","Февраль","Март","Апрель","Май","Июнь","Июль","Август","Сентябрь","Октябрь","Ноябрь","Декабрь"},0),
"Jan","Feb","Mar","Apr","May","Jun","Jul","Aug","Sep","Oct","Nov","Dec")</f>
        <v>Sep</v>
      </c>
    </row>
    <row r="208" spans="1:9" x14ac:dyDescent="0.35">
      <c r="A208" s="6">
        <v>2023</v>
      </c>
      <c r="B208" s="7" t="s">
        <v>103</v>
      </c>
      <c r="C208" s="7" t="s">
        <v>10</v>
      </c>
      <c r="D208" s="7" t="s">
        <v>7</v>
      </c>
      <c r="E208" s="7" t="s">
        <v>15</v>
      </c>
      <c r="F208" s="8">
        <v>520880</v>
      </c>
      <c r="G208" s="9">
        <v>29</v>
      </c>
      <c r="H208" s="10" t="s">
        <v>231</v>
      </c>
      <c r="I208" s="5" t="str">
        <f>CHOOSE(MATCH(B208,{"Январь","Февраль","Март","Апрель","Май","Июнь","Июль","Август","Сентябрь","Октябрь","Ноябрь","Декабрь"},0),
"Jan","Feb","Mar","Apr","May","Jun","Jul","Aug","Sep","Oct","Nov","Dec")</f>
        <v>Sep</v>
      </c>
    </row>
    <row r="209" spans="1:9" x14ac:dyDescent="0.35">
      <c r="A209" s="6">
        <v>2023</v>
      </c>
      <c r="B209" s="7" t="s">
        <v>103</v>
      </c>
      <c r="C209" s="7" t="s">
        <v>22</v>
      </c>
      <c r="D209" s="7" t="s">
        <v>18</v>
      </c>
      <c r="E209" s="7" t="s">
        <v>8</v>
      </c>
      <c r="F209" s="8">
        <v>504960</v>
      </c>
      <c r="G209" s="9">
        <v>28</v>
      </c>
      <c r="H209" s="10" t="s">
        <v>232</v>
      </c>
      <c r="I209" s="5" t="str">
        <f>CHOOSE(MATCH(B209,{"Январь","Февраль","Март","Апрель","Май","Июнь","Июль","Август","Сентябрь","Октябрь","Ноябрь","Декабрь"},0),
"Jan","Feb","Mar","Apr","May","Jun","Jul","Aug","Sep","Oct","Nov","Dec")</f>
        <v>Sep</v>
      </c>
    </row>
    <row r="210" spans="1:9" x14ac:dyDescent="0.35">
      <c r="A210" s="6">
        <v>2023</v>
      </c>
      <c r="B210" s="7" t="s">
        <v>103</v>
      </c>
      <c r="C210" s="7" t="s">
        <v>6</v>
      </c>
      <c r="D210" s="7" t="s">
        <v>3</v>
      </c>
      <c r="E210" s="7" t="s">
        <v>15</v>
      </c>
      <c r="F210" s="8">
        <v>340400</v>
      </c>
      <c r="G210" s="9">
        <v>24</v>
      </c>
      <c r="H210" s="10" t="s">
        <v>233</v>
      </c>
      <c r="I210" s="5" t="str">
        <f>CHOOSE(MATCH(B210,{"Январь","Февраль","Март","Апрель","Май","Июнь","Июль","Август","Сентябрь","Октябрь","Ноябрь","Декабрь"},0),
"Jan","Feb","Mar","Apr","May","Jun","Jul","Aug","Sep","Oct","Nov","Dec")</f>
        <v>Sep</v>
      </c>
    </row>
    <row r="211" spans="1:9" x14ac:dyDescent="0.35">
      <c r="A211" s="6">
        <v>2023</v>
      </c>
      <c r="B211" s="7" t="s">
        <v>103</v>
      </c>
      <c r="C211" s="7" t="s">
        <v>22</v>
      </c>
      <c r="D211" s="7" t="s">
        <v>3</v>
      </c>
      <c r="E211" s="7" t="s">
        <v>15</v>
      </c>
      <c r="F211" s="8">
        <v>333020</v>
      </c>
      <c r="G211" s="9">
        <v>26</v>
      </c>
      <c r="H211" s="10" t="s">
        <v>234</v>
      </c>
      <c r="I211" s="5" t="str">
        <f>CHOOSE(MATCH(B211,{"Январь","Февраль","Март","Апрель","Май","Июнь","Июль","Август","Сентябрь","Октябрь","Ноябрь","Декабрь"},0),
"Jan","Feb","Mar","Apr","May","Jun","Jul","Aug","Sep","Oct","Nov","Dec")</f>
        <v>Sep</v>
      </c>
    </row>
    <row r="212" spans="1:9" x14ac:dyDescent="0.35">
      <c r="A212" s="6">
        <v>2023</v>
      </c>
      <c r="B212" s="7" t="s">
        <v>103</v>
      </c>
      <c r="C212" s="7" t="s">
        <v>6</v>
      </c>
      <c r="D212" s="7" t="s">
        <v>3</v>
      </c>
      <c r="E212" s="7" t="s">
        <v>12</v>
      </c>
      <c r="F212" s="8">
        <v>539650</v>
      </c>
      <c r="G212" s="9">
        <v>42</v>
      </c>
      <c r="H212" s="10" t="s">
        <v>235</v>
      </c>
      <c r="I212" s="5" t="str">
        <f>CHOOSE(MATCH(B212,{"Январь","Февраль","Март","Апрель","Май","Июнь","Июль","Август","Сентябрь","Октябрь","Ноябрь","Декабрь"},0),
"Jan","Feb","Mar","Apr","May","Jun","Jul","Aug","Sep","Oct","Nov","Dec")</f>
        <v>Sep</v>
      </c>
    </row>
    <row r="213" spans="1:9" x14ac:dyDescent="0.35">
      <c r="A213" s="6">
        <v>2023</v>
      </c>
      <c r="B213" s="7" t="s">
        <v>103</v>
      </c>
      <c r="C213" s="7" t="s">
        <v>2</v>
      </c>
      <c r="D213" s="7" t="s">
        <v>3</v>
      </c>
      <c r="E213" s="7" t="s">
        <v>15</v>
      </c>
      <c r="F213" s="8">
        <v>389060</v>
      </c>
      <c r="G213" s="9">
        <v>24</v>
      </c>
      <c r="H213" s="10" t="s">
        <v>236</v>
      </c>
      <c r="I213" s="5" t="str">
        <f>CHOOSE(MATCH(B213,{"Январь","Февраль","Март","Апрель","Май","Июнь","Июль","Август","Сентябрь","Октябрь","Ноябрь","Декабрь"},0),
"Jan","Feb","Mar","Apr","May","Jun","Jul","Aug","Sep","Oct","Nov","Dec")</f>
        <v>Sep</v>
      </c>
    </row>
    <row r="214" spans="1:9" x14ac:dyDescent="0.35">
      <c r="A214" s="6">
        <v>2023</v>
      </c>
      <c r="B214" s="7" t="s">
        <v>114</v>
      </c>
      <c r="C214" s="7" t="s">
        <v>2</v>
      </c>
      <c r="D214" s="7" t="s">
        <v>18</v>
      </c>
      <c r="E214" s="7" t="s">
        <v>15</v>
      </c>
      <c r="F214" s="8">
        <v>238880</v>
      </c>
      <c r="G214" s="9">
        <v>14</v>
      </c>
      <c r="H214" s="10" t="s">
        <v>237</v>
      </c>
      <c r="I214" s="5" t="str">
        <f>CHOOSE(MATCH(B214,{"Январь","Февраль","Март","Апрель","Май","Июнь","Июль","Август","Сентябрь","Октябрь","Ноябрь","Декабрь"},0),
"Jan","Feb","Mar","Apr","May","Jun","Jul","Aug","Sep","Oct","Nov","Dec")</f>
        <v>Oct</v>
      </c>
    </row>
    <row r="215" spans="1:9" x14ac:dyDescent="0.35">
      <c r="A215" s="6">
        <v>2023</v>
      </c>
      <c r="B215" s="7" t="s">
        <v>114</v>
      </c>
      <c r="C215" s="7" t="s">
        <v>10</v>
      </c>
      <c r="D215" s="7" t="s">
        <v>7</v>
      </c>
      <c r="E215" s="7" t="s">
        <v>12</v>
      </c>
      <c r="F215" s="8">
        <v>307580</v>
      </c>
      <c r="G215" s="9">
        <v>19</v>
      </c>
      <c r="H215" s="10" t="s">
        <v>238</v>
      </c>
      <c r="I215" s="5" t="str">
        <f>CHOOSE(MATCH(B215,{"Январь","Февраль","Март","Апрель","Май","Июнь","Июль","Август","Сентябрь","Октябрь","Ноябрь","Декабрь"},0),
"Jan","Feb","Mar","Apr","May","Jun","Jul","Aug","Sep","Oct","Nov","Dec")</f>
        <v>Oct</v>
      </c>
    </row>
    <row r="216" spans="1:9" x14ac:dyDescent="0.35">
      <c r="A216" s="6">
        <v>2023</v>
      </c>
      <c r="B216" s="7" t="s">
        <v>114</v>
      </c>
      <c r="C216" s="7" t="s">
        <v>17</v>
      </c>
      <c r="D216" s="7" t="s">
        <v>11</v>
      </c>
      <c r="E216" s="7" t="s">
        <v>15</v>
      </c>
      <c r="F216" s="8">
        <v>622600</v>
      </c>
      <c r="G216" s="9">
        <v>39</v>
      </c>
      <c r="H216" s="10" t="s">
        <v>239</v>
      </c>
      <c r="I216" s="5" t="str">
        <f>CHOOSE(MATCH(B216,{"Январь","Февраль","Март","Апрель","Май","Июнь","Июль","Август","Сентябрь","Октябрь","Ноябрь","Декабрь"},0),
"Jan","Feb","Mar","Apr","May","Jun","Jul","Aug","Sep","Oct","Nov","Dec")</f>
        <v>Oct</v>
      </c>
    </row>
    <row r="217" spans="1:9" x14ac:dyDescent="0.35">
      <c r="A217" s="6">
        <v>2023</v>
      </c>
      <c r="B217" s="7" t="s">
        <v>114</v>
      </c>
      <c r="C217" s="7" t="s">
        <v>17</v>
      </c>
      <c r="D217" s="7" t="s">
        <v>11</v>
      </c>
      <c r="E217" s="7" t="s">
        <v>12</v>
      </c>
      <c r="F217" s="8">
        <v>536350</v>
      </c>
      <c r="G217" s="9">
        <v>39</v>
      </c>
      <c r="H217" s="10" t="s">
        <v>240</v>
      </c>
      <c r="I217" s="5" t="str">
        <f>CHOOSE(MATCH(B217,{"Январь","Февраль","Март","Апрель","Май","Июнь","Июль","Август","Сентябрь","Октябрь","Ноябрь","Декабрь"},0),
"Jan","Feb","Mar","Apr","May","Jun","Jul","Aug","Sep","Oct","Nov","Dec")</f>
        <v>Oct</v>
      </c>
    </row>
    <row r="218" spans="1:9" x14ac:dyDescent="0.35">
      <c r="A218" s="6">
        <v>2023</v>
      </c>
      <c r="B218" s="7" t="s">
        <v>114</v>
      </c>
      <c r="C218" s="7" t="s">
        <v>22</v>
      </c>
      <c r="D218" s="7" t="s">
        <v>18</v>
      </c>
      <c r="E218" s="7" t="s">
        <v>4</v>
      </c>
      <c r="F218" s="8">
        <v>584200</v>
      </c>
      <c r="G218" s="9">
        <v>39</v>
      </c>
      <c r="H218" s="10" t="s">
        <v>241</v>
      </c>
      <c r="I218" s="5" t="str">
        <f>CHOOSE(MATCH(B218,{"Январь","Февраль","Март","Апрель","Май","Июнь","Июль","Август","Сентябрь","Октябрь","Ноябрь","Декабрь"},0),
"Jan","Feb","Mar","Apr","May","Jun","Jul","Aug","Sep","Oct","Nov","Dec")</f>
        <v>Oct</v>
      </c>
    </row>
    <row r="219" spans="1:9" x14ac:dyDescent="0.35">
      <c r="A219" s="6">
        <v>2023</v>
      </c>
      <c r="B219" s="7" t="s">
        <v>114</v>
      </c>
      <c r="C219" s="7" t="s">
        <v>6</v>
      </c>
      <c r="D219" s="7" t="s">
        <v>3</v>
      </c>
      <c r="E219" s="7" t="s">
        <v>8</v>
      </c>
      <c r="F219" s="8">
        <v>686360</v>
      </c>
      <c r="G219" s="9">
        <v>36</v>
      </c>
      <c r="H219" s="10" t="s">
        <v>242</v>
      </c>
      <c r="I219" s="5" t="str">
        <f>CHOOSE(MATCH(B219,{"Январь","Февраль","Март","Апрель","Май","Июнь","Июль","Август","Сентябрь","Октябрь","Ноябрь","Декабрь"},0),
"Jan","Feb","Mar","Apr","May","Jun","Jul","Aug","Sep","Oct","Nov","Dec")</f>
        <v>Oct</v>
      </c>
    </row>
    <row r="220" spans="1:9" x14ac:dyDescent="0.35">
      <c r="A220" s="6">
        <v>2023</v>
      </c>
      <c r="B220" s="7" t="s">
        <v>114</v>
      </c>
      <c r="C220" s="7" t="s">
        <v>10</v>
      </c>
      <c r="D220" s="7" t="s">
        <v>18</v>
      </c>
      <c r="E220" s="7" t="s">
        <v>12</v>
      </c>
      <c r="F220" s="8">
        <v>290410</v>
      </c>
      <c r="G220" s="9">
        <v>17</v>
      </c>
      <c r="H220" s="10" t="s">
        <v>243</v>
      </c>
      <c r="I220" s="5" t="str">
        <f>CHOOSE(MATCH(B220,{"Январь","Февраль","Март","Апрель","Май","Июнь","Июль","Август","Сентябрь","Октябрь","Ноябрь","Декабрь"},0),
"Jan","Feb","Mar","Apr","May","Jun","Jul","Aug","Sep","Oct","Nov","Dec")</f>
        <v>Oct</v>
      </c>
    </row>
    <row r="221" spans="1:9" x14ac:dyDescent="0.35">
      <c r="A221" s="6">
        <v>2023</v>
      </c>
      <c r="B221" s="7" t="s">
        <v>114</v>
      </c>
      <c r="C221" s="7" t="s">
        <v>10</v>
      </c>
      <c r="D221" s="7" t="s">
        <v>11</v>
      </c>
      <c r="E221" s="7" t="s">
        <v>15</v>
      </c>
      <c r="F221" s="8">
        <v>360970</v>
      </c>
      <c r="G221" s="9">
        <v>18</v>
      </c>
      <c r="H221" s="10" t="s">
        <v>244</v>
      </c>
      <c r="I221" s="5" t="str">
        <f>CHOOSE(MATCH(B221,{"Январь","Февраль","Март","Апрель","Май","Июнь","Июль","Август","Сентябрь","Октябрь","Ноябрь","Декабрь"},0),
"Jan","Feb","Mar","Apr","May","Jun","Jul","Aug","Sep","Oct","Nov","Dec")</f>
        <v>Oct</v>
      </c>
    </row>
    <row r="222" spans="1:9" x14ac:dyDescent="0.35">
      <c r="A222" s="6">
        <v>2023</v>
      </c>
      <c r="B222" s="7" t="s">
        <v>114</v>
      </c>
      <c r="C222" s="7" t="s">
        <v>22</v>
      </c>
      <c r="D222" s="7" t="s">
        <v>18</v>
      </c>
      <c r="E222" s="7" t="s">
        <v>8</v>
      </c>
      <c r="F222" s="8">
        <v>466580</v>
      </c>
      <c r="G222" s="9">
        <v>27</v>
      </c>
      <c r="H222" s="10" t="s">
        <v>245</v>
      </c>
      <c r="I222" s="5" t="str">
        <f>CHOOSE(MATCH(B222,{"Январь","Февраль","Март","Апрель","Май","Июнь","Июль","Август","Сентябрь","Октябрь","Ноябрь","Декабрь"},0),
"Jan","Feb","Mar","Apr","May","Jun","Jul","Aug","Sep","Oct","Nov","Dec")</f>
        <v>Oct</v>
      </c>
    </row>
    <row r="223" spans="1:9" x14ac:dyDescent="0.35">
      <c r="A223" s="6">
        <v>2023</v>
      </c>
      <c r="B223" s="7" t="s">
        <v>114</v>
      </c>
      <c r="C223" s="7" t="s">
        <v>6</v>
      </c>
      <c r="D223" s="7" t="s">
        <v>3</v>
      </c>
      <c r="E223" s="7" t="s">
        <v>8</v>
      </c>
      <c r="F223" s="8">
        <v>615640</v>
      </c>
      <c r="G223" s="9">
        <v>32</v>
      </c>
      <c r="H223" s="10" t="s">
        <v>246</v>
      </c>
      <c r="I223" s="5" t="str">
        <f>CHOOSE(MATCH(B223,{"Январь","Февраль","Март","Апрель","Май","Июнь","Июль","Август","Сентябрь","Октябрь","Ноябрь","Декабрь"},0),
"Jan","Feb","Mar","Apr","May","Jun","Jul","Aug","Sep","Oct","Nov","Dec")</f>
        <v>Oct</v>
      </c>
    </row>
    <row r="224" spans="1:9" x14ac:dyDescent="0.35">
      <c r="A224" s="6">
        <v>2023</v>
      </c>
      <c r="B224" s="7" t="s">
        <v>125</v>
      </c>
      <c r="C224" s="7" t="s">
        <v>22</v>
      </c>
      <c r="D224" s="7" t="s">
        <v>18</v>
      </c>
      <c r="E224" s="7" t="s">
        <v>12</v>
      </c>
      <c r="F224" s="8">
        <v>400020</v>
      </c>
      <c r="G224" s="9">
        <v>36</v>
      </c>
      <c r="H224" s="10" t="s">
        <v>247</v>
      </c>
      <c r="I224" s="5" t="str">
        <f>CHOOSE(MATCH(B224,{"Январь","Февраль","Март","Апрель","Май","Июнь","Июль","Август","Сентябрь","Октябрь","Ноябрь","Декабрь"},0),
"Jan","Feb","Mar","Apr","May","Jun","Jul","Aug","Sep","Oct","Nov","Dec")</f>
        <v>Nov</v>
      </c>
    </row>
    <row r="225" spans="1:9" x14ac:dyDescent="0.35">
      <c r="A225" s="6">
        <v>2023</v>
      </c>
      <c r="B225" s="7" t="s">
        <v>125</v>
      </c>
      <c r="C225" s="7" t="s">
        <v>22</v>
      </c>
      <c r="D225" s="7" t="s">
        <v>11</v>
      </c>
      <c r="E225" s="7" t="s">
        <v>8</v>
      </c>
      <c r="F225" s="8">
        <v>293720</v>
      </c>
      <c r="G225" s="9">
        <v>17</v>
      </c>
      <c r="H225" s="10" t="s">
        <v>248</v>
      </c>
      <c r="I225" s="5" t="str">
        <f>CHOOSE(MATCH(B225,{"Январь","Февраль","Март","Апрель","Май","Июнь","Июль","Август","Сентябрь","Октябрь","Ноябрь","Декабрь"},0),
"Jan","Feb","Mar","Apr","May","Jun","Jul","Aug","Sep","Oct","Nov","Dec")</f>
        <v>Nov</v>
      </c>
    </row>
    <row r="226" spans="1:9" x14ac:dyDescent="0.35">
      <c r="A226" s="6">
        <v>2023</v>
      </c>
      <c r="B226" s="7" t="s">
        <v>125</v>
      </c>
      <c r="C226" s="7" t="s">
        <v>17</v>
      </c>
      <c r="D226" s="7" t="s">
        <v>18</v>
      </c>
      <c r="E226" s="7" t="s">
        <v>12</v>
      </c>
      <c r="F226" s="8">
        <v>274140</v>
      </c>
      <c r="G226" s="9">
        <v>21</v>
      </c>
      <c r="H226" s="10" t="s">
        <v>249</v>
      </c>
      <c r="I226" s="5" t="str">
        <f>CHOOSE(MATCH(B226,{"Январь","Февраль","Март","Апрель","Май","Июнь","Июль","Август","Сентябрь","Октябрь","Ноябрь","Декабрь"},0),
"Jan","Feb","Mar","Apr","May","Jun","Jul","Aug","Sep","Oct","Nov","Dec")</f>
        <v>Nov</v>
      </c>
    </row>
    <row r="227" spans="1:9" x14ac:dyDescent="0.35">
      <c r="A227" s="6">
        <v>2023</v>
      </c>
      <c r="B227" s="7" t="s">
        <v>125</v>
      </c>
      <c r="C227" s="7" t="s">
        <v>6</v>
      </c>
      <c r="D227" s="7" t="s">
        <v>11</v>
      </c>
      <c r="E227" s="7" t="s">
        <v>15</v>
      </c>
      <c r="F227" s="8">
        <v>564710</v>
      </c>
      <c r="G227" s="9">
        <v>41</v>
      </c>
      <c r="H227" s="10" t="s">
        <v>250</v>
      </c>
      <c r="I227" s="5" t="str">
        <f>CHOOSE(MATCH(B227,{"Январь","Февраль","Март","Апрель","Май","Июнь","Июль","Август","Сентябрь","Октябрь","Ноябрь","Декабрь"},0),
"Jan","Feb","Mar","Apr","May","Jun","Jul","Aug","Sep","Oct","Nov","Dec")</f>
        <v>Nov</v>
      </c>
    </row>
    <row r="228" spans="1:9" x14ac:dyDescent="0.35">
      <c r="A228" s="6">
        <v>2023</v>
      </c>
      <c r="B228" s="7" t="s">
        <v>125</v>
      </c>
      <c r="C228" s="7" t="s">
        <v>22</v>
      </c>
      <c r="D228" s="7" t="s">
        <v>18</v>
      </c>
      <c r="E228" s="7" t="s">
        <v>4</v>
      </c>
      <c r="F228" s="8">
        <v>384480</v>
      </c>
      <c r="G228" s="9">
        <v>26</v>
      </c>
      <c r="H228" s="10" t="s">
        <v>251</v>
      </c>
      <c r="I228" s="5" t="str">
        <f>CHOOSE(MATCH(B228,{"Январь","Февраль","Март","Апрель","Май","Июнь","Июль","Август","Сентябрь","Октябрь","Ноябрь","Декабрь"},0),
"Jan","Feb","Mar","Apr","May","Jun","Jul","Aug","Sep","Oct","Nov","Dec")</f>
        <v>Nov</v>
      </c>
    </row>
    <row r="229" spans="1:9" x14ac:dyDescent="0.35">
      <c r="A229" s="6">
        <v>2023</v>
      </c>
      <c r="B229" s="7" t="s">
        <v>125</v>
      </c>
      <c r="C229" s="7" t="s">
        <v>10</v>
      </c>
      <c r="D229" s="7" t="s">
        <v>18</v>
      </c>
      <c r="E229" s="7" t="s">
        <v>4</v>
      </c>
      <c r="F229" s="8">
        <v>731940</v>
      </c>
      <c r="G229" s="9">
        <v>33</v>
      </c>
      <c r="H229" s="10" t="s">
        <v>252</v>
      </c>
      <c r="I229" s="5" t="str">
        <f>CHOOSE(MATCH(B229,{"Январь","Февраль","Март","Апрель","Май","Июнь","Июль","Август","Сентябрь","Октябрь","Ноябрь","Декабрь"},0),
"Jan","Feb","Mar","Apr","May","Jun","Jul","Aug","Sep","Oct","Nov","Dec")</f>
        <v>Nov</v>
      </c>
    </row>
    <row r="230" spans="1:9" x14ac:dyDescent="0.35">
      <c r="A230" s="6">
        <v>2023</v>
      </c>
      <c r="B230" s="7" t="s">
        <v>125</v>
      </c>
      <c r="C230" s="7" t="s">
        <v>6</v>
      </c>
      <c r="D230" s="7" t="s">
        <v>11</v>
      </c>
      <c r="E230" s="7" t="s">
        <v>4</v>
      </c>
      <c r="F230" s="8">
        <v>597340</v>
      </c>
      <c r="G230" s="9">
        <v>36</v>
      </c>
      <c r="H230" s="10" t="s">
        <v>253</v>
      </c>
      <c r="I230" s="5" t="str">
        <f>CHOOSE(MATCH(B230,{"Январь","Февраль","Март","Апрель","Май","Июнь","Июль","Август","Сентябрь","Октябрь","Ноябрь","Декабрь"},0),
"Jan","Feb","Mar","Apr","May","Jun","Jul","Aug","Sep","Oct","Nov","Dec")</f>
        <v>Nov</v>
      </c>
    </row>
    <row r="231" spans="1:9" x14ac:dyDescent="0.35">
      <c r="A231" s="6">
        <v>2023</v>
      </c>
      <c r="B231" s="7" t="s">
        <v>125</v>
      </c>
      <c r="C231" s="7" t="s">
        <v>2</v>
      </c>
      <c r="D231" s="7" t="s">
        <v>18</v>
      </c>
      <c r="E231" s="7" t="s">
        <v>8</v>
      </c>
      <c r="F231" s="8">
        <v>333300</v>
      </c>
      <c r="G231" s="9">
        <v>16</v>
      </c>
      <c r="H231" s="10" t="s">
        <v>254</v>
      </c>
      <c r="I231" s="5" t="str">
        <f>CHOOSE(MATCH(B231,{"Январь","Февраль","Март","Апрель","Май","Июнь","Июль","Август","Сентябрь","Октябрь","Ноябрь","Декабрь"},0),
"Jan","Feb","Mar","Apr","May","Jun","Jul","Aug","Sep","Oct","Nov","Dec")</f>
        <v>Nov</v>
      </c>
    </row>
    <row r="232" spans="1:9" x14ac:dyDescent="0.35">
      <c r="A232" s="6">
        <v>2023</v>
      </c>
      <c r="B232" s="7" t="s">
        <v>125</v>
      </c>
      <c r="C232" s="7" t="s">
        <v>6</v>
      </c>
      <c r="D232" s="7" t="s">
        <v>14</v>
      </c>
      <c r="E232" s="7" t="s">
        <v>8</v>
      </c>
      <c r="F232" s="8">
        <v>255460</v>
      </c>
      <c r="G232" s="9">
        <v>14</v>
      </c>
      <c r="H232" s="10" t="s">
        <v>255</v>
      </c>
      <c r="I232" s="5" t="str">
        <f>CHOOSE(MATCH(B232,{"Январь","Февраль","Март","Апрель","Май","Июнь","Июль","Август","Сентябрь","Октябрь","Ноябрь","Декабрь"},0),
"Jan","Feb","Mar","Apr","May","Jun","Jul","Aug","Sep","Oct","Nov","Dec")</f>
        <v>Nov</v>
      </c>
    </row>
    <row r="233" spans="1:9" x14ac:dyDescent="0.35">
      <c r="A233" s="6">
        <v>2023</v>
      </c>
      <c r="B233" s="7" t="s">
        <v>125</v>
      </c>
      <c r="C233" s="7" t="s">
        <v>22</v>
      </c>
      <c r="D233" s="7" t="s">
        <v>11</v>
      </c>
      <c r="E233" s="7" t="s">
        <v>8</v>
      </c>
      <c r="F233" s="8">
        <v>592680</v>
      </c>
      <c r="G233" s="9">
        <v>33</v>
      </c>
      <c r="H233" s="10" t="s">
        <v>256</v>
      </c>
      <c r="I233" s="5" t="str">
        <f>CHOOSE(MATCH(B233,{"Январь","Февраль","Март","Апрель","Май","Июнь","Июль","Август","Сентябрь","Октябрь","Ноябрь","Декабрь"},0),
"Jan","Feb","Mar","Apr","May","Jun","Jul","Aug","Sep","Oct","Nov","Dec")</f>
        <v>Nov</v>
      </c>
    </row>
    <row r="234" spans="1:9" x14ac:dyDescent="0.35">
      <c r="A234" s="6">
        <v>2023</v>
      </c>
      <c r="B234" s="7" t="s">
        <v>136</v>
      </c>
      <c r="C234" s="7" t="s">
        <v>2</v>
      </c>
      <c r="D234" s="7" t="s">
        <v>7</v>
      </c>
      <c r="E234" s="7" t="s">
        <v>12</v>
      </c>
      <c r="F234" s="8">
        <v>519650</v>
      </c>
      <c r="G234" s="9">
        <v>38</v>
      </c>
      <c r="H234" s="10" t="s">
        <v>257</v>
      </c>
      <c r="I234" s="5" t="str">
        <f>CHOOSE(MATCH(B234,{"Январь","Февраль","Март","Апрель","Май","Июнь","Июль","Август","Сентябрь","Октябрь","Ноябрь","Декабрь"},0),
"Jan","Feb","Mar","Apr","May","Jun","Jul","Aug","Sep","Oct","Nov","Dec")</f>
        <v>Dec</v>
      </c>
    </row>
    <row r="235" spans="1:9" x14ac:dyDescent="0.35">
      <c r="A235" s="6">
        <v>2023</v>
      </c>
      <c r="B235" s="7" t="s">
        <v>136</v>
      </c>
      <c r="C235" s="7" t="s">
        <v>17</v>
      </c>
      <c r="D235" s="7" t="s">
        <v>3</v>
      </c>
      <c r="E235" s="7" t="s">
        <v>15</v>
      </c>
      <c r="F235" s="8">
        <v>267170</v>
      </c>
      <c r="G235" s="9">
        <v>18</v>
      </c>
      <c r="H235" s="10" t="s">
        <v>258</v>
      </c>
      <c r="I235" s="5" t="str">
        <f>CHOOSE(MATCH(B235,{"Январь","Февраль","Март","Апрель","Май","Июнь","Июль","Август","Сентябрь","Октябрь","Ноябрь","Декабрь"},0),
"Jan","Feb","Mar","Apr","May","Jun","Jul","Aug","Sep","Oct","Nov","Dec")</f>
        <v>Dec</v>
      </c>
    </row>
    <row r="236" spans="1:9" x14ac:dyDescent="0.35">
      <c r="A236" s="6">
        <v>2023</v>
      </c>
      <c r="B236" s="7" t="s">
        <v>136</v>
      </c>
      <c r="C236" s="7" t="s">
        <v>6</v>
      </c>
      <c r="D236" s="7" t="s">
        <v>7</v>
      </c>
      <c r="E236" s="7" t="s">
        <v>8</v>
      </c>
      <c r="F236" s="8">
        <v>485270</v>
      </c>
      <c r="G236" s="9">
        <v>26</v>
      </c>
      <c r="H236" s="10" t="s">
        <v>259</v>
      </c>
      <c r="I236" s="5" t="str">
        <f>CHOOSE(MATCH(B236,{"Январь","Февраль","Март","Апрель","Май","Июнь","Июль","Август","Сентябрь","Октябрь","Ноябрь","Декабрь"},0),
"Jan","Feb","Mar","Apr","May","Jun","Jul","Aug","Sep","Oct","Nov","Dec")</f>
        <v>Dec</v>
      </c>
    </row>
    <row r="237" spans="1:9" x14ac:dyDescent="0.35">
      <c r="A237" s="6">
        <v>2023</v>
      </c>
      <c r="B237" s="7" t="s">
        <v>136</v>
      </c>
      <c r="C237" s="7" t="s">
        <v>10</v>
      </c>
      <c r="D237" s="7" t="s">
        <v>3</v>
      </c>
      <c r="E237" s="7" t="s">
        <v>4</v>
      </c>
      <c r="F237" s="8">
        <v>270940</v>
      </c>
      <c r="G237" s="9">
        <v>12</v>
      </c>
      <c r="H237" s="10" t="s">
        <v>260</v>
      </c>
      <c r="I237" s="5" t="str">
        <f>CHOOSE(MATCH(B237,{"Январь","Февраль","Март","Апрель","Май","Июнь","Июль","Август","Сентябрь","Октябрь","Ноябрь","Декабрь"},0),
"Jan","Feb","Mar","Apr","May","Jun","Jul","Aug","Sep","Oct","Nov","Dec")</f>
        <v>Dec</v>
      </c>
    </row>
    <row r="238" spans="1:9" x14ac:dyDescent="0.35">
      <c r="A238" s="6">
        <v>2023</v>
      </c>
      <c r="B238" s="7" t="s">
        <v>136</v>
      </c>
      <c r="C238" s="7" t="s">
        <v>22</v>
      </c>
      <c r="D238" s="7" t="s">
        <v>7</v>
      </c>
      <c r="E238" s="7" t="s">
        <v>15</v>
      </c>
      <c r="F238" s="8">
        <v>207810</v>
      </c>
      <c r="G238" s="9">
        <v>16</v>
      </c>
      <c r="H238" s="10" t="s">
        <v>261</v>
      </c>
      <c r="I238" s="5" t="str">
        <f>CHOOSE(MATCH(B238,{"Январь","Февраль","Март","Апрель","Май","Июнь","Июль","Август","Сентябрь","Октябрь","Ноябрь","Декабрь"},0),
"Jan","Feb","Mar","Apr","May","Jun","Jul","Aug","Sep","Oct","Nov","Dec")</f>
        <v>Dec</v>
      </c>
    </row>
    <row r="239" spans="1:9" x14ac:dyDescent="0.35">
      <c r="A239" s="6">
        <v>2023</v>
      </c>
      <c r="B239" s="7" t="s">
        <v>136</v>
      </c>
      <c r="C239" s="7" t="s">
        <v>2</v>
      </c>
      <c r="D239" s="7" t="s">
        <v>7</v>
      </c>
      <c r="E239" s="7" t="s">
        <v>12</v>
      </c>
      <c r="F239" s="8">
        <v>400360</v>
      </c>
      <c r="G239" s="9">
        <v>29</v>
      </c>
      <c r="H239" s="10" t="s">
        <v>262</v>
      </c>
      <c r="I239" s="5" t="str">
        <f>CHOOSE(MATCH(B239,{"Январь","Февраль","Март","Апрель","Май","Июнь","Июль","Август","Сентябрь","Октябрь","Ноябрь","Декабрь"},0),
"Jan","Feb","Mar","Apr","May","Jun","Jul","Aug","Sep","Oct","Nov","Dec")</f>
        <v>Dec</v>
      </c>
    </row>
    <row r="240" spans="1:9" x14ac:dyDescent="0.35">
      <c r="A240" s="6">
        <v>2023</v>
      </c>
      <c r="B240" s="7" t="s">
        <v>136</v>
      </c>
      <c r="C240" s="7" t="s">
        <v>10</v>
      </c>
      <c r="D240" s="7" t="s">
        <v>18</v>
      </c>
      <c r="E240" s="7" t="s">
        <v>15</v>
      </c>
      <c r="F240" s="8">
        <v>465720</v>
      </c>
      <c r="G240" s="9">
        <v>24</v>
      </c>
      <c r="H240" s="10" t="s">
        <v>263</v>
      </c>
      <c r="I240" s="5" t="str">
        <f>CHOOSE(MATCH(B240,{"Январь","Февраль","Март","Апрель","Май","Июнь","Июль","Август","Сентябрь","Октябрь","Ноябрь","Декабрь"},0),
"Jan","Feb","Mar","Apr","May","Jun","Jul","Aug","Sep","Oct","Nov","Dec")</f>
        <v>Dec</v>
      </c>
    </row>
    <row r="241" spans="1:9" x14ac:dyDescent="0.35">
      <c r="A241" s="6">
        <v>2023</v>
      </c>
      <c r="B241" s="7" t="s">
        <v>136</v>
      </c>
      <c r="C241" s="7" t="s">
        <v>17</v>
      </c>
      <c r="D241" s="7" t="s">
        <v>3</v>
      </c>
      <c r="E241" s="7" t="s">
        <v>4</v>
      </c>
      <c r="F241" s="8">
        <v>285920</v>
      </c>
      <c r="G241" s="9">
        <v>16</v>
      </c>
      <c r="H241" s="10" t="s">
        <v>264</v>
      </c>
      <c r="I241" s="5" t="str">
        <f>CHOOSE(MATCH(B241,{"Январь","Февраль","Март","Апрель","Май","Июнь","Июль","Август","Сентябрь","Октябрь","Ноябрь","Декабрь"},0),
"Jan","Feb","Mar","Apr","May","Jun","Jul","Aug","Sep","Oct","Nov","Dec")</f>
        <v>Dec</v>
      </c>
    </row>
    <row r="242" spans="1:9" x14ac:dyDescent="0.35">
      <c r="A242" s="6">
        <v>2023</v>
      </c>
      <c r="B242" s="7" t="s">
        <v>136</v>
      </c>
      <c r="C242" s="7" t="s">
        <v>22</v>
      </c>
      <c r="D242" s="7" t="s">
        <v>14</v>
      </c>
      <c r="E242" s="7" t="s">
        <v>15</v>
      </c>
      <c r="F242" s="8">
        <v>361280</v>
      </c>
      <c r="G242" s="9">
        <v>28</v>
      </c>
      <c r="H242" s="10" t="s">
        <v>265</v>
      </c>
      <c r="I242" s="5" t="str">
        <f>CHOOSE(MATCH(B242,{"Январь","Февраль","Март","Апрель","Май","Июнь","Июль","Август","Сентябрь","Октябрь","Ноябрь","Декабрь"},0),
"Jan","Feb","Mar","Apr","May","Jun","Jul","Aug","Sep","Oct","Nov","Dec")</f>
        <v>Dec</v>
      </c>
    </row>
    <row r="243" spans="1:9" x14ac:dyDescent="0.35">
      <c r="A243" s="6">
        <v>2023</v>
      </c>
      <c r="B243" s="7" t="s">
        <v>136</v>
      </c>
      <c r="C243" s="7" t="s">
        <v>17</v>
      </c>
      <c r="D243" s="7" t="s">
        <v>14</v>
      </c>
      <c r="E243" s="7" t="s">
        <v>4</v>
      </c>
      <c r="F243" s="8">
        <v>357440</v>
      </c>
      <c r="G243" s="9">
        <v>20</v>
      </c>
      <c r="H243" s="10" t="s">
        <v>266</v>
      </c>
      <c r="I243" s="5" t="str">
        <f>CHOOSE(MATCH(B243,{"Январь","Февраль","Март","Апрель","Май","Июнь","Июль","Август","Сентябрь","Октябрь","Ноябрь","Декабрь"},0),
"Jan","Feb","Mar","Apr","May","Jun","Jul","Aug","Sep","Oct","Nov","Dec")</f>
        <v>Dec</v>
      </c>
    </row>
    <row r="244" spans="1:9" x14ac:dyDescent="0.35">
      <c r="A244" s="6">
        <v>2024</v>
      </c>
      <c r="B244" s="7" t="s">
        <v>1</v>
      </c>
      <c r="C244" s="7" t="s">
        <v>10</v>
      </c>
      <c r="D244" s="7" t="s">
        <v>14</v>
      </c>
      <c r="E244" s="7" t="s">
        <v>15</v>
      </c>
      <c r="F244" s="8">
        <v>452900</v>
      </c>
      <c r="G244" s="9">
        <v>24</v>
      </c>
      <c r="H244" s="10" t="s">
        <v>267</v>
      </c>
      <c r="I244" s="5" t="str">
        <f>CHOOSE(MATCH(B244,{"Январь","Февраль","Март","Апрель","Май","Июнь","Июль","Август","Сентябрь","Октябрь","Ноябрь","Декабрь"},0),
"Jan","Feb","Mar","Apr","May","Jun","Jul","Aug","Sep","Oct","Nov","Dec")</f>
        <v>Jan</v>
      </c>
    </row>
    <row r="245" spans="1:9" x14ac:dyDescent="0.35">
      <c r="A245" s="6">
        <v>2024</v>
      </c>
      <c r="B245" s="7" t="s">
        <v>1</v>
      </c>
      <c r="C245" s="7" t="s">
        <v>22</v>
      </c>
      <c r="D245" s="7" t="s">
        <v>14</v>
      </c>
      <c r="E245" s="7" t="s">
        <v>12</v>
      </c>
      <c r="F245" s="8">
        <v>263670</v>
      </c>
      <c r="G245" s="9">
        <v>23</v>
      </c>
      <c r="H245" s="10" t="s">
        <v>268</v>
      </c>
      <c r="I245" s="5" t="str">
        <f>CHOOSE(MATCH(B245,{"Январь","Февраль","Март","Апрель","Май","Июнь","Июль","Август","Сентябрь","Октябрь","Ноябрь","Декабрь"},0),
"Jan","Feb","Mar","Apr","May","Jun","Jul","Aug","Sep","Oct","Nov","Dec")</f>
        <v>Jan</v>
      </c>
    </row>
    <row r="246" spans="1:9" x14ac:dyDescent="0.35">
      <c r="A246" s="6">
        <v>2024</v>
      </c>
      <c r="B246" s="7" t="s">
        <v>1</v>
      </c>
      <c r="C246" s="7" t="s">
        <v>6</v>
      </c>
      <c r="D246" s="7" t="s">
        <v>14</v>
      </c>
      <c r="E246" s="7" t="s">
        <v>12</v>
      </c>
      <c r="F246" s="8">
        <v>499900</v>
      </c>
      <c r="G246" s="9">
        <v>40</v>
      </c>
      <c r="H246" s="10" t="s">
        <v>269</v>
      </c>
      <c r="I246" s="5" t="str">
        <f>CHOOSE(MATCH(B246,{"Январь","Февраль","Март","Апрель","Май","Июнь","Июль","Август","Сентябрь","Октябрь","Ноябрь","Декабрь"},0),
"Jan","Feb","Mar","Apr","May","Jun","Jul","Aug","Sep","Oct","Nov","Dec")</f>
        <v>Jan</v>
      </c>
    </row>
    <row r="247" spans="1:9" x14ac:dyDescent="0.35">
      <c r="A247" s="6">
        <v>2024</v>
      </c>
      <c r="B247" s="7" t="s">
        <v>1</v>
      </c>
      <c r="C247" s="7" t="s">
        <v>22</v>
      </c>
      <c r="D247" s="7" t="s">
        <v>14</v>
      </c>
      <c r="E247" s="7" t="s">
        <v>4</v>
      </c>
      <c r="F247" s="8">
        <v>460880</v>
      </c>
      <c r="G247" s="9">
        <v>30</v>
      </c>
      <c r="H247" s="10" t="s">
        <v>270</v>
      </c>
      <c r="I247" s="5" t="str">
        <f>CHOOSE(MATCH(B247,{"Январь","Февраль","Март","Апрель","Май","Июнь","Июль","Август","Сентябрь","Октябрь","Ноябрь","Декабрь"},0),
"Jan","Feb","Mar","Apr","May","Jun","Jul","Aug","Sep","Oct","Nov","Dec")</f>
        <v>Jan</v>
      </c>
    </row>
    <row r="248" spans="1:9" x14ac:dyDescent="0.35">
      <c r="A248" s="6">
        <v>2024</v>
      </c>
      <c r="B248" s="7" t="s">
        <v>1</v>
      </c>
      <c r="C248" s="7" t="s">
        <v>17</v>
      </c>
      <c r="D248" s="7" t="s">
        <v>11</v>
      </c>
      <c r="E248" s="7" t="s">
        <v>4</v>
      </c>
      <c r="F248" s="8">
        <v>578820</v>
      </c>
      <c r="G248" s="9">
        <v>31</v>
      </c>
      <c r="H248" s="10" t="s">
        <v>271</v>
      </c>
      <c r="I248" s="5" t="str">
        <f>CHOOSE(MATCH(B248,{"Январь","Февраль","Март","Апрель","Май","Июнь","Июль","Август","Сентябрь","Октябрь","Ноябрь","Декабрь"},0),
"Jan","Feb","Mar","Apr","May","Jun","Jul","Aug","Sep","Oct","Nov","Dec")</f>
        <v>Jan</v>
      </c>
    </row>
    <row r="249" spans="1:9" x14ac:dyDescent="0.35">
      <c r="A249" s="6">
        <v>2024</v>
      </c>
      <c r="B249" s="7" t="s">
        <v>1</v>
      </c>
      <c r="C249" s="7" t="s">
        <v>17</v>
      </c>
      <c r="D249" s="7" t="s">
        <v>18</v>
      </c>
      <c r="E249" s="7" t="s">
        <v>12</v>
      </c>
      <c r="F249" s="8">
        <v>346890</v>
      </c>
      <c r="G249" s="9">
        <v>26</v>
      </c>
      <c r="H249" s="10" t="s">
        <v>272</v>
      </c>
      <c r="I249" s="5" t="str">
        <f>CHOOSE(MATCH(B249,{"Январь","Февраль","Март","Апрель","Май","Июнь","Июль","Август","Сентябрь","Октябрь","Ноябрь","Декабрь"},0),
"Jan","Feb","Mar","Apr","May","Jun","Jul","Aug","Sep","Oct","Nov","Dec")</f>
        <v>Jan</v>
      </c>
    </row>
    <row r="250" spans="1:9" x14ac:dyDescent="0.35">
      <c r="A250" s="6">
        <v>2024</v>
      </c>
      <c r="B250" s="7" t="s">
        <v>1</v>
      </c>
      <c r="C250" s="7" t="s">
        <v>6</v>
      </c>
      <c r="D250" s="7" t="s">
        <v>11</v>
      </c>
      <c r="E250" s="7" t="s">
        <v>15</v>
      </c>
      <c r="F250" s="8">
        <v>212630</v>
      </c>
      <c r="G250" s="9">
        <v>15</v>
      </c>
      <c r="H250" s="10" t="s">
        <v>273</v>
      </c>
      <c r="I250" s="5" t="str">
        <f>CHOOSE(MATCH(B250,{"Январь","Февраль","Март","Апрель","Май","Июнь","Июль","Август","Сентябрь","Октябрь","Ноябрь","Декабрь"},0),
"Jan","Feb","Mar","Apr","May","Jun","Jul","Aug","Sep","Oct","Nov","Dec")</f>
        <v>Jan</v>
      </c>
    </row>
    <row r="251" spans="1:9" x14ac:dyDescent="0.35">
      <c r="A251" s="6">
        <v>2024</v>
      </c>
      <c r="B251" s="7" t="s">
        <v>1</v>
      </c>
      <c r="C251" s="7" t="s">
        <v>22</v>
      </c>
      <c r="D251" s="7" t="s">
        <v>3</v>
      </c>
      <c r="E251" s="7" t="s">
        <v>12</v>
      </c>
      <c r="F251" s="8">
        <v>332710</v>
      </c>
      <c r="G251" s="9">
        <v>29</v>
      </c>
      <c r="H251" s="10" t="s">
        <v>274</v>
      </c>
      <c r="I251" s="5" t="str">
        <f>CHOOSE(MATCH(B251,{"Январь","Февраль","Март","Апрель","Май","Июнь","Июль","Август","Сентябрь","Октябрь","Ноябрь","Декабрь"},0),
"Jan","Feb","Mar","Apr","May","Jun","Jul","Aug","Sep","Oct","Nov","Dec")</f>
        <v>Jan</v>
      </c>
    </row>
    <row r="252" spans="1:9" x14ac:dyDescent="0.35">
      <c r="A252" s="6">
        <v>2024</v>
      </c>
      <c r="B252" s="7" t="s">
        <v>1</v>
      </c>
      <c r="C252" s="7" t="s">
        <v>22</v>
      </c>
      <c r="D252" s="7" t="s">
        <v>7</v>
      </c>
      <c r="E252" s="7" t="s">
        <v>15</v>
      </c>
      <c r="F252" s="8">
        <v>329960</v>
      </c>
      <c r="G252" s="9">
        <v>26</v>
      </c>
      <c r="H252" s="10" t="s">
        <v>275</v>
      </c>
      <c r="I252" s="5" t="str">
        <f>CHOOSE(MATCH(B252,{"Январь","Февраль","Март","Апрель","Май","Июнь","Июль","Август","Сентябрь","Октябрь","Ноябрь","Декабрь"},0),
"Jan","Feb","Mar","Apr","May","Jun","Jul","Aug","Sep","Oct","Nov","Dec")</f>
        <v>Jan</v>
      </c>
    </row>
    <row r="253" spans="1:9" x14ac:dyDescent="0.35">
      <c r="A253" s="6">
        <v>2024</v>
      </c>
      <c r="B253" s="7" t="s">
        <v>1</v>
      </c>
      <c r="C253" s="7" t="s">
        <v>22</v>
      </c>
      <c r="D253" s="7" t="s">
        <v>3</v>
      </c>
      <c r="E253" s="7" t="s">
        <v>12</v>
      </c>
      <c r="F253" s="8">
        <v>382280</v>
      </c>
      <c r="G253" s="9">
        <v>34</v>
      </c>
      <c r="H253" s="10" t="s">
        <v>276</v>
      </c>
      <c r="I253" s="5" t="str">
        <f>CHOOSE(MATCH(B253,{"Январь","Февраль","Март","Апрель","Май","Июнь","Июль","Август","Сентябрь","Октябрь","Ноябрь","Декабрь"},0),
"Jan","Feb","Mar","Apr","May","Jun","Jul","Aug","Sep","Oct","Nov","Dec")</f>
        <v>Jan</v>
      </c>
    </row>
    <row r="254" spans="1:9" x14ac:dyDescent="0.35">
      <c r="A254" s="6">
        <v>2024</v>
      </c>
      <c r="B254" s="7" t="s">
        <v>26</v>
      </c>
      <c r="C254" s="7" t="s">
        <v>6</v>
      </c>
      <c r="D254" s="7" t="s">
        <v>18</v>
      </c>
      <c r="E254" s="7" t="s">
        <v>12</v>
      </c>
      <c r="F254" s="8">
        <v>195220</v>
      </c>
      <c r="G254" s="9">
        <v>16</v>
      </c>
      <c r="H254" s="10" t="s">
        <v>277</v>
      </c>
      <c r="I254" s="5" t="str">
        <f>CHOOSE(MATCH(B254,{"Январь","Февраль","Март","Апрель","Май","Июнь","Июль","Август","Сентябрь","Октябрь","Ноябрь","Декабрь"},0),
"Jan","Feb","Mar","Apr","May","Jun","Jul","Aug","Sep","Oct","Nov","Dec")</f>
        <v>Feb</v>
      </c>
    </row>
    <row r="255" spans="1:9" x14ac:dyDescent="0.35">
      <c r="A255" s="6">
        <v>2024</v>
      </c>
      <c r="B255" s="7" t="s">
        <v>26</v>
      </c>
      <c r="C255" s="7" t="s">
        <v>6</v>
      </c>
      <c r="D255" s="7" t="s">
        <v>7</v>
      </c>
      <c r="E255" s="7" t="s">
        <v>8</v>
      </c>
      <c r="F255" s="8">
        <v>648030</v>
      </c>
      <c r="G255" s="9">
        <v>35</v>
      </c>
      <c r="H255" s="10" t="s">
        <v>278</v>
      </c>
      <c r="I255" s="5" t="str">
        <f>CHOOSE(MATCH(B255,{"Январь","Февраль","Март","Апрель","Май","Июнь","Июль","Август","Сентябрь","Октябрь","Ноябрь","Декабрь"},0),
"Jan","Feb","Mar","Apr","May","Jun","Jul","Aug","Sep","Oct","Nov","Dec")</f>
        <v>Feb</v>
      </c>
    </row>
    <row r="256" spans="1:9" x14ac:dyDescent="0.35">
      <c r="A256" s="6">
        <v>2024</v>
      </c>
      <c r="B256" s="7" t="s">
        <v>26</v>
      </c>
      <c r="C256" s="7" t="s">
        <v>22</v>
      </c>
      <c r="D256" s="7" t="s">
        <v>11</v>
      </c>
      <c r="E256" s="7" t="s">
        <v>15</v>
      </c>
      <c r="F256" s="8">
        <v>483110</v>
      </c>
      <c r="G256" s="9">
        <v>36</v>
      </c>
      <c r="H256" s="10" t="s">
        <v>279</v>
      </c>
      <c r="I256" s="5" t="str">
        <f>CHOOSE(MATCH(B256,{"Январь","Февраль","Март","Апрель","Май","Июнь","Июль","Август","Сентябрь","Октябрь","Ноябрь","Декабрь"},0),
"Jan","Feb","Mar","Apr","May","Jun","Jul","Aug","Sep","Oct","Nov","Dec")</f>
        <v>Feb</v>
      </c>
    </row>
    <row r="257" spans="1:9" x14ac:dyDescent="0.35">
      <c r="A257" s="6">
        <v>2024</v>
      </c>
      <c r="B257" s="7" t="s">
        <v>26</v>
      </c>
      <c r="C257" s="7" t="s">
        <v>10</v>
      </c>
      <c r="D257" s="7" t="s">
        <v>14</v>
      </c>
      <c r="E257" s="7" t="s">
        <v>15</v>
      </c>
      <c r="F257" s="8">
        <v>489860</v>
      </c>
      <c r="G257" s="9">
        <v>26</v>
      </c>
      <c r="H257" s="10" t="s">
        <v>280</v>
      </c>
      <c r="I257" s="5" t="str">
        <f>CHOOSE(MATCH(B257,{"Январь","Февраль","Март","Апрель","Май","Июнь","Июль","Август","Сентябрь","Октябрь","Ноябрь","Декабрь"},0),
"Jan","Feb","Mar","Apr","May","Jun","Jul","Aug","Sep","Oct","Nov","Dec")</f>
        <v>Feb</v>
      </c>
    </row>
    <row r="258" spans="1:9" x14ac:dyDescent="0.35">
      <c r="A258" s="6">
        <v>2024</v>
      </c>
      <c r="B258" s="7" t="s">
        <v>26</v>
      </c>
      <c r="C258" s="7" t="s">
        <v>10</v>
      </c>
      <c r="D258" s="7" t="s">
        <v>14</v>
      </c>
      <c r="E258" s="7" t="s">
        <v>4</v>
      </c>
      <c r="F258" s="8">
        <v>858300</v>
      </c>
      <c r="G258" s="9">
        <v>38</v>
      </c>
      <c r="H258" s="10" t="s">
        <v>281</v>
      </c>
      <c r="I258" s="5" t="str">
        <f>CHOOSE(MATCH(B258,{"Январь","Февраль","Март","Апрель","Май","Июнь","Июль","Август","Сентябрь","Октябрь","Ноябрь","Декабрь"},0),
"Jan","Feb","Mar","Apr","May","Jun","Jul","Aug","Sep","Oct","Nov","Dec")</f>
        <v>Feb</v>
      </c>
    </row>
    <row r="259" spans="1:9" x14ac:dyDescent="0.35">
      <c r="A259" s="6">
        <v>2024</v>
      </c>
      <c r="B259" s="7" t="s">
        <v>26</v>
      </c>
      <c r="C259" s="7" t="s">
        <v>2</v>
      </c>
      <c r="D259" s="7" t="s">
        <v>7</v>
      </c>
      <c r="E259" s="7" t="s">
        <v>15</v>
      </c>
      <c r="F259" s="8">
        <v>531490</v>
      </c>
      <c r="G259" s="9">
        <v>33</v>
      </c>
      <c r="H259" s="10" t="s">
        <v>282</v>
      </c>
      <c r="I259" s="5" t="str">
        <f>CHOOSE(MATCH(B259,{"Январь","Февраль","Март","Апрель","Май","Июнь","Июль","Август","Сентябрь","Октябрь","Ноябрь","Декабрь"},0),
"Jan","Feb","Mar","Apr","May","Jun","Jul","Aug","Sep","Oct","Nov","Dec")</f>
        <v>Feb</v>
      </c>
    </row>
    <row r="260" spans="1:9" x14ac:dyDescent="0.35">
      <c r="A260" s="6">
        <v>2024</v>
      </c>
      <c r="B260" s="7" t="s">
        <v>26</v>
      </c>
      <c r="C260" s="7" t="s">
        <v>10</v>
      </c>
      <c r="D260" s="7" t="s">
        <v>11</v>
      </c>
      <c r="E260" s="7" t="s">
        <v>8</v>
      </c>
      <c r="F260" s="8">
        <v>306130</v>
      </c>
      <c r="G260" s="9">
        <v>12</v>
      </c>
      <c r="H260" s="10" t="s">
        <v>283</v>
      </c>
      <c r="I260" s="5" t="str">
        <f>CHOOSE(MATCH(B260,{"Январь","Февраль","Март","Апрель","Май","Июнь","Июль","Август","Сентябрь","Октябрь","Ноябрь","Декабрь"},0),
"Jan","Feb","Mar","Apr","May","Jun","Jul","Aug","Sep","Oct","Nov","Dec")</f>
        <v>Feb</v>
      </c>
    </row>
    <row r="261" spans="1:9" x14ac:dyDescent="0.35">
      <c r="A261" s="6">
        <v>2024</v>
      </c>
      <c r="B261" s="7" t="s">
        <v>26</v>
      </c>
      <c r="C261" s="7" t="s">
        <v>6</v>
      </c>
      <c r="D261" s="7" t="s">
        <v>14</v>
      </c>
      <c r="E261" s="7" t="s">
        <v>12</v>
      </c>
      <c r="F261" s="8">
        <v>304220</v>
      </c>
      <c r="G261" s="9">
        <v>25</v>
      </c>
      <c r="H261" s="10" t="s">
        <v>284</v>
      </c>
      <c r="I261" s="5" t="str">
        <f>CHOOSE(MATCH(B261,{"Январь","Февраль","Март","Апрель","Май","Июнь","Июль","Август","Сентябрь","Октябрь","Ноябрь","Декабрь"},0),
"Jan","Feb","Mar","Apr","May","Jun","Jul","Aug","Sep","Oct","Nov","Dec")</f>
        <v>Feb</v>
      </c>
    </row>
    <row r="262" spans="1:9" x14ac:dyDescent="0.35">
      <c r="A262" s="6">
        <v>2024</v>
      </c>
      <c r="B262" s="7" t="s">
        <v>26</v>
      </c>
      <c r="C262" s="7" t="s">
        <v>2</v>
      </c>
      <c r="D262" s="7" t="s">
        <v>11</v>
      </c>
      <c r="E262" s="7" t="s">
        <v>8</v>
      </c>
      <c r="F262" s="8">
        <v>456590</v>
      </c>
      <c r="G262" s="9">
        <v>20</v>
      </c>
      <c r="H262" s="10" t="s">
        <v>285</v>
      </c>
      <c r="I262" s="5" t="str">
        <f>CHOOSE(MATCH(B262,{"Январь","Февраль","Март","Апрель","Май","Июнь","Июль","Август","Сентябрь","Октябрь","Ноябрь","Декабрь"},0),
"Jan","Feb","Mar","Apr","May","Jun","Jul","Aug","Sep","Oct","Nov","Dec")</f>
        <v>Feb</v>
      </c>
    </row>
    <row r="263" spans="1:9" x14ac:dyDescent="0.35">
      <c r="A263" s="6">
        <v>2024</v>
      </c>
      <c r="B263" s="7" t="s">
        <v>26</v>
      </c>
      <c r="C263" s="7" t="s">
        <v>17</v>
      </c>
      <c r="D263" s="7" t="s">
        <v>3</v>
      </c>
      <c r="E263" s="7" t="s">
        <v>15</v>
      </c>
      <c r="F263" s="8">
        <v>524680</v>
      </c>
      <c r="G263" s="9">
        <v>34</v>
      </c>
      <c r="H263" s="10" t="s">
        <v>286</v>
      </c>
      <c r="I263" s="5" t="str">
        <f>CHOOSE(MATCH(B263,{"Январь","Февраль","Март","Апрель","Май","Июнь","Июль","Август","Сентябрь","Октябрь","Ноябрь","Декабрь"},0),
"Jan","Feb","Mar","Apr","May","Jun","Jul","Aug","Sep","Oct","Nov","Dec")</f>
        <v>Feb</v>
      </c>
    </row>
    <row r="264" spans="1:9" x14ac:dyDescent="0.35">
      <c r="A264" s="6">
        <v>2024</v>
      </c>
      <c r="B264" s="7" t="s">
        <v>37</v>
      </c>
      <c r="C264" s="7" t="s">
        <v>2</v>
      </c>
      <c r="D264" s="7" t="s">
        <v>3</v>
      </c>
      <c r="E264" s="7" t="s">
        <v>8</v>
      </c>
      <c r="F264" s="8">
        <v>927470</v>
      </c>
      <c r="G264" s="9">
        <v>42</v>
      </c>
      <c r="H264" s="10" t="s">
        <v>287</v>
      </c>
      <c r="I264" s="5" t="str">
        <f>CHOOSE(MATCH(B264,{"Январь","Февраль","Март","Апрель","Май","Июнь","Июль","Август","Сентябрь","Октябрь","Ноябрь","Декабрь"},0),
"Jan","Feb","Mar","Apr","May","Jun","Jul","Aug","Sep","Oct","Nov","Dec")</f>
        <v>Mar</v>
      </c>
    </row>
    <row r="265" spans="1:9" x14ac:dyDescent="0.35">
      <c r="A265" s="6">
        <v>2024</v>
      </c>
      <c r="B265" s="7" t="s">
        <v>37</v>
      </c>
      <c r="C265" s="7" t="s">
        <v>6</v>
      </c>
      <c r="D265" s="7" t="s">
        <v>11</v>
      </c>
      <c r="E265" s="7" t="s">
        <v>15</v>
      </c>
      <c r="F265" s="8">
        <v>348190</v>
      </c>
      <c r="G265" s="9">
        <v>25</v>
      </c>
      <c r="H265" s="10" t="s">
        <v>288</v>
      </c>
      <c r="I265" s="5" t="str">
        <f>CHOOSE(MATCH(B265,{"Январь","Февраль","Март","Апрель","Май","Июнь","Июль","Август","Сентябрь","Октябрь","Ноябрь","Декабрь"},0),
"Jan","Feb","Mar","Apr","May","Jun","Jul","Aug","Sep","Oct","Nov","Dec")</f>
        <v>Mar</v>
      </c>
    </row>
    <row r="266" spans="1:9" x14ac:dyDescent="0.35">
      <c r="A266" s="6">
        <v>2024</v>
      </c>
      <c r="B266" s="7" t="s">
        <v>37</v>
      </c>
      <c r="C266" s="7" t="s">
        <v>2</v>
      </c>
      <c r="D266" s="7" t="s">
        <v>11</v>
      </c>
      <c r="E266" s="7" t="s">
        <v>4</v>
      </c>
      <c r="F266" s="8">
        <v>444830</v>
      </c>
      <c r="G266" s="9">
        <v>23</v>
      </c>
      <c r="H266" s="10" t="s">
        <v>289</v>
      </c>
      <c r="I266" s="5" t="str">
        <f>CHOOSE(MATCH(B266,{"Январь","Февраль","Март","Апрель","Май","Июнь","Июль","Август","Сентябрь","Октябрь","Ноябрь","Декабрь"},0),
"Jan","Feb","Mar","Apr","May","Jun","Jul","Aug","Sep","Oct","Nov","Dec")</f>
        <v>Mar</v>
      </c>
    </row>
    <row r="267" spans="1:9" x14ac:dyDescent="0.35">
      <c r="A267" s="6">
        <v>2024</v>
      </c>
      <c r="B267" s="7" t="s">
        <v>37</v>
      </c>
      <c r="C267" s="7" t="s">
        <v>6</v>
      </c>
      <c r="D267" s="7" t="s">
        <v>11</v>
      </c>
      <c r="E267" s="7" t="s">
        <v>4</v>
      </c>
      <c r="F267" s="8">
        <v>476340</v>
      </c>
      <c r="G267" s="9">
        <v>29</v>
      </c>
      <c r="H267" s="10" t="s">
        <v>290</v>
      </c>
      <c r="I267" s="5" t="str">
        <f>CHOOSE(MATCH(B267,{"Январь","Февраль","Март","Апрель","Май","Июнь","Июль","Август","Сентябрь","Октябрь","Ноябрь","Декабрь"},0),
"Jan","Feb","Mar","Apr","May","Jun","Jul","Aug","Sep","Oct","Nov","Dec")</f>
        <v>Mar</v>
      </c>
    </row>
    <row r="268" spans="1:9" x14ac:dyDescent="0.35">
      <c r="A268" s="6">
        <v>2024</v>
      </c>
      <c r="B268" s="7" t="s">
        <v>37</v>
      </c>
      <c r="C268" s="7" t="s">
        <v>2</v>
      </c>
      <c r="D268" s="7" t="s">
        <v>14</v>
      </c>
      <c r="E268" s="7" t="s">
        <v>15</v>
      </c>
      <c r="F268" s="8">
        <v>676930</v>
      </c>
      <c r="G268" s="9">
        <v>42</v>
      </c>
      <c r="H268" s="10" t="s">
        <v>291</v>
      </c>
      <c r="I268" s="5" t="str">
        <f>CHOOSE(MATCH(B268,{"Январь","Февраль","Март","Апрель","Май","Июнь","Июль","Август","Сентябрь","Октябрь","Ноябрь","Декабрь"},0),
"Jan","Feb","Mar","Apr","May","Jun","Jul","Aug","Sep","Oct","Nov","Dec")</f>
        <v>Mar</v>
      </c>
    </row>
    <row r="269" spans="1:9" x14ac:dyDescent="0.35">
      <c r="A269" s="6">
        <v>2024</v>
      </c>
      <c r="B269" s="7" t="s">
        <v>37</v>
      </c>
      <c r="C269" s="7" t="s">
        <v>2</v>
      </c>
      <c r="D269" s="7" t="s">
        <v>7</v>
      </c>
      <c r="E269" s="7" t="s">
        <v>15</v>
      </c>
      <c r="F269" s="8">
        <v>343830</v>
      </c>
      <c r="G269" s="9">
        <v>22</v>
      </c>
      <c r="H269" s="10" t="s">
        <v>292</v>
      </c>
      <c r="I269" s="5" t="str">
        <f>CHOOSE(MATCH(B269,{"Январь","Февраль","Март","Апрель","Май","Июнь","Июль","Август","Сентябрь","Октябрь","Ноябрь","Декабрь"},0),
"Jan","Feb","Mar","Apr","May","Jun","Jul","Aug","Sep","Oct","Nov","Dec")</f>
        <v>Mar</v>
      </c>
    </row>
    <row r="270" spans="1:9" x14ac:dyDescent="0.35">
      <c r="A270" s="6">
        <v>2024</v>
      </c>
      <c r="B270" s="7" t="s">
        <v>37</v>
      </c>
      <c r="C270" s="7" t="s">
        <v>22</v>
      </c>
      <c r="D270" s="7" t="s">
        <v>3</v>
      </c>
      <c r="E270" s="7" t="s">
        <v>8</v>
      </c>
      <c r="F270" s="8">
        <v>304580</v>
      </c>
      <c r="G270" s="9">
        <v>17</v>
      </c>
      <c r="H270" s="10" t="s">
        <v>293</v>
      </c>
      <c r="I270" s="5" t="str">
        <f>CHOOSE(MATCH(B270,{"Январь","Февраль","Март","Апрель","Май","Июнь","Июль","Август","Сентябрь","Октябрь","Ноябрь","Декабрь"},0),
"Jan","Feb","Mar","Apr","May","Jun","Jul","Aug","Sep","Oct","Nov","Dec")</f>
        <v>Mar</v>
      </c>
    </row>
    <row r="271" spans="1:9" x14ac:dyDescent="0.35">
      <c r="A271" s="6">
        <v>2024</v>
      </c>
      <c r="B271" s="7" t="s">
        <v>37</v>
      </c>
      <c r="C271" s="7" t="s">
        <v>2</v>
      </c>
      <c r="D271" s="7" t="s">
        <v>3</v>
      </c>
      <c r="E271" s="7" t="s">
        <v>12</v>
      </c>
      <c r="F271" s="8">
        <v>202050</v>
      </c>
      <c r="G271" s="9">
        <v>13</v>
      </c>
      <c r="H271" s="10" t="s">
        <v>294</v>
      </c>
      <c r="I271" s="5" t="str">
        <f>CHOOSE(MATCH(B271,{"Январь","Февраль","Март","Апрель","Май","Июнь","Июль","Август","Сентябрь","Октябрь","Ноябрь","Декабрь"},0),
"Jan","Feb","Mar","Apr","May","Jun","Jul","Aug","Sep","Oct","Nov","Dec")</f>
        <v>Mar</v>
      </c>
    </row>
    <row r="272" spans="1:9" x14ac:dyDescent="0.35">
      <c r="A272" s="6">
        <v>2024</v>
      </c>
      <c r="B272" s="7" t="s">
        <v>37</v>
      </c>
      <c r="C272" s="7" t="s">
        <v>17</v>
      </c>
      <c r="D272" s="7" t="s">
        <v>3</v>
      </c>
      <c r="E272" s="7" t="s">
        <v>12</v>
      </c>
      <c r="F272" s="8">
        <v>255190</v>
      </c>
      <c r="G272" s="9">
        <v>19</v>
      </c>
      <c r="H272" s="10" t="s">
        <v>295</v>
      </c>
      <c r="I272" s="5" t="str">
        <f>CHOOSE(MATCH(B272,{"Январь","Февраль","Март","Апрель","Май","Июнь","Июль","Август","Сентябрь","Октябрь","Ноябрь","Декабрь"},0),
"Jan","Feb","Mar","Apr","May","Jun","Jul","Aug","Sep","Oct","Nov","Dec")</f>
        <v>Mar</v>
      </c>
    </row>
    <row r="273" spans="1:9" x14ac:dyDescent="0.35">
      <c r="A273" s="6">
        <v>2024</v>
      </c>
      <c r="B273" s="7" t="s">
        <v>37</v>
      </c>
      <c r="C273" s="7" t="s">
        <v>2</v>
      </c>
      <c r="D273" s="7" t="s">
        <v>7</v>
      </c>
      <c r="E273" s="7" t="s">
        <v>4</v>
      </c>
      <c r="F273" s="8">
        <v>490950</v>
      </c>
      <c r="G273" s="9">
        <v>27</v>
      </c>
      <c r="H273" s="10" t="s">
        <v>296</v>
      </c>
      <c r="I273" s="5" t="str">
        <f>CHOOSE(MATCH(B273,{"Январь","Февраль","Март","Апрель","Май","Июнь","Июль","Август","Сентябрь","Октябрь","Ноябрь","Декабрь"},0),
"Jan","Feb","Mar","Apr","May","Jun","Jul","Aug","Sep","Oct","Nov","Dec")</f>
        <v>Mar</v>
      </c>
    </row>
    <row r="274" spans="1:9" x14ac:dyDescent="0.35">
      <c r="A274" s="6">
        <v>2024</v>
      </c>
      <c r="B274" s="7" t="s">
        <v>48</v>
      </c>
      <c r="C274" s="7" t="s">
        <v>2</v>
      </c>
      <c r="D274" s="7" t="s">
        <v>3</v>
      </c>
      <c r="E274" s="7" t="s">
        <v>12</v>
      </c>
      <c r="F274" s="8">
        <v>595470</v>
      </c>
      <c r="G274" s="9">
        <v>40</v>
      </c>
      <c r="H274" s="10" t="s">
        <v>297</v>
      </c>
      <c r="I274" s="5" t="str">
        <f>CHOOSE(MATCH(B274,{"Январь","Февраль","Март","Апрель","Май","Июнь","Июль","Август","Сентябрь","Октябрь","Ноябрь","Декабрь"},0),
"Jan","Feb","Mar","Apr","May","Jun","Jul","Aug","Sep","Oct","Nov","Dec")</f>
        <v>Apr</v>
      </c>
    </row>
    <row r="275" spans="1:9" x14ac:dyDescent="0.35">
      <c r="A275" s="6">
        <v>2024</v>
      </c>
      <c r="B275" s="7" t="s">
        <v>48</v>
      </c>
      <c r="C275" s="7" t="s">
        <v>17</v>
      </c>
      <c r="D275" s="7" t="s">
        <v>18</v>
      </c>
      <c r="E275" s="7" t="s">
        <v>12</v>
      </c>
      <c r="F275" s="8">
        <v>153880</v>
      </c>
      <c r="G275" s="9">
        <v>12</v>
      </c>
      <c r="H275" s="10" t="s">
        <v>298</v>
      </c>
      <c r="I275" s="5" t="str">
        <f>CHOOSE(MATCH(B275,{"Январь","Февраль","Март","Апрель","Май","Июнь","Июль","Август","Сентябрь","Октябрь","Ноябрь","Декабрь"},0),
"Jan","Feb","Mar","Apr","May","Jun","Jul","Aug","Sep","Oct","Nov","Dec")</f>
        <v>Apr</v>
      </c>
    </row>
    <row r="276" spans="1:9" x14ac:dyDescent="0.35">
      <c r="A276" s="6">
        <v>2024</v>
      </c>
      <c r="B276" s="7" t="s">
        <v>48</v>
      </c>
      <c r="C276" s="7" t="s">
        <v>17</v>
      </c>
      <c r="D276" s="7" t="s">
        <v>3</v>
      </c>
      <c r="E276" s="7" t="s">
        <v>8</v>
      </c>
      <c r="F276" s="8">
        <v>368300</v>
      </c>
      <c r="G276" s="9">
        <v>18</v>
      </c>
      <c r="H276" s="10" t="s">
        <v>299</v>
      </c>
      <c r="I276" s="5" t="str">
        <f>CHOOSE(MATCH(B276,{"Январь","Февраль","Март","Апрель","Май","Июнь","Июль","Август","Сентябрь","Октябрь","Ноябрь","Декабрь"},0),
"Jan","Feb","Mar","Apr","May","Jun","Jul","Aug","Sep","Oct","Nov","Dec")</f>
        <v>Apr</v>
      </c>
    </row>
    <row r="277" spans="1:9" x14ac:dyDescent="0.35">
      <c r="A277" s="6">
        <v>2024</v>
      </c>
      <c r="B277" s="7" t="s">
        <v>48</v>
      </c>
      <c r="C277" s="7" t="s">
        <v>22</v>
      </c>
      <c r="D277" s="7" t="s">
        <v>7</v>
      </c>
      <c r="E277" s="7" t="s">
        <v>12</v>
      </c>
      <c r="F277" s="8">
        <v>152820</v>
      </c>
      <c r="G277" s="9">
        <v>14</v>
      </c>
      <c r="H277" s="10" t="s">
        <v>300</v>
      </c>
      <c r="I277" s="5" t="str">
        <f>CHOOSE(MATCH(B277,{"Январь","Февраль","Март","Апрель","Май","Июнь","Июль","Август","Сентябрь","Октябрь","Ноябрь","Декабрь"},0),
"Jan","Feb","Mar","Apr","May","Jun","Jul","Aug","Sep","Oct","Nov","Dec")</f>
        <v>Apr</v>
      </c>
    </row>
    <row r="278" spans="1:9" x14ac:dyDescent="0.35">
      <c r="A278" s="6">
        <v>2024</v>
      </c>
      <c r="B278" s="7" t="s">
        <v>48</v>
      </c>
      <c r="C278" s="7" t="s">
        <v>17</v>
      </c>
      <c r="D278" s="7" t="s">
        <v>14</v>
      </c>
      <c r="E278" s="7" t="s">
        <v>12</v>
      </c>
      <c r="F278" s="8">
        <v>215970</v>
      </c>
      <c r="G278" s="9">
        <v>16</v>
      </c>
      <c r="H278" s="10" t="s">
        <v>301</v>
      </c>
      <c r="I278" s="5" t="str">
        <f>CHOOSE(MATCH(B278,{"Январь","Февраль","Март","Апрель","Май","Июнь","Июль","Август","Сентябрь","Октябрь","Ноябрь","Декабрь"},0),
"Jan","Feb","Mar","Apr","May","Jun","Jul","Aug","Sep","Oct","Nov","Dec")</f>
        <v>Apr</v>
      </c>
    </row>
    <row r="279" spans="1:9" x14ac:dyDescent="0.35">
      <c r="A279" s="6">
        <v>2024</v>
      </c>
      <c r="B279" s="7" t="s">
        <v>48</v>
      </c>
      <c r="C279" s="7" t="s">
        <v>2</v>
      </c>
      <c r="D279" s="7" t="s">
        <v>14</v>
      </c>
      <c r="E279" s="7" t="s">
        <v>12</v>
      </c>
      <c r="F279" s="8">
        <v>541900</v>
      </c>
      <c r="G279" s="9">
        <v>38</v>
      </c>
      <c r="H279" s="10" t="s">
        <v>302</v>
      </c>
      <c r="I279" s="5" t="str">
        <f>CHOOSE(MATCH(B279,{"Январь","Февраль","Март","Апрель","Май","Июнь","Июль","Август","Сентябрь","Октябрь","Ноябрь","Декабрь"},0),
"Jan","Feb","Mar","Apr","May","Jun","Jul","Aug","Sep","Oct","Nov","Dec")</f>
        <v>Apr</v>
      </c>
    </row>
    <row r="280" spans="1:9" x14ac:dyDescent="0.35">
      <c r="A280" s="6">
        <v>2024</v>
      </c>
      <c r="B280" s="7" t="s">
        <v>48</v>
      </c>
      <c r="C280" s="7" t="s">
        <v>10</v>
      </c>
      <c r="D280" s="7" t="s">
        <v>11</v>
      </c>
      <c r="E280" s="7" t="s">
        <v>4</v>
      </c>
      <c r="F280" s="8">
        <v>271470</v>
      </c>
      <c r="G280" s="9">
        <v>12</v>
      </c>
      <c r="H280" s="10" t="s">
        <v>303</v>
      </c>
      <c r="I280" s="5" t="str">
        <f>CHOOSE(MATCH(B280,{"Январь","Февраль","Март","Апрель","Май","Июнь","Июль","Август","Сентябрь","Октябрь","Ноябрь","Декабрь"},0),
"Jan","Feb","Mar","Apr","May","Jun","Jul","Aug","Sep","Oct","Nov","Dec")</f>
        <v>Apr</v>
      </c>
    </row>
    <row r="281" spans="1:9" x14ac:dyDescent="0.35">
      <c r="A281" s="6">
        <v>2024</v>
      </c>
      <c r="B281" s="7" t="s">
        <v>48</v>
      </c>
      <c r="C281" s="7" t="s">
        <v>10</v>
      </c>
      <c r="D281" s="7" t="s">
        <v>11</v>
      </c>
      <c r="E281" s="7" t="s">
        <v>15</v>
      </c>
      <c r="F281" s="8">
        <v>773650</v>
      </c>
      <c r="G281" s="9">
        <v>40</v>
      </c>
      <c r="H281" s="10" t="s">
        <v>304</v>
      </c>
      <c r="I281" s="5" t="str">
        <f>CHOOSE(MATCH(B281,{"Январь","Февраль","Март","Апрель","Май","Июнь","Июль","Август","Сентябрь","Октябрь","Ноябрь","Декабрь"},0),
"Jan","Feb","Mar","Apr","May","Jun","Jul","Aug","Sep","Oct","Nov","Dec")</f>
        <v>Apr</v>
      </c>
    </row>
    <row r="282" spans="1:9" x14ac:dyDescent="0.35">
      <c r="A282" s="6">
        <v>2024</v>
      </c>
      <c r="B282" s="7" t="s">
        <v>48</v>
      </c>
      <c r="C282" s="7" t="s">
        <v>22</v>
      </c>
      <c r="D282" s="7" t="s">
        <v>11</v>
      </c>
      <c r="E282" s="7" t="s">
        <v>12</v>
      </c>
      <c r="F282" s="8">
        <v>423730</v>
      </c>
      <c r="G282" s="9">
        <v>36</v>
      </c>
      <c r="H282" s="10" t="s">
        <v>305</v>
      </c>
      <c r="I282" s="5" t="str">
        <f>CHOOSE(MATCH(B282,{"Январь","Февраль","Март","Апрель","Май","Июнь","Июль","Август","Сентябрь","Октябрь","Ноябрь","Декабрь"},0),
"Jan","Feb","Mar","Apr","May","Jun","Jul","Aug","Sep","Oct","Nov","Dec")</f>
        <v>Apr</v>
      </c>
    </row>
    <row r="283" spans="1:9" x14ac:dyDescent="0.35">
      <c r="A283" s="6">
        <v>2024</v>
      </c>
      <c r="B283" s="7" t="s">
        <v>48</v>
      </c>
      <c r="C283" s="7" t="s">
        <v>22</v>
      </c>
      <c r="D283" s="7" t="s">
        <v>7</v>
      </c>
      <c r="E283" s="7" t="s">
        <v>8</v>
      </c>
      <c r="F283" s="8">
        <v>476290</v>
      </c>
      <c r="G283" s="9">
        <v>28</v>
      </c>
      <c r="H283" s="10" t="s">
        <v>306</v>
      </c>
      <c r="I283" s="5" t="str">
        <f>CHOOSE(MATCH(B283,{"Январь","Февраль","Март","Апрель","Май","Июнь","Июль","Август","Сентябрь","Октябрь","Ноябрь","Декабрь"},0),
"Jan","Feb","Mar","Apr","May","Jun","Jul","Aug","Sep","Oct","Nov","Dec")</f>
        <v>Apr</v>
      </c>
    </row>
    <row r="284" spans="1:9" x14ac:dyDescent="0.35">
      <c r="A284" s="6">
        <v>2024</v>
      </c>
      <c r="B284" s="7" t="s">
        <v>59</v>
      </c>
      <c r="C284" s="7" t="s">
        <v>6</v>
      </c>
      <c r="D284" s="7" t="s">
        <v>3</v>
      </c>
      <c r="E284" s="7" t="s">
        <v>15</v>
      </c>
      <c r="F284" s="8">
        <v>314270</v>
      </c>
      <c r="G284" s="9">
        <v>23</v>
      </c>
      <c r="H284" s="10" t="s">
        <v>307</v>
      </c>
      <c r="I284" s="5" t="str">
        <f>CHOOSE(MATCH(B284,{"Январь","Февраль","Март","Апрель","Май","Июнь","Июль","Август","Сентябрь","Октябрь","Ноябрь","Декабрь"},0),
"Jan","Feb","Mar","Apr","May","Jun","Jul","Aug","Sep","Oct","Nov","Dec")</f>
        <v>May</v>
      </c>
    </row>
    <row r="285" spans="1:9" x14ac:dyDescent="0.35">
      <c r="A285" s="6">
        <v>2024</v>
      </c>
      <c r="B285" s="7" t="s">
        <v>59</v>
      </c>
      <c r="C285" s="7" t="s">
        <v>6</v>
      </c>
      <c r="D285" s="7" t="s">
        <v>11</v>
      </c>
      <c r="E285" s="7" t="s">
        <v>15</v>
      </c>
      <c r="F285" s="8">
        <v>481650</v>
      </c>
      <c r="G285" s="9">
        <v>33</v>
      </c>
      <c r="H285" s="10" t="s">
        <v>308</v>
      </c>
      <c r="I285" s="5" t="str">
        <f>CHOOSE(MATCH(B285,{"Январь","Февраль","Март","Апрель","Май","Июнь","Июль","Август","Сентябрь","Октябрь","Ноябрь","Декабрь"},0),
"Jan","Feb","Mar","Apr","May","Jun","Jul","Aug","Sep","Oct","Nov","Dec")</f>
        <v>May</v>
      </c>
    </row>
    <row r="286" spans="1:9" x14ac:dyDescent="0.35">
      <c r="A286" s="6">
        <v>2024</v>
      </c>
      <c r="B286" s="7" t="s">
        <v>59</v>
      </c>
      <c r="C286" s="7" t="s">
        <v>22</v>
      </c>
      <c r="D286" s="7" t="s">
        <v>7</v>
      </c>
      <c r="E286" s="7" t="s">
        <v>12</v>
      </c>
      <c r="F286" s="8">
        <v>391680</v>
      </c>
      <c r="G286" s="9">
        <v>37</v>
      </c>
      <c r="H286" s="10" t="s">
        <v>309</v>
      </c>
      <c r="I286" s="5" t="str">
        <f>CHOOSE(MATCH(B286,{"Январь","Февраль","Март","Апрель","Май","Июнь","Июль","Август","Сентябрь","Октябрь","Ноябрь","Декабрь"},0),
"Jan","Feb","Mar","Apr","May","Jun","Jul","Aug","Sep","Oct","Nov","Dec")</f>
        <v>May</v>
      </c>
    </row>
    <row r="287" spans="1:9" x14ac:dyDescent="0.35">
      <c r="A287" s="6">
        <v>2024</v>
      </c>
      <c r="B287" s="7" t="s">
        <v>59</v>
      </c>
      <c r="C287" s="7" t="s">
        <v>2</v>
      </c>
      <c r="D287" s="7" t="s">
        <v>7</v>
      </c>
      <c r="E287" s="7" t="s">
        <v>15</v>
      </c>
      <c r="F287" s="8">
        <v>416660</v>
      </c>
      <c r="G287" s="9">
        <v>27</v>
      </c>
      <c r="H287" s="10" t="s">
        <v>310</v>
      </c>
      <c r="I287" s="5" t="str">
        <f>CHOOSE(MATCH(B287,{"Январь","Февраль","Март","Апрель","Май","Июнь","Июль","Август","Сентябрь","Октябрь","Ноябрь","Декабрь"},0),
"Jan","Feb","Mar","Apr","May","Jun","Jul","Aug","Sep","Oct","Nov","Dec")</f>
        <v>May</v>
      </c>
    </row>
    <row r="288" spans="1:9" x14ac:dyDescent="0.35">
      <c r="A288" s="6">
        <v>2024</v>
      </c>
      <c r="B288" s="7" t="s">
        <v>59</v>
      </c>
      <c r="C288" s="7" t="s">
        <v>22</v>
      </c>
      <c r="D288" s="7" t="s">
        <v>14</v>
      </c>
      <c r="E288" s="7" t="s">
        <v>8</v>
      </c>
      <c r="F288" s="8">
        <v>274360</v>
      </c>
      <c r="G288" s="9">
        <v>16</v>
      </c>
      <c r="H288" s="10" t="s">
        <v>311</v>
      </c>
      <c r="I288" s="5" t="str">
        <f>CHOOSE(MATCH(B288,{"Январь","Февраль","Март","Апрель","Май","Июнь","Июль","Август","Сентябрь","Октябрь","Ноябрь","Декабрь"},0),
"Jan","Feb","Mar","Apr","May","Jun","Jul","Aug","Sep","Oct","Nov","Dec")</f>
        <v>May</v>
      </c>
    </row>
    <row r="289" spans="1:9" x14ac:dyDescent="0.35">
      <c r="A289" s="6">
        <v>2024</v>
      </c>
      <c r="B289" s="7" t="s">
        <v>59</v>
      </c>
      <c r="C289" s="7" t="s">
        <v>17</v>
      </c>
      <c r="D289" s="7" t="s">
        <v>11</v>
      </c>
      <c r="E289" s="7" t="s">
        <v>12</v>
      </c>
      <c r="F289" s="8">
        <v>224990</v>
      </c>
      <c r="G289" s="9">
        <v>16</v>
      </c>
      <c r="H289" s="10" t="s">
        <v>312</v>
      </c>
      <c r="I289" s="5" t="str">
        <f>CHOOSE(MATCH(B289,{"Январь","Февраль","Март","Апрель","Май","Июнь","Июль","Август","Сентябрь","Октябрь","Ноябрь","Декабрь"},0),
"Jan","Feb","Mar","Apr","May","Jun","Jul","Aug","Sep","Oct","Nov","Dec")</f>
        <v>May</v>
      </c>
    </row>
    <row r="290" spans="1:9" x14ac:dyDescent="0.35">
      <c r="A290" s="6">
        <v>2024</v>
      </c>
      <c r="B290" s="7" t="s">
        <v>59</v>
      </c>
      <c r="C290" s="7" t="s">
        <v>17</v>
      </c>
      <c r="D290" s="7" t="s">
        <v>14</v>
      </c>
      <c r="E290" s="7" t="s">
        <v>15</v>
      </c>
      <c r="F290" s="8">
        <v>445410</v>
      </c>
      <c r="G290" s="9">
        <v>29</v>
      </c>
      <c r="H290" s="10" t="s">
        <v>313</v>
      </c>
      <c r="I290" s="5" t="str">
        <f>CHOOSE(MATCH(B290,{"Январь","Февраль","Март","Апрель","Май","Июнь","Июль","Август","Сентябрь","Октябрь","Ноябрь","Декабрь"},0),
"Jan","Feb","Mar","Apr","May","Jun","Jul","Aug","Sep","Oct","Nov","Dec")</f>
        <v>May</v>
      </c>
    </row>
    <row r="291" spans="1:9" x14ac:dyDescent="0.35">
      <c r="A291" s="6">
        <v>2024</v>
      </c>
      <c r="B291" s="7" t="s">
        <v>59</v>
      </c>
      <c r="C291" s="7" t="s">
        <v>17</v>
      </c>
      <c r="D291" s="7" t="s">
        <v>14</v>
      </c>
      <c r="E291" s="7" t="s">
        <v>15</v>
      </c>
      <c r="F291" s="8">
        <v>606620</v>
      </c>
      <c r="G291" s="9">
        <v>39</v>
      </c>
      <c r="H291" s="10" t="s">
        <v>314</v>
      </c>
      <c r="I291" s="5" t="str">
        <f>CHOOSE(MATCH(B291,{"Январь","Февраль","Март","Апрель","Май","Июнь","Июль","Август","Сентябрь","Октябрь","Ноябрь","Декабрь"},0),
"Jan","Feb","Mar","Apr","May","Jun","Jul","Aug","Sep","Oct","Nov","Dec")</f>
        <v>May</v>
      </c>
    </row>
    <row r="292" spans="1:9" x14ac:dyDescent="0.35">
      <c r="A292" s="6">
        <v>2024</v>
      </c>
      <c r="B292" s="7" t="s">
        <v>59</v>
      </c>
      <c r="C292" s="7" t="s">
        <v>22</v>
      </c>
      <c r="D292" s="7" t="s">
        <v>18</v>
      </c>
      <c r="E292" s="7" t="s">
        <v>12</v>
      </c>
      <c r="F292" s="8">
        <v>378650</v>
      </c>
      <c r="G292" s="9">
        <v>35</v>
      </c>
      <c r="H292" s="10" t="s">
        <v>315</v>
      </c>
      <c r="I292" s="5" t="str">
        <f>CHOOSE(MATCH(B292,{"Январь","Февраль","Март","Апрель","Май","Июнь","Июль","Август","Сентябрь","Октябрь","Ноябрь","Декабрь"},0),
"Jan","Feb","Mar","Apr","May","Jun","Jul","Aug","Sep","Oct","Nov","Dec")</f>
        <v>May</v>
      </c>
    </row>
    <row r="293" spans="1:9" x14ac:dyDescent="0.35">
      <c r="A293" s="6">
        <v>2024</v>
      </c>
      <c r="B293" s="7" t="s">
        <v>59</v>
      </c>
      <c r="C293" s="7" t="s">
        <v>6</v>
      </c>
      <c r="D293" s="7" t="s">
        <v>14</v>
      </c>
      <c r="E293" s="7" t="s">
        <v>15</v>
      </c>
      <c r="F293" s="8">
        <v>482730</v>
      </c>
      <c r="G293" s="9">
        <v>35</v>
      </c>
      <c r="H293" s="10" t="s">
        <v>316</v>
      </c>
      <c r="I293" s="5" t="str">
        <f>CHOOSE(MATCH(B293,{"Январь","Февраль","Март","Апрель","Май","Июнь","Июль","Август","Сентябрь","Октябрь","Ноябрь","Декабрь"},0),
"Jan","Feb","Mar","Apr","May","Jun","Jul","Aug","Sep","Oct","Nov","Dec")</f>
        <v>May</v>
      </c>
    </row>
    <row r="294" spans="1:9" x14ac:dyDescent="0.35">
      <c r="A294" s="6">
        <v>2024</v>
      </c>
      <c r="B294" s="7" t="s">
        <v>70</v>
      </c>
      <c r="C294" s="7" t="s">
        <v>17</v>
      </c>
      <c r="D294" s="7" t="s">
        <v>11</v>
      </c>
      <c r="E294" s="7" t="s">
        <v>8</v>
      </c>
      <c r="F294" s="8">
        <v>559820</v>
      </c>
      <c r="G294" s="9">
        <v>26</v>
      </c>
      <c r="H294" s="10" t="s">
        <v>317</v>
      </c>
      <c r="I294" s="5" t="str">
        <f>CHOOSE(MATCH(B294,{"Январь","Февраль","Март","Апрель","Май","Июнь","Июль","Август","Сентябрь","Октябрь","Ноябрь","Декабрь"},0),
"Jan","Feb","Mar","Apr","May","Jun","Jul","Aug","Sep","Oct","Nov","Dec")</f>
        <v>Jun</v>
      </c>
    </row>
    <row r="295" spans="1:9" x14ac:dyDescent="0.35">
      <c r="A295" s="6">
        <v>2024</v>
      </c>
      <c r="B295" s="7" t="s">
        <v>70</v>
      </c>
      <c r="C295" s="7" t="s">
        <v>2</v>
      </c>
      <c r="D295" s="7" t="s">
        <v>14</v>
      </c>
      <c r="E295" s="7" t="s">
        <v>15</v>
      </c>
      <c r="F295" s="8">
        <v>390470</v>
      </c>
      <c r="G295" s="9">
        <v>23</v>
      </c>
      <c r="H295" s="10" t="s">
        <v>318</v>
      </c>
      <c r="I295" s="5" t="str">
        <f>CHOOSE(MATCH(B295,{"Январь","Февраль","Март","Апрель","Май","Июнь","Июль","Август","Сентябрь","Октябрь","Ноябрь","Декабрь"},0),
"Jan","Feb","Mar","Apr","May","Jun","Jul","Aug","Sep","Oct","Nov","Dec")</f>
        <v>Jun</v>
      </c>
    </row>
    <row r="296" spans="1:9" x14ac:dyDescent="0.35">
      <c r="A296" s="6">
        <v>2024</v>
      </c>
      <c r="B296" s="7" t="s">
        <v>70</v>
      </c>
      <c r="C296" s="7" t="s">
        <v>17</v>
      </c>
      <c r="D296" s="7" t="s">
        <v>14</v>
      </c>
      <c r="E296" s="7" t="s">
        <v>12</v>
      </c>
      <c r="F296" s="8">
        <v>233720</v>
      </c>
      <c r="G296" s="9">
        <v>17</v>
      </c>
      <c r="H296" s="10" t="s">
        <v>319</v>
      </c>
      <c r="I296" s="5" t="str">
        <f>CHOOSE(MATCH(B296,{"Январь","Февраль","Март","Апрель","Май","Июнь","Июль","Август","Сентябрь","Октябрь","Ноябрь","Декабрь"},0),
"Jan","Feb","Mar","Apr","May","Jun","Jul","Aug","Sep","Oct","Nov","Dec")</f>
        <v>Jun</v>
      </c>
    </row>
    <row r="297" spans="1:9" x14ac:dyDescent="0.35">
      <c r="A297" s="6">
        <v>2024</v>
      </c>
      <c r="B297" s="7" t="s">
        <v>70</v>
      </c>
      <c r="C297" s="7" t="s">
        <v>2</v>
      </c>
      <c r="D297" s="7" t="s">
        <v>14</v>
      </c>
      <c r="E297" s="7" t="s">
        <v>8</v>
      </c>
      <c r="F297" s="8">
        <v>407080</v>
      </c>
      <c r="G297" s="9">
        <v>18</v>
      </c>
      <c r="H297" s="10" t="s">
        <v>320</v>
      </c>
      <c r="I297" s="5" t="str">
        <f>CHOOSE(MATCH(B297,{"Январь","Февраль","Март","Апрель","Май","Июнь","Июль","Август","Сентябрь","Октябрь","Ноябрь","Декабрь"},0),
"Jan","Feb","Mar","Apr","May","Jun","Jul","Aug","Sep","Oct","Nov","Dec")</f>
        <v>Jun</v>
      </c>
    </row>
    <row r="298" spans="1:9" x14ac:dyDescent="0.35">
      <c r="A298" s="6">
        <v>2024</v>
      </c>
      <c r="B298" s="7" t="s">
        <v>70</v>
      </c>
      <c r="C298" s="7" t="s">
        <v>6</v>
      </c>
      <c r="D298" s="7" t="s">
        <v>7</v>
      </c>
      <c r="E298" s="7" t="s">
        <v>15</v>
      </c>
      <c r="F298" s="8">
        <v>365370</v>
      </c>
      <c r="G298" s="9">
        <v>28</v>
      </c>
      <c r="H298" s="10" t="s">
        <v>321</v>
      </c>
      <c r="I298" s="5" t="str">
        <f>CHOOSE(MATCH(B298,{"Январь","Февраль","Март","Апрель","Май","Июнь","Июль","Август","Сентябрь","Октябрь","Ноябрь","Декабрь"},0),
"Jan","Feb","Mar","Apr","May","Jun","Jul","Aug","Sep","Oct","Nov","Dec")</f>
        <v>Jun</v>
      </c>
    </row>
    <row r="299" spans="1:9" x14ac:dyDescent="0.35">
      <c r="A299" s="6">
        <v>2024</v>
      </c>
      <c r="B299" s="7" t="s">
        <v>70</v>
      </c>
      <c r="C299" s="7" t="s">
        <v>10</v>
      </c>
      <c r="D299" s="7" t="s">
        <v>7</v>
      </c>
      <c r="E299" s="7" t="s">
        <v>12</v>
      </c>
      <c r="F299" s="8">
        <v>590590</v>
      </c>
      <c r="G299" s="9">
        <v>36</v>
      </c>
      <c r="H299" s="10" t="s">
        <v>322</v>
      </c>
      <c r="I299" s="5" t="str">
        <f>CHOOSE(MATCH(B299,{"Январь","Февраль","Март","Апрель","Май","Июнь","Июль","Август","Сентябрь","Октябрь","Ноябрь","Декабрь"},0),
"Jan","Feb","Mar","Apr","May","Jun","Jul","Aug","Sep","Oct","Nov","Dec")</f>
        <v>Jun</v>
      </c>
    </row>
    <row r="300" spans="1:9" x14ac:dyDescent="0.35">
      <c r="A300" s="6">
        <v>2024</v>
      </c>
      <c r="B300" s="7" t="s">
        <v>70</v>
      </c>
      <c r="C300" s="7" t="s">
        <v>2</v>
      </c>
      <c r="D300" s="7" t="s">
        <v>7</v>
      </c>
      <c r="E300" s="7" t="s">
        <v>4</v>
      </c>
      <c r="F300" s="8">
        <v>320310</v>
      </c>
      <c r="G300" s="9">
        <v>17</v>
      </c>
      <c r="H300" s="10" t="s">
        <v>323</v>
      </c>
      <c r="I300" s="5" t="str">
        <f>CHOOSE(MATCH(B300,{"Январь","Февраль","Март","Апрель","Май","Июнь","Июль","Август","Сентябрь","Октябрь","Ноябрь","Декабрь"},0),
"Jan","Feb","Mar","Apr","May","Jun","Jul","Aug","Sep","Oct","Nov","Dec")</f>
        <v>Jun</v>
      </c>
    </row>
    <row r="301" spans="1:9" x14ac:dyDescent="0.35">
      <c r="A301" s="6">
        <v>2024</v>
      </c>
      <c r="B301" s="7" t="s">
        <v>70</v>
      </c>
      <c r="C301" s="7" t="s">
        <v>6</v>
      </c>
      <c r="D301" s="7" t="s">
        <v>18</v>
      </c>
      <c r="E301" s="7" t="s">
        <v>8</v>
      </c>
      <c r="F301" s="8">
        <v>229080</v>
      </c>
      <c r="G301" s="9">
        <v>12</v>
      </c>
      <c r="H301" s="10" t="s">
        <v>324</v>
      </c>
      <c r="I301" s="5" t="str">
        <f>CHOOSE(MATCH(B301,{"Январь","Февраль","Март","Апрель","Май","Июнь","Июль","Август","Сентябрь","Октябрь","Ноябрь","Декабрь"},0),
"Jan","Feb","Mar","Apr","May","Jun","Jul","Aug","Sep","Oct","Nov","Dec")</f>
        <v>Jun</v>
      </c>
    </row>
    <row r="302" spans="1:9" x14ac:dyDescent="0.35">
      <c r="A302" s="6">
        <v>2024</v>
      </c>
      <c r="B302" s="7" t="s">
        <v>70</v>
      </c>
      <c r="C302" s="7" t="s">
        <v>10</v>
      </c>
      <c r="D302" s="7" t="s">
        <v>7</v>
      </c>
      <c r="E302" s="7" t="s">
        <v>12</v>
      </c>
      <c r="F302" s="8">
        <v>483790</v>
      </c>
      <c r="G302" s="9">
        <v>31</v>
      </c>
      <c r="H302" s="10" t="s">
        <v>325</v>
      </c>
      <c r="I302" s="5" t="str">
        <f>CHOOSE(MATCH(B302,{"Январь","Февраль","Март","Апрель","Май","Июнь","Июль","Август","Сентябрь","Октябрь","Ноябрь","Декабрь"},0),
"Jan","Feb","Mar","Apr","May","Jun","Jul","Aug","Sep","Oct","Nov","Dec")</f>
        <v>Jun</v>
      </c>
    </row>
    <row r="303" spans="1:9" x14ac:dyDescent="0.35">
      <c r="A303" s="6">
        <v>2024</v>
      </c>
      <c r="B303" s="7" t="s">
        <v>70</v>
      </c>
      <c r="C303" s="7" t="s">
        <v>2</v>
      </c>
      <c r="D303" s="7" t="s">
        <v>7</v>
      </c>
      <c r="E303" s="7" t="s">
        <v>12</v>
      </c>
      <c r="F303" s="8">
        <v>348230</v>
      </c>
      <c r="G303" s="9">
        <v>26</v>
      </c>
      <c r="H303" s="10" t="s">
        <v>326</v>
      </c>
      <c r="I303" s="5" t="str">
        <f>CHOOSE(MATCH(B303,{"Январь","Февраль","Март","Апрель","Май","Июнь","Июль","Август","Сентябрь","Октябрь","Ноябрь","Декабрь"},0),
"Jan","Feb","Mar","Apr","May","Jun","Jul","Aug","Sep","Oct","Nov","Dec")</f>
        <v>Jun</v>
      </c>
    </row>
    <row r="304" spans="1:9" x14ac:dyDescent="0.35">
      <c r="A304" s="6">
        <v>2024</v>
      </c>
      <c r="B304" s="7" t="s">
        <v>81</v>
      </c>
      <c r="C304" s="7" t="s">
        <v>22</v>
      </c>
      <c r="D304" s="7" t="s">
        <v>14</v>
      </c>
      <c r="E304" s="7" t="s">
        <v>8</v>
      </c>
      <c r="F304" s="8">
        <v>375110</v>
      </c>
      <c r="G304" s="9">
        <v>21</v>
      </c>
      <c r="H304" s="10" t="s">
        <v>327</v>
      </c>
      <c r="I304" s="5" t="str">
        <f>CHOOSE(MATCH(B304,{"Январь","Февраль","Март","Апрель","Май","Июнь","Июль","Август","Сентябрь","Октябрь","Ноябрь","Декабрь"},0),
"Jan","Feb","Mar","Apr","May","Jun","Jul","Aug","Sep","Oct","Nov","Dec")</f>
        <v>Jul</v>
      </c>
    </row>
    <row r="305" spans="1:9" x14ac:dyDescent="0.35">
      <c r="A305" s="6">
        <v>2024</v>
      </c>
      <c r="B305" s="7" t="s">
        <v>81</v>
      </c>
      <c r="C305" s="7" t="s">
        <v>10</v>
      </c>
      <c r="D305" s="7" t="s">
        <v>3</v>
      </c>
      <c r="E305" s="7" t="s">
        <v>15</v>
      </c>
      <c r="F305" s="8">
        <v>344560</v>
      </c>
      <c r="G305" s="9">
        <v>18</v>
      </c>
      <c r="H305" s="10" t="s">
        <v>328</v>
      </c>
      <c r="I305" s="5" t="str">
        <f>CHOOSE(MATCH(B305,{"Январь","Февраль","Март","Апрель","Май","Июнь","Июль","Август","Сентябрь","Октябрь","Ноябрь","Декабрь"},0),
"Jan","Feb","Mar","Apr","May","Jun","Jul","Aug","Sep","Oct","Nov","Dec")</f>
        <v>Jul</v>
      </c>
    </row>
    <row r="306" spans="1:9" x14ac:dyDescent="0.35">
      <c r="A306" s="6">
        <v>2024</v>
      </c>
      <c r="B306" s="7" t="s">
        <v>81</v>
      </c>
      <c r="C306" s="7" t="s">
        <v>10</v>
      </c>
      <c r="D306" s="7" t="s">
        <v>14</v>
      </c>
      <c r="E306" s="7" t="s">
        <v>4</v>
      </c>
      <c r="F306" s="8">
        <v>415610</v>
      </c>
      <c r="G306" s="9">
        <v>19</v>
      </c>
      <c r="H306" s="10" t="s">
        <v>329</v>
      </c>
      <c r="I306" s="5" t="str">
        <f>CHOOSE(MATCH(B306,{"Январь","Февраль","Март","Апрель","Май","Июнь","Июль","Август","Сентябрь","Октябрь","Ноябрь","Декабрь"},0),
"Jan","Feb","Mar","Apr","May","Jun","Jul","Aug","Sep","Oct","Nov","Dec")</f>
        <v>Jul</v>
      </c>
    </row>
    <row r="307" spans="1:9" x14ac:dyDescent="0.35">
      <c r="A307" s="6">
        <v>2024</v>
      </c>
      <c r="B307" s="7" t="s">
        <v>81</v>
      </c>
      <c r="C307" s="7" t="s">
        <v>10</v>
      </c>
      <c r="D307" s="7" t="s">
        <v>11</v>
      </c>
      <c r="E307" s="7" t="s">
        <v>15</v>
      </c>
      <c r="F307" s="8">
        <v>299840</v>
      </c>
      <c r="G307" s="9">
        <v>15</v>
      </c>
      <c r="H307" s="10" t="s">
        <v>330</v>
      </c>
      <c r="I307" s="5" t="str">
        <f>CHOOSE(MATCH(B307,{"Январь","Февраль","Март","Апрель","Май","Июнь","Июль","Август","Сентябрь","Октябрь","Ноябрь","Декабрь"},0),
"Jan","Feb","Mar","Apr","May","Jun","Jul","Aug","Sep","Oct","Nov","Dec")</f>
        <v>Jul</v>
      </c>
    </row>
    <row r="308" spans="1:9" x14ac:dyDescent="0.35">
      <c r="A308" s="6">
        <v>2024</v>
      </c>
      <c r="B308" s="7" t="s">
        <v>81</v>
      </c>
      <c r="C308" s="7" t="s">
        <v>2</v>
      </c>
      <c r="D308" s="7" t="s">
        <v>7</v>
      </c>
      <c r="E308" s="7" t="s">
        <v>12</v>
      </c>
      <c r="F308" s="8">
        <v>495930</v>
      </c>
      <c r="G308" s="9">
        <v>37</v>
      </c>
      <c r="H308" s="10" t="s">
        <v>331</v>
      </c>
      <c r="I308" s="5" t="str">
        <f>CHOOSE(MATCH(B308,{"Январь","Февраль","Март","Апрель","Май","Июнь","Июль","Август","Сентябрь","Октябрь","Ноябрь","Декабрь"},0),
"Jan","Feb","Mar","Apr","May","Jun","Jul","Aug","Sep","Oct","Nov","Dec")</f>
        <v>Jul</v>
      </c>
    </row>
    <row r="309" spans="1:9" x14ac:dyDescent="0.35">
      <c r="A309" s="6">
        <v>2024</v>
      </c>
      <c r="B309" s="7" t="s">
        <v>81</v>
      </c>
      <c r="C309" s="7" t="s">
        <v>22</v>
      </c>
      <c r="D309" s="7" t="s">
        <v>14</v>
      </c>
      <c r="E309" s="7" t="s">
        <v>15</v>
      </c>
      <c r="F309" s="8">
        <v>468470</v>
      </c>
      <c r="G309" s="9">
        <v>36</v>
      </c>
      <c r="H309" s="10" t="s">
        <v>332</v>
      </c>
      <c r="I309" s="5" t="str">
        <f>CHOOSE(MATCH(B309,{"Январь","Февраль","Март","Апрель","Май","Июнь","Июль","Август","Сентябрь","Октябрь","Ноябрь","Декабрь"},0),
"Jan","Feb","Mar","Apr","May","Jun","Jul","Aug","Sep","Oct","Nov","Dec")</f>
        <v>Jul</v>
      </c>
    </row>
    <row r="310" spans="1:9" x14ac:dyDescent="0.35">
      <c r="A310" s="6">
        <v>2024</v>
      </c>
      <c r="B310" s="7" t="s">
        <v>81</v>
      </c>
      <c r="C310" s="7" t="s">
        <v>2</v>
      </c>
      <c r="D310" s="7" t="s">
        <v>7</v>
      </c>
      <c r="E310" s="7" t="s">
        <v>8</v>
      </c>
      <c r="F310" s="8">
        <v>498980</v>
      </c>
      <c r="G310" s="9">
        <v>24</v>
      </c>
      <c r="H310" s="10" t="s">
        <v>333</v>
      </c>
      <c r="I310" s="5" t="str">
        <f>CHOOSE(MATCH(B310,{"Январь","Февраль","Март","Апрель","Май","Июнь","Июль","Август","Сентябрь","Октябрь","Ноябрь","Декабрь"},0),
"Jan","Feb","Mar","Apr","May","Jun","Jul","Aug","Sep","Oct","Nov","Dec")</f>
        <v>Jul</v>
      </c>
    </row>
    <row r="311" spans="1:9" x14ac:dyDescent="0.35">
      <c r="A311" s="6">
        <v>2024</v>
      </c>
      <c r="B311" s="7" t="s">
        <v>81</v>
      </c>
      <c r="C311" s="7" t="s">
        <v>22</v>
      </c>
      <c r="D311" s="7" t="s">
        <v>18</v>
      </c>
      <c r="E311" s="7" t="s">
        <v>15</v>
      </c>
      <c r="F311" s="8">
        <v>251400</v>
      </c>
      <c r="G311" s="9">
        <v>19</v>
      </c>
      <c r="H311" s="10" t="s">
        <v>334</v>
      </c>
      <c r="I311" s="5" t="str">
        <f>CHOOSE(MATCH(B311,{"Январь","Февраль","Март","Апрель","Май","Июнь","Июль","Август","Сентябрь","Октябрь","Ноябрь","Декабрь"},0),
"Jan","Feb","Mar","Apr","May","Jun","Jul","Aug","Sep","Oct","Nov","Dec")</f>
        <v>Jul</v>
      </c>
    </row>
    <row r="312" spans="1:9" x14ac:dyDescent="0.35">
      <c r="A312" s="6">
        <v>2024</v>
      </c>
      <c r="B312" s="7" t="s">
        <v>81</v>
      </c>
      <c r="C312" s="7" t="s">
        <v>22</v>
      </c>
      <c r="D312" s="7" t="s">
        <v>18</v>
      </c>
      <c r="E312" s="7" t="s">
        <v>8</v>
      </c>
      <c r="F312" s="8">
        <v>374760</v>
      </c>
      <c r="G312" s="9">
        <v>22</v>
      </c>
      <c r="H312" s="10" t="s">
        <v>335</v>
      </c>
      <c r="I312" s="5" t="str">
        <f>CHOOSE(MATCH(B312,{"Январь","Февраль","Март","Апрель","Май","Июнь","Июль","Август","Сентябрь","Октябрь","Ноябрь","Декабрь"},0),
"Jan","Feb","Mar","Apr","May","Jun","Jul","Aug","Sep","Oct","Nov","Dec")</f>
        <v>Jul</v>
      </c>
    </row>
    <row r="313" spans="1:9" x14ac:dyDescent="0.35">
      <c r="A313" s="6">
        <v>2024</v>
      </c>
      <c r="B313" s="7" t="s">
        <v>81</v>
      </c>
      <c r="C313" s="7" t="s">
        <v>6</v>
      </c>
      <c r="D313" s="7" t="s">
        <v>7</v>
      </c>
      <c r="E313" s="7" t="s">
        <v>8</v>
      </c>
      <c r="F313" s="8">
        <v>439750</v>
      </c>
      <c r="G313" s="9">
        <v>24</v>
      </c>
      <c r="H313" s="10" t="s">
        <v>336</v>
      </c>
      <c r="I313" s="5" t="str">
        <f>CHOOSE(MATCH(B313,{"Январь","Февраль","Март","Апрель","Май","Июнь","Июль","Август","Сентябрь","Октябрь","Ноябрь","Декабрь"},0),
"Jan","Feb","Mar","Apr","May","Jun","Jul","Aug","Sep","Oct","Nov","Dec")</f>
        <v>Jul</v>
      </c>
    </row>
    <row r="314" spans="1:9" x14ac:dyDescent="0.35">
      <c r="A314" s="6">
        <v>2024</v>
      </c>
      <c r="B314" s="7" t="s">
        <v>92</v>
      </c>
      <c r="C314" s="7" t="s">
        <v>10</v>
      </c>
      <c r="D314" s="7" t="s">
        <v>18</v>
      </c>
      <c r="E314" s="7" t="s">
        <v>4</v>
      </c>
      <c r="F314" s="8">
        <v>789670</v>
      </c>
      <c r="G314" s="9">
        <v>36</v>
      </c>
      <c r="H314" s="10" t="s">
        <v>337</v>
      </c>
      <c r="I314" s="5" t="str">
        <f>CHOOSE(MATCH(B314,{"Январь","Февраль","Март","Апрель","Май","Июнь","Июль","Август","Сентябрь","Октябрь","Ноябрь","Декабрь"},0),
"Jan","Feb","Mar","Apr","May","Jun","Jul","Aug","Sep","Oct","Nov","Dec")</f>
        <v>Aug</v>
      </c>
    </row>
    <row r="315" spans="1:9" x14ac:dyDescent="0.35">
      <c r="A315" s="6">
        <v>2024</v>
      </c>
      <c r="B315" s="7" t="s">
        <v>92</v>
      </c>
      <c r="C315" s="7" t="s">
        <v>2</v>
      </c>
      <c r="D315" s="7" t="s">
        <v>7</v>
      </c>
      <c r="E315" s="7" t="s">
        <v>12</v>
      </c>
      <c r="F315" s="8">
        <v>414890</v>
      </c>
      <c r="G315" s="9">
        <v>31</v>
      </c>
      <c r="H315" s="10" t="s">
        <v>338</v>
      </c>
      <c r="I315" s="5" t="str">
        <f>CHOOSE(MATCH(B315,{"Январь","Февраль","Март","Апрель","Май","Июнь","Июль","Август","Сентябрь","Октябрь","Ноябрь","Декабрь"},0),
"Jan","Feb","Mar","Apr","May","Jun","Jul","Aug","Sep","Oct","Nov","Dec")</f>
        <v>Aug</v>
      </c>
    </row>
    <row r="316" spans="1:9" x14ac:dyDescent="0.35">
      <c r="A316" s="6">
        <v>2024</v>
      </c>
      <c r="B316" s="7" t="s">
        <v>92</v>
      </c>
      <c r="C316" s="7" t="s">
        <v>17</v>
      </c>
      <c r="D316" s="7" t="s">
        <v>18</v>
      </c>
      <c r="E316" s="7" t="s">
        <v>12</v>
      </c>
      <c r="F316" s="8">
        <v>266230</v>
      </c>
      <c r="G316" s="9">
        <v>19</v>
      </c>
      <c r="H316" s="10" t="s">
        <v>339</v>
      </c>
      <c r="I316" s="5" t="str">
        <f>CHOOSE(MATCH(B316,{"Январь","Февраль","Март","Апрель","Май","Июнь","Июль","Август","Сентябрь","Октябрь","Ноябрь","Декабрь"},0),
"Jan","Feb","Mar","Apr","May","Jun","Jul","Aug","Sep","Oct","Nov","Dec")</f>
        <v>Aug</v>
      </c>
    </row>
    <row r="317" spans="1:9" x14ac:dyDescent="0.35">
      <c r="A317" s="6">
        <v>2024</v>
      </c>
      <c r="B317" s="7" t="s">
        <v>92</v>
      </c>
      <c r="C317" s="7" t="s">
        <v>17</v>
      </c>
      <c r="D317" s="7" t="s">
        <v>7</v>
      </c>
      <c r="E317" s="7" t="s">
        <v>4</v>
      </c>
      <c r="F317" s="8">
        <v>452510</v>
      </c>
      <c r="G317" s="9">
        <v>26</v>
      </c>
      <c r="H317" s="10" t="s">
        <v>340</v>
      </c>
      <c r="I317" s="5" t="str">
        <f>CHOOSE(MATCH(B317,{"Январь","Февраль","Март","Апрель","Май","Июнь","Июль","Август","Сентябрь","Октябрь","Ноябрь","Декабрь"},0),
"Jan","Feb","Mar","Apr","May","Jun","Jul","Aug","Sep","Oct","Nov","Dec")</f>
        <v>Aug</v>
      </c>
    </row>
    <row r="318" spans="1:9" x14ac:dyDescent="0.35">
      <c r="A318" s="6">
        <v>2024</v>
      </c>
      <c r="B318" s="7" t="s">
        <v>92</v>
      </c>
      <c r="C318" s="7" t="s">
        <v>10</v>
      </c>
      <c r="D318" s="7" t="s">
        <v>7</v>
      </c>
      <c r="E318" s="7" t="s">
        <v>8</v>
      </c>
      <c r="F318" s="8">
        <v>1036140</v>
      </c>
      <c r="G318" s="9">
        <v>41</v>
      </c>
      <c r="H318" s="10" t="s">
        <v>341</v>
      </c>
      <c r="I318" s="5" t="str">
        <f>CHOOSE(MATCH(B318,{"Январь","Февраль","Март","Апрель","Май","Июнь","Июль","Август","Сентябрь","Октябрь","Ноябрь","Декабрь"},0),
"Jan","Feb","Mar","Apr","May","Jun","Jul","Aug","Sep","Oct","Nov","Dec")</f>
        <v>Aug</v>
      </c>
    </row>
    <row r="319" spans="1:9" x14ac:dyDescent="0.35">
      <c r="A319" s="6">
        <v>2024</v>
      </c>
      <c r="B319" s="7" t="s">
        <v>92</v>
      </c>
      <c r="C319" s="7" t="s">
        <v>17</v>
      </c>
      <c r="D319" s="7" t="s">
        <v>3</v>
      </c>
      <c r="E319" s="7" t="s">
        <v>8</v>
      </c>
      <c r="F319" s="8">
        <v>543780</v>
      </c>
      <c r="G319" s="9">
        <v>26</v>
      </c>
      <c r="H319" s="10" t="s">
        <v>342</v>
      </c>
      <c r="I319" s="5" t="str">
        <f>CHOOSE(MATCH(B319,{"Январь","Февраль","Март","Апрель","Май","Июнь","Июль","Август","Сентябрь","Октябрь","Ноябрь","Декабрь"},0),
"Jan","Feb","Mar","Apr","May","Jun","Jul","Aug","Sep","Oct","Nov","Dec")</f>
        <v>Aug</v>
      </c>
    </row>
    <row r="320" spans="1:9" x14ac:dyDescent="0.35">
      <c r="A320" s="6">
        <v>2024</v>
      </c>
      <c r="B320" s="7" t="s">
        <v>92</v>
      </c>
      <c r="C320" s="7" t="s">
        <v>10</v>
      </c>
      <c r="D320" s="7" t="s">
        <v>11</v>
      </c>
      <c r="E320" s="7" t="s">
        <v>4</v>
      </c>
      <c r="F320" s="8">
        <v>933160</v>
      </c>
      <c r="G320" s="9">
        <v>42</v>
      </c>
      <c r="H320" s="10" t="s">
        <v>343</v>
      </c>
      <c r="I320" s="5" t="str">
        <f>CHOOSE(MATCH(B320,{"Январь","Февраль","Март","Апрель","Май","Июнь","Июль","Август","Сентябрь","Октябрь","Ноябрь","Декабрь"},0),
"Jan","Feb","Mar","Apr","May","Jun","Jul","Aug","Sep","Oct","Nov","Dec")</f>
        <v>Aug</v>
      </c>
    </row>
    <row r="321" spans="1:9" x14ac:dyDescent="0.35">
      <c r="A321" s="6">
        <v>2024</v>
      </c>
      <c r="B321" s="7" t="s">
        <v>92</v>
      </c>
      <c r="C321" s="7" t="s">
        <v>6</v>
      </c>
      <c r="D321" s="7" t="s">
        <v>7</v>
      </c>
      <c r="E321" s="7" t="s">
        <v>4</v>
      </c>
      <c r="F321" s="8">
        <v>223630</v>
      </c>
      <c r="G321" s="9">
        <v>15</v>
      </c>
      <c r="H321" s="10" t="s">
        <v>344</v>
      </c>
      <c r="I321" s="5" t="str">
        <f>CHOOSE(MATCH(B321,{"Январь","Февраль","Март","Апрель","Май","Июнь","Июль","Август","Сентябрь","Октябрь","Ноябрь","Декабрь"},0),
"Jan","Feb","Mar","Apr","May","Jun","Jul","Aug","Sep","Oct","Nov","Dec")</f>
        <v>Aug</v>
      </c>
    </row>
    <row r="322" spans="1:9" x14ac:dyDescent="0.35">
      <c r="A322" s="6">
        <v>2024</v>
      </c>
      <c r="B322" s="7" t="s">
        <v>92</v>
      </c>
      <c r="C322" s="7" t="s">
        <v>6</v>
      </c>
      <c r="D322" s="7" t="s">
        <v>3</v>
      </c>
      <c r="E322" s="7" t="s">
        <v>8</v>
      </c>
      <c r="F322" s="8">
        <v>436680</v>
      </c>
      <c r="G322" s="9">
        <v>22</v>
      </c>
      <c r="H322" s="10" t="s">
        <v>345</v>
      </c>
      <c r="I322" s="5" t="str">
        <f>CHOOSE(MATCH(B322,{"Январь","Февраль","Март","Апрель","Май","Июнь","Июль","Август","Сентябрь","Октябрь","Ноябрь","Декабрь"},0),
"Jan","Feb","Mar","Apr","May","Jun","Jul","Aug","Sep","Oct","Nov","Dec")</f>
        <v>Aug</v>
      </c>
    </row>
    <row r="323" spans="1:9" x14ac:dyDescent="0.35">
      <c r="A323" s="6">
        <v>2024</v>
      </c>
      <c r="B323" s="7" t="s">
        <v>92</v>
      </c>
      <c r="C323" s="7" t="s">
        <v>17</v>
      </c>
      <c r="D323" s="7" t="s">
        <v>11</v>
      </c>
      <c r="E323" s="7" t="s">
        <v>8</v>
      </c>
      <c r="F323" s="8">
        <v>647600</v>
      </c>
      <c r="G323" s="9">
        <v>31</v>
      </c>
      <c r="H323" s="10" t="s">
        <v>346</v>
      </c>
      <c r="I323" s="5" t="str">
        <f>CHOOSE(MATCH(B323,{"Январь","Февраль","Март","Апрель","Май","Июнь","Июль","Август","Сентябрь","Октябрь","Ноябрь","Декабрь"},0),
"Jan","Feb","Mar","Apr","May","Jun","Jul","Aug","Sep","Oct","Nov","Dec")</f>
        <v>Aug</v>
      </c>
    </row>
    <row r="324" spans="1:9" x14ac:dyDescent="0.35">
      <c r="A324" s="6">
        <v>2024</v>
      </c>
      <c r="B324" s="7" t="s">
        <v>103</v>
      </c>
      <c r="C324" s="7" t="s">
        <v>2</v>
      </c>
      <c r="D324" s="7" t="s">
        <v>11</v>
      </c>
      <c r="E324" s="7" t="s">
        <v>8</v>
      </c>
      <c r="F324" s="8">
        <v>788470</v>
      </c>
      <c r="G324" s="9">
        <v>35</v>
      </c>
      <c r="H324" s="10" t="s">
        <v>347</v>
      </c>
      <c r="I324" s="5" t="str">
        <f>CHOOSE(MATCH(B324,{"Январь","Февраль","Март","Апрель","Май","Июнь","Июль","Август","Сентябрь","Октябрь","Ноябрь","Декабрь"},0),
"Jan","Feb","Mar","Apr","May","Jun","Jul","Aug","Sep","Oct","Nov","Dec")</f>
        <v>Sep</v>
      </c>
    </row>
    <row r="325" spans="1:9" x14ac:dyDescent="0.35">
      <c r="A325" s="6">
        <v>2024</v>
      </c>
      <c r="B325" s="7" t="s">
        <v>103</v>
      </c>
      <c r="C325" s="7" t="s">
        <v>6</v>
      </c>
      <c r="D325" s="7" t="s">
        <v>14</v>
      </c>
      <c r="E325" s="7" t="s">
        <v>8</v>
      </c>
      <c r="F325" s="8">
        <v>466560</v>
      </c>
      <c r="G325" s="9">
        <v>25</v>
      </c>
      <c r="H325" s="10" t="s">
        <v>348</v>
      </c>
      <c r="I325" s="5" t="str">
        <f>CHOOSE(MATCH(B325,{"Январь","Февраль","Март","Апрель","Май","Июнь","Июль","Август","Сентябрь","Октябрь","Ноябрь","Декабрь"},0),
"Jan","Feb","Mar","Apr","May","Jun","Jul","Aug","Sep","Oct","Nov","Dec")</f>
        <v>Sep</v>
      </c>
    </row>
    <row r="326" spans="1:9" x14ac:dyDescent="0.35">
      <c r="A326" s="6">
        <v>2024</v>
      </c>
      <c r="B326" s="7" t="s">
        <v>103</v>
      </c>
      <c r="C326" s="7" t="s">
        <v>10</v>
      </c>
      <c r="D326" s="7" t="s">
        <v>14</v>
      </c>
      <c r="E326" s="7" t="s">
        <v>4</v>
      </c>
      <c r="F326" s="8">
        <v>253950</v>
      </c>
      <c r="G326" s="9">
        <v>12</v>
      </c>
      <c r="H326" s="10" t="s">
        <v>349</v>
      </c>
      <c r="I326" s="5" t="str">
        <f>CHOOSE(MATCH(B326,{"Январь","Февраль","Март","Апрель","Май","Июнь","Июль","Август","Сентябрь","Октябрь","Ноябрь","Декабрь"},0),
"Jan","Feb","Mar","Apr","May","Jun","Jul","Aug","Sep","Oct","Nov","Dec")</f>
        <v>Sep</v>
      </c>
    </row>
    <row r="327" spans="1:9" x14ac:dyDescent="0.35">
      <c r="A327" s="6">
        <v>2024</v>
      </c>
      <c r="B327" s="7" t="s">
        <v>103</v>
      </c>
      <c r="C327" s="7" t="s">
        <v>6</v>
      </c>
      <c r="D327" s="7" t="s">
        <v>18</v>
      </c>
      <c r="E327" s="7" t="s">
        <v>4</v>
      </c>
      <c r="F327" s="8">
        <v>203740</v>
      </c>
      <c r="G327" s="9">
        <v>12</v>
      </c>
      <c r="H327" s="10" t="s">
        <v>350</v>
      </c>
      <c r="I327" s="5" t="str">
        <f>CHOOSE(MATCH(B327,{"Январь","Февраль","Март","Апрель","Май","Июнь","Июль","Август","Сентябрь","Октябрь","Ноябрь","Декабрь"},0),
"Jan","Feb","Mar","Apr","May","Jun","Jul","Aug","Sep","Oct","Nov","Dec")</f>
        <v>Sep</v>
      </c>
    </row>
    <row r="328" spans="1:9" x14ac:dyDescent="0.35">
      <c r="A328" s="6">
        <v>2024</v>
      </c>
      <c r="B328" s="7" t="s">
        <v>103</v>
      </c>
      <c r="C328" s="7" t="s">
        <v>6</v>
      </c>
      <c r="D328" s="7" t="s">
        <v>11</v>
      </c>
      <c r="E328" s="7" t="s">
        <v>8</v>
      </c>
      <c r="F328" s="8">
        <v>407320</v>
      </c>
      <c r="G328" s="9">
        <v>21</v>
      </c>
      <c r="H328" s="10" t="s">
        <v>351</v>
      </c>
      <c r="I328" s="5" t="str">
        <f>CHOOSE(MATCH(B328,{"Январь","Февраль","Март","Апрель","Май","Июнь","Июль","Август","Сентябрь","Октябрь","Ноябрь","Декабрь"},0),
"Jan","Feb","Mar","Apr","May","Jun","Jul","Aug","Sep","Oct","Nov","Dec")</f>
        <v>Sep</v>
      </c>
    </row>
    <row r="329" spans="1:9" x14ac:dyDescent="0.35">
      <c r="A329" s="6">
        <v>2024</v>
      </c>
      <c r="B329" s="7" t="s">
        <v>103</v>
      </c>
      <c r="C329" s="7" t="s">
        <v>10</v>
      </c>
      <c r="D329" s="7" t="s">
        <v>18</v>
      </c>
      <c r="E329" s="7" t="s">
        <v>15</v>
      </c>
      <c r="F329" s="8">
        <v>604640</v>
      </c>
      <c r="G329" s="9">
        <v>32</v>
      </c>
      <c r="H329" s="10" t="s">
        <v>352</v>
      </c>
      <c r="I329" s="5" t="str">
        <f>CHOOSE(MATCH(B329,{"Январь","Февраль","Март","Апрель","Май","Июнь","Июль","Август","Сентябрь","Октябрь","Ноябрь","Декабрь"},0),
"Jan","Feb","Mar","Apr","May","Jun","Jul","Aug","Sep","Oct","Nov","Dec")</f>
        <v>Sep</v>
      </c>
    </row>
    <row r="330" spans="1:9" x14ac:dyDescent="0.35">
      <c r="A330" s="6">
        <v>2024</v>
      </c>
      <c r="B330" s="7" t="s">
        <v>103</v>
      </c>
      <c r="C330" s="7" t="s">
        <v>10</v>
      </c>
      <c r="D330" s="7" t="s">
        <v>7</v>
      </c>
      <c r="E330" s="7" t="s">
        <v>15</v>
      </c>
      <c r="F330" s="8">
        <v>588990</v>
      </c>
      <c r="G330" s="9">
        <v>32</v>
      </c>
      <c r="H330" s="10" t="s">
        <v>353</v>
      </c>
      <c r="I330" s="5" t="str">
        <f>CHOOSE(MATCH(B330,{"Январь","Февраль","Март","Апрель","Май","Июнь","Июль","Август","Сентябрь","Октябрь","Ноябрь","Декабрь"},0),
"Jan","Feb","Mar","Apr","May","Jun","Jul","Aug","Sep","Oct","Nov","Dec")</f>
        <v>Sep</v>
      </c>
    </row>
    <row r="331" spans="1:9" x14ac:dyDescent="0.35">
      <c r="A331" s="6">
        <v>2024</v>
      </c>
      <c r="B331" s="7" t="s">
        <v>103</v>
      </c>
      <c r="C331" s="7" t="s">
        <v>6</v>
      </c>
      <c r="D331" s="7" t="s">
        <v>14</v>
      </c>
      <c r="E331" s="7" t="s">
        <v>4</v>
      </c>
      <c r="F331" s="8">
        <v>321070</v>
      </c>
      <c r="G331" s="9">
        <v>19</v>
      </c>
      <c r="H331" s="10" t="s">
        <v>354</v>
      </c>
      <c r="I331" s="5" t="str">
        <f>CHOOSE(MATCH(B331,{"Январь","Февраль","Март","Апрель","Май","Июнь","Июль","Август","Сентябрь","Октябрь","Ноябрь","Декабрь"},0),
"Jan","Feb","Mar","Apr","May","Jun","Jul","Aug","Sep","Oct","Nov","Dec")</f>
        <v>Sep</v>
      </c>
    </row>
    <row r="332" spans="1:9" x14ac:dyDescent="0.35">
      <c r="A332" s="6">
        <v>2024</v>
      </c>
      <c r="B332" s="7" t="s">
        <v>103</v>
      </c>
      <c r="C332" s="7" t="s">
        <v>17</v>
      </c>
      <c r="D332" s="7" t="s">
        <v>18</v>
      </c>
      <c r="E332" s="7" t="s">
        <v>8</v>
      </c>
      <c r="F332" s="8">
        <v>533610</v>
      </c>
      <c r="G332" s="9">
        <v>26</v>
      </c>
      <c r="H332" s="10" t="s">
        <v>355</v>
      </c>
      <c r="I332" s="5" t="str">
        <f>CHOOSE(MATCH(B332,{"Январь","Февраль","Март","Апрель","Май","Июнь","Июль","Август","Сентябрь","Октябрь","Ноябрь","Декабрь"},0),
"Jan","Feb","Mar","Apr","May","Jun","Jul","Aug","Sep","Oct","Nov","Dec")</f>
        <v>Sep</v>
      </c>
    </row>
    <row r="333" spans="1:9" x14ac:dyDescent="0.35">
      <c r="A333" s="6">
        <v>2024</v>
      </c>
      <c r="B333" s="7" t="s">
        <v>103</v>
      </c>
      <c r="C333" s="7" t="s">
        <v>17</v>
      </c>
      <c r="D333" s="7" t="s">
        <v>14</v>
      </c>
      <c r="E333" s="7" t="s">
        <v>15</v>
      </c>
      <c r="F333" s="8">
        <v>192960</v>
      </c>
      <c r="G333" s="9">
        <v>13</v>
      </c>
      <c r="H333" s="10" t="s">
        <v>356</v>
      </c>
      <c r="I333" s="5" t="str">
        <f>CHOOSE(MATCH(B333,{"Январь","Февраль","Март","Апрель","Май","Июнь","Июль","Август","Сентябрь","Октябрь","Ноябрь","Декабрь"},0),
"Jan","Feb","Mar","Apr","May","Jun","Jul","Aug","Sep","Oct","Nov","Dec")</f>
        <v>Sep</v>
      </c>
    </row>
    <row r="334" spans="1:9" x14ac:dyDescent="0.35">
      <c r="A334" s="6">
        <v>2024</v>
      </c>
      <c r="B334" s="7" t="s">
        <v>114</v>
      </c>
      <c r="C334" s="7" t="s">
        <v>10</v>
      </c>
      <c r="D334" s="7" t="s">
        <v>7</v>
      </c>
      <c r="E334" s="7" t="s">
        <v>4</v>
      </c>
      <c r="F334" s="8">
        <v>363290</v>
      </c>
      <c r="G334" s="9">
        <v>17</v>
      </c>
      <c r="H334" s="10" t="s">
        <v>357</v>
      </c>
      <c r="I334" s="5" t="str">
        <f>CHOOSE(MATCH(B334,{"Январь","Февраль","Март","Апрель","Май","Июнь","Июль","Август","Сентябрь","Октябрь","Ноябрь","Декабрь"},0),
"Jan","Feb","Mar","Apr","May","Jun","Jul","Aug","Sep","Oct","Nov","Dec")</f>
        <v>Oct</v>
      </c>
    </row>
    <row r="335" spans="1:9" x14ac:dyDescent="0.35">
      <c r="A335" s="6">
        <v>2024</v>
      </c>
      <c r="B335" s="7" t="s">
        <v>114</v>
      </c>
      <c r="C335" s="7" t="s">
        <v>6</v>
      </c>
      <c r="D335" s="7" t="s">
        <v>14</v>
      </c>
      <c r="E335" s="7" t="s">
        <v>12</v>
      </c>
      <c r="F335" s="8">
        <v>394230</v>
      </c>
      <c r="G335" s="9">
        <v>33</v>
      </c>
      <c r="H335" s="10" t="s">
        <v>358</v>
      </c>
      <c r="I335" s="5" t="str">
        <f>CHOOSE(MATCH(B335,{"Январь","Февраль","Март","Апрель","Май","Июнь","Июль","Август","Сентябрь","Октябрь","Ноябрь","Декабрь"},0),
"Jan","Feb","Mar","Apr","May","Jun","Jul","Aug","Sep","Oct","Nov","Dec")</f>
        <v>Oct</v>
      </c>
    </row>
    <row r="336" spans="1:9" x14ac:dyDescent="0.35">
      <c r="A336" s="6">
        <v>2024</v>
      </c>
      <c r="B336" s="7" t="s">
        <v>114</v>
      </c>
      <c r="C336" s="7" t="s">
        <v>17</v>
      </c>
      <c r="D336" s="7" t="s">
        <v>18</v>
      </c>
      <c r="E336" s="7" t="s">
        <v>12</v>
      </c>
      <c r="F336" s="8">
        <v>293290</v>
      </c>
      <c r="G336" s="9">
        <v>23</v>
      </c>
      <c r="H336" s="10" t="s">
        <v>359</v>
      </c>
      <c r="I336" s="5" t="str">
        <f>CHOOSE(MATCH(B336,{"Январь","Февраль","Март","Апрель","Май","Июнь","Июль","Август","Сентябрь","Октябрь","Ноябрь","Декабрь"},0),
"Jan","Feb","Mar","Apr","May","Jun","Jul","Aug","Sep","Oct","Nov","Dec")</f>
        <v>Oct</v>
      </c>
    </row>
    <row r="337" spans="1:9" x14ac:dyDescent="0.35">
      <c r="A337" s="6">
        <v>2024</v>
      </c>
      <c r="B337" s="7" t="s">
        <v>114</v>
      </c>
      <c r="C337" s="7" t="s">
        <v>2</v>
      </c>
      <c r="D337" s="7" t="s">
        <v>3</v>
      </c>
      <c r="E337" s="7" t="s">
        <v>8</v>
      </c>
      <c r="F337" s="8">
        <v>605640</v>
      </c>
      <c r="G337" s="9">
        <v>27</v>
      </c>
      <c r="H337" s="10" t="s">
        <v>360</v>
      </c>
      <c r="I337" s="5" t="str">
        <f>CHOOSE(MATCH(B337,{"Январь","Февраль","Март","Апрель","Май","Июнь","Июль","Август","Сентябрь","Октябрь","Ноябрь","Декабрь"},0),
"Jan","Feb","Mar","Apr","May","Jun","Jul","Aug","Sep","Oct","Nov","Dec")</f>
        <v>Oct</v>
      </c>
    </row>
    <row r="338" spans="1:9" x14ac:dyDescent="0.35">
      <c r="A338" s="6">
        <v>2024</v>
      </c>
      <c r="B338" s="7" t="s">
        <v>114</v>
      </c>
      <c r="C338" s="7" t="s">
        <v>17</v>
      </c>
      <c r="D338" s="7" t="s">
        <v>14</v>
      </c>
      <c r="E338" s="7" t="s">
        <v>12</v>
      </c>
      <c r="F338" s="8">
        <v>189400</v>
      </c>
      <c r="G338" s="9">
        <v>13</v>
      </c>
      <c r="H338" s="10" t="s">
        <v>361</v>
      </c>
      <c r="I338" s="5" t="str">
        <f>CHOOSE(MATCH(B338,{"Январь","Февраль","Март","Апрель","Май","Июнь","Июль","Август","Сентябрь","Октябрь","Ноябрь","Декабрь"},0),
"Jan","Feb","Mar","Apr","May","Jun","Jul","Aug","Sep","Oct","Nov","Dec")</f>
        <v>Oct</v>
      </c>
    </row>
    <row r="339" spans="1:9" x14ac:dyDescent="0.35">
      <c r="A339" s="6">
        <v>2024</v>
      </c>
      <c r="B339" s="7" t="s">
        <v>114</v>
      </c>
      <c r="C339" s="7" t="s">
        <v>17</v>
      </c>
      <c r="D339" s="7" t="s">
        <v>11</v>
      </c>
      <c r="E339" s="7" t="s">
        <v>12</v>
      </c>
      <c r="F339" s="8">
        <v>308210</v>
      </c>
      <c r="G339" s="9">
        <v>23</v>
      </c>
      <c r="H339" s="10" t="s">
        <v>362</v>
      </c>
      <c r="I339" s="5" t="str">
        <f>CHOOSE(MATCH(B339,{"Январь","Февраль","Март","Апрель","Май","Июнь","Июль","Август","Сентябрь","Октябрь","Ноябрь","Декабрь"},0),
"Jan","Feb","Mar","Apr","May","Jun","Jul","Aug","Sep","Oct","Nov","Dec")</f>
        <v>Oct</v>
      </c>
    </row>
    <row r="340" spans="1:9" x14ac:dyDescent="0.35">
      <c r="A340" s="6">
        <v>2024</v>
      </c>
      <c r="B340" s="7" t="s">
        <v>114</v>
      </c>
      <c r="C340" s="7" t="s">
        <v>2</v>
      </c>
      <c r="D340" s="7" t="s">
        <v>18</v>
      </c>
      <c r="E340" s="7" t="s">
        <v>4</v>
      </c>
      <c r="F340" s="8">
        <v>398530</v>
      </c>
      <c r="G340" s="9">
        <v>22</v>
      </c>
      <c r="H340" s="10" t="s">
        <v>363</v>
      </c>
      <c r="I340" s="5" t="str">
        <f>CHOOSE(MATCH(B340,{"Январь","Февраль","Март","Апрель","Май","Июнь","Июль","Август","Сентябрь","Октябрь","Ноябрь","Декабрь"},0),
"Jan","Feb","Mar","Apr","May","Jun","Jul","Aug","Sep","Oct","Nov","Dec")</f>
        <v>Oct</v>
      </c>
    </row>
    <row r="341" spans="1:9" x14ac:dyDescent="0.35">
      <c r="A341" s="6">
        <v>2024</v>
      </c>
      <c r="B341" s="7" t="s">
        <v>114</v>
      </c>
      <c r="C341" s="7" t="s">
        <v>6</v>
      </c>
      <c r="D341" s="7" t="s">
        <v>7</v>
      </c>
      <c r="E341" s="7" t="s">
        <v>15</v>
      </c>
      <c r="F341" s="8">
        <v>271070</v>
      </c>
      <c r="G341" s="9">
        <v>20</v>
      </c>
      <c r="H341" s="10" t="s">
        <v>364</v>
      </c>
      <c r="I341" s="5" t="str">
        <f>CHOOSE(MATCH(B341,{"Январь","Февраль","Март","Апрель","Май","Июнь","Июль","Август","Сентябрь","Октябрь","Ноябрь","Декабрь"},0),
"Jan","Feb","Mar","Apr","May","Jun","Jul","Aug","Sep","Oct","Nov","Dec")</f>
        <v>Oct</v>
      </c>
    </row>
    <row r="342" spans="1:9" x14ac:dyDescent="0.35">
      <c r="A342" s="6">
        <v>2024</v>
      </c>
      <c r="B342" s="7" t="s">
        <v>114</v>
      </c>
      <c r="C342" s="7" t="s">
        <v>10</v>
      </c>
      <c r="D342" s="7" t="s">
        <v>3</v>
      </c>
      <c r="E342" s="7" t="s">
        <v>4</v>
      </c>
      <c r="F342" s="8">
        <v>566560</v>
      </c>
      <c r="G342" s="9">
        <v>25</v>
      </c>
      <c r="H342" s="10" t="s">
        <v>365</v>
      </c>
      <c r="I342" s="5" t="str">
        <f>CHOOSE(MATCH(B342,{"Январь","Февраль","Март","Апрель","Май","Июнь","Июль","Август","Сентябрь","Октябрь","Ноябрь","Декабрь"},0),
"Jan","Feb","Mar","Apr","May","Jun","Jul","Aug","Sep","Oct","Nov","Dec")</f>
        <v>Oct</v>
      </c>
    </row>
    <row r="343" spans="1:9" x14ac:dyDescent="0.35">
      <c r="A343" s="6">
        <v>2024</v>
      </c>
      <c r="B343" s="7" t="s">
        <v>114</v>
      </c>
      <c r="C343" s="7" t="s">
        <v>2</v>
      </c>
      <c r="D343" s="7" t="s">
        <v>18</v>
      </c>
      <c r="E343" s="7" t="s">
        <v>4</v>
      </c>
      <c r="F343" s="8">
        <v>695400</v>
      </c>
      <c r="G343" s="9">
        <v>37</v>
      </c>
      <c r="H343" s="10" t="s">
        <v>366</v>
      </c>
      <c r="I343" s="5" t="str">
        <f>CHOOSE(MATCH(B343,{"Январь","Февраль","Март","Апрель","Май","Июнь","Июль","Август","Сентябрь","Октябрь","Ноябрь","Декабрь"},0),
"Jan","Feb","Mar","Apr","May","Jun","Jul","Aug","Sep","Oct","Nov","Dec")</f>
        <v>Oct</v>
      </c>
    </row>
    <row r="344" spans="1:9" x14ac:dyDescent="0.35">
      <c r="A344" s="6">
        <v>2024</v>
      </c>
      <c r="B344" s="7" t="s">
        <v>125</v>
      </c>
      <c r="C344" s="7" t="s">
        <v>2</v>
      </c>
      <c r="D344" s="7" t="s">
        <v>14</v>
      </c>
      <c r="E344" s="7" t="s">
        <v>12</v>
      </c>
      <c r="F344" s="8">
        <v>251620</v>
      </c>
      <c r="G344" s="9">
        <v>19</v>
      </c>
      <c r="H344" s="10" t="s">
        <v>367</v>
      </c>
      <c r="I344" s="5" t="str">
        <f>CHOOSE(MATCH(B344,{"Январь","Февраль","Март","Апрель","Май","Июнь","Июль","Август","Сентябрь","Октябрь","Ноябрь","Декабрь"},0),
"Jan","Feb","Mar","Apr","May","Jun","Jul","Aug","Sep","Oct","Nov","Dec")</f>
        <v>Nov</v>
      </c>
    </row>
    <row r="345" spans="1:9" x14ac:dyDescent="0.35">
      <c r="A345" s="6">
        <v>2024</v>
      </c>
      <c r="B345" s="7" t="s">
        <v>125</v>
      </c>
      <c r="C345" s="7" t="s">
        <v>10</v>
      </c>
      <c r="D345" s="7" t="s">
        <v>3</v>
      </c>
      <c r="E345" s="7" t="s">
        <v>4</v>
      </c>
      <c r="F345" s="8">
        <v>315910</v>
      </c>
      <c r="G345" s="9">
        <v>14</v>
      </c>
      <c r="H345" s="10" t="s">
        <v>368</v>
      </c>
      <c r="I345" s="5" t="str">
        <f>CHOOSE(MATCH(B345,{"Январь","Февраль","Март","Апрель","Май","Июнь","Июль","Август","Сентябрь","Октябрь","Ноябрь","Декабрь"},0),
"Jan","Feb","Mar","Apr","May","Jun","Jul","Aug","Sep","Oct","Nov","Dec")</f>
        <v>Nov</v>
      </c>
    </row>
    <row r="346" spans="1:9" x14ac:dyDescent="0.35">
      <c r="A346" s="6">
        <v>2024</v>
      </c>
      <c r="B346" s="7" t="s">
        <v>125</v>
      </c>
      <c r="C346" s="7" t="s">
        <v>6</v>
      </c>
      <c r="D346" s="7" t="s">
        <v>7</v>
      </c>
      <c r="E346" s="7" t="s">
        <v>15</v>
      </c>
      <c r="F346" s="8">
        <v>464570</v>
      </c>
      <c r="G346" s="9">
        <v>35</v>
      </c>
      <c r="H346" s="10" t="s">
        <v>369</v>
      </c>
      <c r="I346" s="5" t="str">
        <f>CHOOSE(MATCH(B346,{"Январь","Февраль","Март","Апрель","Май","Июнь","Июль","Август","Сентябрь","Октябрь","Ноябрь","Декабрь"},0),
"Jan","Feb","Mar","Apr","May","Jun","Jul","Aug","Sep","Oct","Nov","Dec")</f>
        <v>Nov</v>
      </c>
    </row>
    <row r="347" spans="1:9" x14ac:dyDescent="0.35">
      <c r="A347" s="6">
        <v>2024</v>
      </c>
      <c r="B347" s="7" t="s">
        <v>125</v>
      </c>
      <c r="C347" s="7" t="s">
        <v>17</v>
      </c>
      <c r="D347" s="7" t="s">
        <v>18</v>
      </c>
      <c r="E347" s="7" t="s">
        <v>15</v>
      </c>
      <c r="F347" s="8">
        <v>462410</v>
      </c>
      <c r="G347" s="9">
        <v>31</v>
      </c>
      <c r="H347" s="10" t="s">
        <v>370</v>
      </c>
      <c r="I347" s="5" t="str">
        <f>CHOOSE(MATCH(B347,{"Январь","Февраль","Март","Апрель","Май","Июнь","Июль","Август","Сентябрь","Октябрь","Ноябрь","Декабрь"},0),
"Jan","Feb","Mar","Apr","May","Jun","Jul","Aug","Sep","Oct","Nov","Dec")</f>
        <v>Nov</v>
      </c>
    </row>
    <row r="348" spans="1:9" x14ac:dyDescent="0.35">
      <c r="A348" s="6">
        <v>2024</v>
      </c>
      <c r="B348" s="7" t="s">
        <v>125</v>
      </c>
      <c r="C348" s="7" t="s">
        <v>2</v>
      </c>
      <c r="D348" s="7" t="s">
        <v>14</v>
      </c>
      <c r="E348" s="7" t="s">
        <v>15</v>
      </c>
      <c r="F348" s="8">
        <v>390480</v>
      </c>
      <c r="G348" s="9">
        <v>24</v>
      </c>
      <c r="H348" s="10" t="s">
        <v>371</v>
      </c>
      <c r="I348" s="5" t="str">
        <f>CHOOSE(MATCH(B348,{"Январь","Февраль","Март","Апрель","Май","Июнь","Июль","Август","Сентябрь","Октябрь","Ноябрь","Декабрь"},0),
"Jan","Feb","Mar","Apr","May","Jun","Jul","Aug","Sep","Oct","Nov","Dec")</f>
        <v>Nov</v>
      </c>
    </row>
    <row r="349" spans="1:9" x14ac:dyDescent="0.35">
      <c r="A349" s="6">
        <v>2024</v>
      </c>
      <c r="B349" s="7" t="s">
        <v>125</v>
      </c>
      <c r="C349" s="7" t="s">
        <v>2</v>
      </c>
      <c r="D349" s="7" t="s">
        <v>18</v>
      </c>
      <c r="E349" s="7" t="s">
        <v>8</v>
      </c>
      <c r="F349" s="8">
        <v>621150</v>
      </c>
      <c r="G349" s="9">
        <v>29</v>
      </c>
      <c r="H349" s="10" t="s">
        <v>372</v>
      </c>
      <c r="I349" s="5" t="str">
        <f>CHOOSE(MATCH(B349,{"Январь","Февраль","Март","Апрель","Май","Июнь","Июль","Август","Сентябрь","Октябрь","Ноябрь","Декабрь"},0),
"Jan","Feb","Mar","Apr","May","Jun","Jul","Aug","Sep","Oct","Nov","Dec")</f>
        <v>Nov</v>
      </c>
    </row>
    <row r="350" spans="1:9" x14ac:dyDescent="0.35">
      <c r="A350" s="6">
        <v>2024</v>
      </c>
      <c r="B350" s="7" t="s">
        <v>125</v>
      </c>
      <c r="C350" s="7" t="s">
        <v>22</v>
      </c>
      <c r="D350" s="7" t="s">
        <v>18</v>
      </c>
      <c r="E350" s="7" t="s">
        <v>8</v>
      </c>
      <c r="F350" s="8">
        <v>653010</v>
      </c>
      <c r="G350" s="9">
        <v>38</v>
      </c>
      <c r="H350" s="10" t="s">
        <v>373</v>
      </c>
      <c r="I350" s="5" t="str">
        <f>CHOOSE(MATCH(B350,{"Январь","Февраль","Март","Апрель","Май","Июнь","Июль","Август","Сентябрь","Октябрь","Ноябрь","Декабрь"},0),
"Jan","Feb","Mar","Apr","May","Jun","Jul","Aug","Sep","Oct","Nov","Dec")</f>
        <v>Nov</v>
      </c>
    </row>
    <row r="351" spans="1:9" x14ac:dyDescent="0.35">
      <c r="A351" s="6">
        <v>2024</v>
      </c>
      <c r="B351" s="7" t="s">
        <v>125</v>
      </c>
      <c r="C351" s="7" t="s">
        <v>10</v>
      </c>
      <c r="D351" s="7" t="s">
        <v>18</v>
      </c>
      <c r="E351" s="7" t="s">
        <v>4</v>
      </c>
      <c r="F351" s="8">
        <v>872690</v>
      </c>
      <c r="G351" s="9">
        <v>40</v>
      </c>
      <c r="H351" s="10" t="s">
        <v>374</v>
      </c>
      <c r="I351" s="5" t="str">
        <f>CHOOSE(MATCH(B351,{"Январь","Февраль","Март","Апрель","Май","Июнь","Июль","Август","Сентябрь","Октябрь","Ноябрь","Декабрь"},0),
"Jan","Feb","Mar","Apr","May","Jun","Jul","Aug","Sep","Oct","Nov","Dec")</f>
        <v>Nov</v>
      </c>
    </row>
    <row r="352" spans="1:9" x14ac:dyDescent="0.35">
      <c r="A352" s="6">
        <v>2024</v>
      </c>
      <c r="B352" s="7" t="s">
        <v>125</v>
      </c>
      <c r="C352" s="7" t="s">
        <v>2</v>
      </c>
      <c r="D352" s="7" t="s">
        <v>14</v>
      </c>
      <c r="E352" s="7" t="s">
        <v>8</v>
      </c>
      <c r="F352" s="8">
        <v>361480</v>
      </c>
      <c r="G352" s="9">
        <v>17</v>
      </c>
      <c r="H352" s="10" t="s">
        <v>375</v>
      </c>
      <c r="I352" s="5" t="str">
        <f>CHOOSE(MATCH(B352,{"Январь","Февраль","Март","Апрель","Май","Июнь","Июль","Август","Сентябрь","Октябрь","Ноябрь","Декабрь"},0),
"Jan","Feb","Mar","Apr","May","Jun","Jul","Aug","Sep","Oct","Nov","Dec")</f>
        <v>Nov</v>
      </c>
    </row>
    <row r="353" spans="1:9" x14ac:dyDescent="0.35">
      <c r="A353" s="6">
        <v>2024</v>
      </c>
      <c r="B353" s="7" t="s">
        <v>125</v>
      </c>
      <c r="C353" s="7" t="s">
        <v>10</v>
      </c>
      <c r="D353" s="7" t="s">
        <v>3</v>
      </c>
      <c r="E353" s="7" t="s">
        <v>8</v>
      </c>
      <c r="F353" s="8">
        <v>908460</v>
      </c>
      <c r="G353" s="9">
        <v>35</v>
      </c>
      <c r="H353" s="10" t="s">
        <v>376</v>
      </c>
      <c r="I353" s="5" t="str">
        <f>CHOOSE(MATCH(B353,{"Январь","Февраль","Март","Апрель","Май","Июнь","Июль","Август","Сентябрь","Октябрь","Ноябрь","Декабрь"},0),
"Jan","Feb","Mar","Apr","May","Jun","Jul","Aug","Sep","Oct","Nov","Dec")</f>
        <v>Nov</v>
      </c>
    </row>
    <row r="354" spans="1:9" x14ac:dyDescent="0.35">
      <c r="A354" s="6">
        <v>2024</v>
      </c>
      <c r="B354" s="7" t="s">
        <v>136</v>
      </c>
      <c r="C354" s="7" t="s">
        <v>6</v>
      </c>
      <c r="D354" s="7" t="s">
        <v>14</v>
      </c>
      <c r="E354" s="7" t="s">
        <v>12</v>
      </c>
      <c r="F354" s="8">
        <v>165860</v>
      </c>
      <c r="G354" s="9">
        <v>13</v>
      </c>
      <c r="H354" s="10" t="s">
        <v>377</v>
      </c>
      <c r="I354" s="5" t="str">
        <f>CHOOSE(MATCH(B354,{"Январь","Февраль","Март","Апрель","Май","Июнь","Июль","Август","Сентябрь","Октябрь","Ноябрь","Декабрь"},0),
"Jan","Feb","Mar","Apr","May","Jun","Jul","Aug","Sep","Oct","Nov","Dec")</f>
        <v>Dec</v>
      </c>
    </row>
    <row r="355" spans="1:9" x14ac:dyDescent="0.35">
      <c r="A355" s="6">
        <v>2024</v>
      </c>
      <c r="B355" s="7" t="s">
        <v>136</v>
      </c>
      <c r="C355" s="7" t="s">
        <v>10</v>
      </c>
      <c r="D355" s="7" t="s">
        <v>3</v>
      </c>
      <c r="E355" s="7" t="s">
        <v>4</v>
      </c>
      <c r="F355" s="8">
        <v>525620</v>
      </c>
      <c r="G355" s="9">
        <v>23</v>
      </c>
      <c r="H355" s="10" t="s">
        <v>378</v>
      </c>
      <c r="I355" s="5" t="str">
        <f>CHOOSE(MATCH(B355,{"Январь","Февраль","Март","Апрель","Май","Июнь","Июль","Август","Сентябрь","Октябрь","Ноябрь","Декабрь"},0),
"Jan","Feb","Mar","Apr","May","Jun","Jul","Aug","Sep","Oct","Nov","Dec")</f>
        <v>Dec</v>
      </c>
    </row>
    <row r="356" spans="1:9" x14ac:dyDescent="0.35">
      <c r="A356" s="6">
        <v>2024</v>
      </c>
      <c r="B356" s="7" t="s">
        <v>136</v>
      </c>
      <c r="C356" s="7" t="s">
        <v>10</v>
      </c>
      <c r="D356" s="7" t="s">
        <v>11</v>
      </c>
      <c r="E356" s="7" t="s">
        <v>8</v>
      </c>
      <c r="F356" s="8">
        <v>414080</v>
      </c>
      <c r="G356" s="9">
        <v>16</v>
      </c>
      <c r="H356" s="10" t="s">
        <v>379</v>
      </c>
      <c r="I356" s="5" t="str">
        <f>CHOOSE(MATCH(B356,{"Январь","Февраль","Март","Апрель","Май","Июнь","Июль","Август","Сентябрь","Октябрь","Ноябрь","Декабрь"},0),
"Jan","Feb","Mar","Apr","May","Jun","Jul","Aug","Sep","Oct","Nov","Dec")</f>
        <v>Dec</v>
      </c>
    </row>
    <row r="357" spans="1:9" x14ac:dyDescent="0.35">
      <c r="A357" s="6">
        <v>2024</v>
      </c>
      <c r="B357" s="7" t="s">
        <v>136</v>
      </c>
      <c r="C357" s="7" t="s">
        <v>2</v>
      </c>
      <c r="D357" s="7" t="s">
        <v>11</v>
      </c>
      <c r="E357" s="7" t="s">
        <v>15</v>
      </c>
      <c r="F357" s="8">
        <v>662060</v>
      </c>
      <c r="G357" s="9">
        <v>40</v>
      </c>
      <c r="H357" s="10" t="s">
        <v>380</v>
      </c>
      <c r="I357" s="5" t="str">
        <f>CHOOSE(MATCH(B357,{"Январь","Февраль","Март","Апрель","Май","Июнь","Июль","Август","Сентябрь","Октябрь","Ноябрь","Декабрь"},0),
"Jan","Feb","Mar","Apr","May","Jun","Jul","Aug","Sep","Oct","Nov","Dec")</f>
        <v>Dec</v>
      </c>
    </row>
    <row r="358" spans="1:9" x14ac:dyDescent="0.35">
      <c r="A358" s="6">
        <v>2024</v>
      </c>
      <c r="B358" s="7" t="s">
        <v>136</v>
      </c>
      <c r="C358" s="7" t="s">
        <v>17</v>
      </c>
      <c r="D358" s="7" t="s">
        <v>11</v>
      </c>
      <c r="E358" s="7" t="s">
        <v>4</v>
      </c>
      <c r="F358" s="8">
        <v>570540</v>
      </c>
      <c r="G358" s="9">
        <v>32</v>
      </c>
      <c r="H358" s="10" t="s">
        <v>381</v>
      </c>
      <c r="I358" s="5" t="str">
        <f>CHOOSE(MATCH(B358,{"Январь","Февраль","Март","Апрель","Май","Июнь","Июль","Август","Сентябрь","Октябрь","Ноябрь","Декабрь"},0),
"Jan","Feb","Mar","Apr","May","Jun","Jul","Aug","Sep","Oct","Nov","Dec")</f>
        <v>Dec</v>
      </c>
    </row>
    <row r="359" spans="1:9" x14ac:dyDescent="0.35">
      <c r="A359" s="6">
        <v>2024</v>
      </c>
      <c r="B359" s="7" t="s">
        <v>136</v>
      </c>
      <c r="C359" s="7" t="s">
        <v>10</v>
      </c>
      <c r="D359" s="7" t="s">
        <v>18</v>
      </c>
      <c r="E359" s="7" t="s">
        <v>4</v>
      </c>
      <c r="F359" s="8">
        <v>710790</v>
      </c>
      <c r="G359" s="9">
        <v>33</v>
      </c>
      <c r="H359" s="10" t="s">
        <v>382</v>
      </c>
      <c r="I359" s="5" t="str">
        <f>CHOOSE(MATCH(B359,{"Январь","Февраль","Март","Апрель","Май","Июнь","Июль","Август","Сентябрь","Октябрь","Ноябрь","Декабрь"},0),
"Jan","Feb","Mar","Apr","May","Jun","Jul","Aug","Sep","Oct","Nov","Dec")</f>
        <v>Dec</v>
      </c>
    </row>
    <row r="360" spans="1:9" x14ac:dyDescent="0.35">
      <c r="A360" s="6">
        <v>2024</v>
      </c>
      <c r="B360" s="7" t="s">
        <v>136</v>
      </c>
      <c r="C360" s="7" t="s">
        <v>10</v>
      </c>
      <c r="D360" s="7" t="s">
        <v>7</v>
      </c>
      <c r="E360" s="7" t="s">
        <v>12</v>
      </c>
      <c r="F360" s="8">
        <v>632410</v>
      </c>
      <c r="G360" s="9">
        <v>40</v>
      </c>
      <c r="H360" s="10" t="s">
        <v>383</v>
      </c>
      <c r="I360" s="5" t="str">
        <f>CHOOSE(MATCH(B360,{"Январь","Февраль","Март","Апрель","Май","Июнь","Июль","Август","Сентябрь","Октябрь","Ноябрь","Декабрь"},0),
"Jan","Feb","Mar","Apr","May","Jun","Jul","Aug","Sep","Oct","Nov","Dec")</f>
        <v>Dec</v>
      </c>
    </row>
    <row r="361" spans="1:9" x14ac:dyDescent="0.35">
      <c r="A361" s="6">
        <v>2024</v>
      </c>
      <c r="B361" s="7" t="s">
        <v>136</v>
      </c>
      <c r="C361" s="7" t="s">
        <v>6</v>
      </c>
      <c r="D361" s="7" t="s">
        <v>7</v>
      </c>
      <c r="E361" s="7" t="s">
        <v>8</v>
      </c>
      <c r="F361" s="8">
        <v>360510</v>
      </c>
      <c r="G361" s="9">
        <v>19</v>
      </c>
      <c r="H361" s="10" t="s">
        <v>384</v>
      </c>
      <c r="I361" s="5" t="str">
        <f>CHOOSE(MATCH(B361,{"Январь","Февраль","Март","Апрель","Май","Июнь","Июль","Август","Сентябрь","Октябрь","Ноябрь","Декабрь"},0),
"Jan","Feb","Mar","Apr","May","Jun","Jul","Aug","Sep","Oct","Nov","Dec")</f>
        <v>Dec</v>
      </c>
    </row>
    <row r="362" spans="1:9" x14ac:dyDescent="0.35">
      <c r="A362" s="6">
        <v>2024</v>
      </c>
      <c r="B362" s="7" t="s">
        <v>136</v>
      </c>
      <c r="C362" s="7" t="s">
        <v>10</v>
      </c>
      <c r="D362" s="7" t="s">
        <v>18</v>
      </c>
      <c r="E362" s="7" t="s">
        <v>4</v>
      </c>
      <c r="F362" s="8">
        <v>738790</v>
      </c>
      <c r="G362" s="9">
        <v>34</v>
      </c>
      <c r="H362" s="10" t="s">
        <v>385</v>
      </c>
      <c r="I362" s="5" t="str">
        <f>CHOOSE(MATCH(B362,{"Январь","Февраль","Март","Апрель","Май","Июнь","Июль","Август","Сентябрь","Октябрь","Ноябрь","Декабрь"},0),
"Jan","Feb","Mar","Apr","May","Jun","Jul","Aug","Sep","Oct","Nov","Dec")</f>
        <v>Dec</v>
      </c>
    </row>
    <row r="363" spans="1:9" x14ac:dyDescent="0.35">
      <c r="A363" s="6">
        <v>2024</v>
      </c>
      <c r="B363" s="7" t="s">
        <v>136</v>
      </c>
      <c r="C363" s="7" t="s">
        <v>10</v>
      </c>
      <c r="D363" s="7" t="s">
        <v>11</v>
      </c>
      <c r="E363" s="7" t="s">
        <v>15</v>
      </c>
      <c r="F363" s="8">
        <v>485730</v>
      </c>
      <c r="G363" s="9">
        <v>26</v>
      </c>
      <c r="H363" s="10" t="s">
        <v>386</v>
      </c>
      <c r="I363" s="5" t="str">
        <f>CHOOSE(MATCH(B363,{"Январь","Февраль","Март","Апрель","Май","Июнь","Июль","Август","Сентябрь","Октябрь","Ноябрь","Декабрь"},0),
"Jan","Feb","Mar","Apr","May","Jun","Jul","Aug","Sep","Oct","Nov","Dec")</f>
        <v>Dec</v>
      </c>
    </row>
  </sheetData>
  <mergeCells count="3">
    <mergeCell ref="A1:H1"/>
    <mergeCell ref="J45:S56"/>
    <mergeCell ref="J68:S75"/>
  </mergeCells>
  <pageMargins left="0.7" right="0.7" top="0.75" bottom="0.75" header="0.3" footer="0.3"/>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Потоки обучения</vt:lpstr>
      <vt:lpstr>Потоки обучения 1</vt:lpstr>
      <vt:lpstr>Потоки обучения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Решетникова Марина Сергеевна</dc:creator>
  <cp:lastModifiedBy>Erland Adestio Sadana</cp:lastModifiedBy>
  <dcterms:created xsi:type="dcterms:W3CDTF">2026-03-20T17:28:28Z</dcterms:created>
  <dcterms:modified xsi:type="dcterms:W3CDTF">2026-04-18T19:20:22Z</dcterms:modified>
</cp:coreProperties>
</file>