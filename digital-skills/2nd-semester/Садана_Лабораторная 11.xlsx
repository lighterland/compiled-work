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19309C89-4182-420A-A06E-F7A4F42D3FC1}" xr6:coauthVersionLast="47" xr6:coauthVersionMax="47" xr10:uidLastSave="{00000000-0000-0000-0000-000000000000}"/>
  <bookViews>
    <workbookView xWindow="-110" yWindow="-110" windowWidth="29020" windowHeight="17500" xr2:uid="{4F0AE2C0-3C18-3F4A-99A3-466410EDF8DD}"/>
  </bookViews>
  <sheets>
    <sheet name="Текстовые функции" sheetId="1" r:id="rId1"/>
    <sheet name="Дат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2" l="1"/>
  <c r="C25" i="2" s="1"/>
  <c r="F19" i="2"/>
  <c r="F18" i="2"/>
  <c r="F17" i="2"/>
  <c r="B19" i="2"/>
  <c r="B18" i="2"/>
  <c r="B17" i="2"/>
  <c r="B15" i="2"/>
  <c r="B14" i="2"/>
  <c r="J4" i="2"/>
  <c r="J5" i="2"/>
  <c r="J6" i="2"/>
  <c r="J7" i="2"/>
  <c r="J8" i="2"/>
  <c r="J9" i="2"/>
  <c r="J10" i="2"/>
  <c r="J3" i="2"/>
  <c r="I4" i="2"/>
  <c r="I5" i="2"/>
  <c r="I6" i="2"/>
  <c r="I7" i="2"/>
  <c r="I8" i="2"/>
  <c r="I9" i="2"/>
  <c r="I10" i="2"/>
  <c r="I3" i="2"/>
  <c r="H4" i="2"/>
  <c r="H5" i="2"/>
  <c r="H6" i="2"/>
  <c r="H7" i="2"/>
  <c r="H8" i="2"/>
  <c r="H9" i="2"/>
  <c r="H10" i="2"/>
  <c r="H3" i="2"/>
  <c r="D10" i="2"/>
  <c r="D9" i="2"/>
  <c r="D8" i="2"/>
  <c r="D7" i="2"/>
  <c r="D6" i="2"/>
  <c r="D5" i="2"/>
  <c r="D4" i="2"/>
  <c r="D3" i="2"/>
  <c r="C54" i="1"/>
  <c r="C55" i="1"/>
  <c r="C56" i="1"/>
  <c r="C57" i="1"/>
  <c r="C58" i="1"/>
  <c r="C59" i="1"/>
  <c r="C60" i="1"/>
  <c r="C53" i="1"/>
  <c r="B54" i="1"/>
  <c r="B55" i="1"/>
  <c r="B56" i="1"/>
  <c r="B57" i="1"/>
  <c r="B58" i="1"/>
  <c r="B59" i="1"/>
  <c r="B60" i="1"/>
  <c r="B53" i="1"/>
  <c r="D43" i="1"/>
  <c r="D44" i="1"/>
  <c r="D45" i="1"/>
  <c r="D46" i="1"/>
  <c r="D47" i="1"/>
  <c r="D48" i="1"/>
  <c r="D42" i="1"/>
  <c r="C43" i="1"/>
  <c r="C44" i="1"/>
  <c r="C45" i="1"/>
  <c r="C46" i="1"/>
  <c r="C47" i="1"/>
  <c r="C48" i="1"/>
  <c r="C42" i="1"/>
  <c r="D30" i="1"/>
  <c r="D31" i="1"/>
  <c r="D32" i="1"/>
  <c r="D33" i="1"/>
  <c r="D34" i="1"/>
  <c r="D35" i="1"/>
  <c r="D36" i="1"/>
  <c r="D29" i="1"/>
  <c r="C30" i="1"/>
  <c r="C31" i="1"/>
  <c r="C32" i="1"/>
  <c r="C33" i="1"/>
  <c r="C34" i="1"/>
  <c r="C35" i="1"/>
  <c r="C36" i="1"/>
  <c r="C29" i="1"/>
  <c r="B30" i="1"/>
  <c r="B31" i="1"/>
  <c r="B32" i="1"/>
  <c r="B33" i="1"/>
  <c r="B34" i="1"/>
  <c r="B35" i="1"/>
  <c r="B36" i="1"/>
  <c r="B29" i="1"/>
  <c r="B19" i="1"/>
  <c r="B20" i="1"/>
  <c r="B21" i="1"/>
  <c r="B22" i="1"/>
  <c r="B23" i="1"/>
  <c r="B18" i="1"/>
  <c r="E6" i="1"/>
  <c r="E7" i="1"/>
  <c r="E8" i="1"/>
  <c r="E9" i="1"/>
  <c r="E10" i="1"/>
  <c r="E11" i="1"/>
  <c r="E12" i="1"/>
  <c r="E5" i="1"/>
  <c r="D6" i="1"/>
  <c r="D7" i="1"/>
  <c r="D8" i="1"/>
  <c r="D9" i="1"/>
  <c r="D10" i="1"/>
  <c r="D11" i="1"/>
  <c r="D12" i="1"/>
  <c r="D5" i="1"/>
  <c r="C6" i="1"/>
  <c r="C7" i="1"/>
  <c r="C8" i="1"/>
  <c r="C9" i="1"/>
  <c r="C10" i="1"/>
  <c r="C11" i="1"/>
  <c r="C12" i="1"/>
  <c r="C5" i="1"/>
  <c r="B6" i="1"/>
  <c r="B7" i="1"/>
  <c r="B8" i="1"/>
  <c r="B9" i="1"/>
  <c r="B10" i="1"/>
  <c r="B11" i="1"/>
  <c r="B12" i="1"/>
  <c r="B5" i="1"/>
  <c r="D25" i="2" l="1"/>
</calcChain>
</file>

<file path=xl/sharedStrings.xml><?xml version="1.0" encoding="utf-8"?>
<sst xmlns="http://schemas.openxmlformats.org/spreadsheetml/2006/main" count="100" uniqueCount="97">
  <si>
    <t>Задание 1. Подготовка списка участников практикума</t>
  </si>
  <si>
    <t>Преобразуйте исходные записи с фамилией, именем и отчеством. Используйте функции для перевода в верхний регистр, нижний регистр, формат "с прописных" и подсчета длины строки.</t>
  </si>
  <si>
    <t>Исходная запись</t>
  </si>
  <si>
    <t>ВЕРХНИЙ РЕГИСТР</t>
  </si>
  <si>
    <t>нижний регистр</t>
  </si>
  <si>
    <t>С прописных</t>
  </si>
  <si>
    <t>Длина строки</t>
  </si>
  <si>
    <t>маркова ксения олеговна</t>
  </si>
  <si>
    <t>ВОРОНОВ Дмитрий Андреевич</t>
  </si>
  <si>
    <t>сЕРГЕЕВА алина Игоревна</t>
  </si>
  <si>
    <t>железнов ПАВЕЛ мИХАЙЛОВИЧ</t>
  </si>
  <si>
    <t>романова   екатерина   олеговна</t>
  </si>
  <si>
    <t>КИРИЛЛОВА Марина АНТОНОВНА</t>
  </si>
  <si>
    <t>даниЛОВ артем витальевич</t>
  </si>
  <si>
    <t>КОСТИНА елена сергеевна</t>
  </si>
  <si>
    <t>Задание 2. Очистка от лишних пробелов</t>
  </si>
  <si>
    <t>Удалите лишние пробелы в строках. После обработки в записи должны остаться только одиночные пробелы между словами.</t>
  </si>
  <si>
    <t>Исходная строка</t>
  </si>
  <si>
    <t>После очистки</t>
  </si>
  <si>
    <t>секция  А1   стеллаж  4   ячейка 12</t>
  </si>
  <si>
    <t>архив   корпус 2   шкаф   7</t>
  </si>
  <si>
    <t>пост    приема   зона   3</t>
  </si>
  <si>
    <t>склад    расходных  материалов   ряд  8</t>
  </si>
  <si>
    <t>модуль   техники   полка   15</t>
  </si>
  <si>
    <t>резервный   отсек   B   ячейка   02</t>
  </si>
  <si>
    <t>Задание 3.  Код пропуска сотрудника</t>
  </si>
  <si>
    <t>Полный код</t>
  </si>
  <si>
    <t>Площадка</t>
  </si>
  <si>
    <t>Номер смены</t>
  </si>
  <si>
    <t>MSK2407AM</t>
  </si>
  <si>
    <t>EKB3112PM</t>
  </si>
  <si>
    <t>SPB1985EV</t>
  </si>
  <si>
    <t>NNV4501AM</t>
  </si>
  <si>
    <t>KZN7742PM</t>
  </si>
  <si>
    <t>KRD5208EV</t>
  </si>
  <si>
    <t>TMS6604AM</t>
  </si>
  <si>
    <t>SMR7311PM</t>
  </si>
  <si>
    <t>Подсказка</t>
  </si>
  <si>
    <t>Структура каждого кода:
• 3 буквы - площадка
• 4 цифры - номер смены
• 2 буквы - тип доступа</t>
  </si>
  <si>
    <t>Из полного кода извлеките три части: код площадки, номер смены и тип доступа. Используйте функции для выделения символов слева, из середины и справа.</t>
  </si>
  <si>
    <t>Тип доступа</t>
  </si>
  <si>
    <t>Задание 4.  Формирование списка сотрудников</t>
  </si>
  <si>
    <t>Соберите подпись вида "Фамилия Имя" двумя способами: с помощью текстовой функции сцепления и с помощью оператора объединения строк.</t>
  </si>
  <si>
    <t>Фамилия</t>
  </si>
  <si>
    <t>Имя</t>
  </si>
  <si>
    <t>Маркова</t>
  </si>
  <si>
    <t>Ксения</t>
  </si>
  <si>
    <t>Воронов</t>
  </si>
  <si>
    <t>Дмитрий</t>
  </si>
  <si>
    <t>Сергеева</t>
  </si>
  <si>
    <t>Алина</t>
  </si>
  <si>
    <t>Железнов</t>
  </si>
  <si>
    <t>Павел</t>
  </si>
  <si>
    <t>Романова</t>
  </si>
  <si>
    <t>Екатерина</t>
  </si>
  <si>
    <t>Кириллова</t>
  </si>
  <si>
    <t>Марина</t>
  </si>
  <si>
    <t>Данилов</t>
  </si>
  <si>
    <t>Артем</t>
  </si>
  <si>
    <t>Сотрудник (функция)</t>
  </si>
  <si>
    <t>Сотрудник (&amp;)</t>
  </si>
  <si>
    <t>Задание 5.  Корректировка кодов заявок</t>
  </si>
  <si>
    <t>Измените коды: замените буквенный префикс SRV на SUP новый и выполните замену части строки по позиции. В втором столбце замените последнюю цифру номера на 0.</t>
  </si>
  <si>
    <t>Код заявки</t>
  </si>
  <si>
    <t>Новый префикс</t>
  </si>
  <si>
    <t>Последняя цифра -&gt; 0</t>
  </si>
  <si>
    <t>SRV-18452</t>
  </si>
  <si>
    <t>SRV-19367</t>
  </si>
  <si>
    <t>ITR-20481</t>
  </si>
  <si>
    <t>NET-33894</t>
  </si>
  <si>
    <t>SRV-44015</t>
  </si>
  <si>
    <t>ITR-51239</t>
  </si>
  <si>
    <t>NET-62047</t>
  </si>
  <si>
    <t>SRV-73126</t>
  </si>
  <si>
    <t>Задание 6.  Слева соберите полную дату из отдельных компонентов. Справа извлеките год, месяц и день из уже заданной даты.</t>
  </si>
  <si>
    <t>Год</t>
  </si>
  <si>
    <t>Месяц</t>
  </si>
  <si>
    <t>День</t>
  </si>
  <si>
    <t>Дата выезда</t>
  </si>
  <si>
    <t>Готовая дата</t>
  </si>
  <si>
    <t>Задание 7.  Заполните вычисляемые ячейки, используя функции текущей даты и времени. В нижней части выделите отдельные компоненты текущего момента.</t>
  </si>
  <si>
    <t>Текущая дата</t>
  </si>
  <si>
    <t>Текущая дата и время</t>
  </si>
  <si>
    <t>Текущий год</t>
  </si>
  <si>
    <t>Текущий час</t>
  </si>
  <si>
    <t>Текущий месяц</t>
  </si>
  <si>
    <t>Текущая минута</t>
  </si>
  <si>
    <t>Текущий день</t>
  </si>
  <si>
    <t>Текущая секунда</t>
  </si>
  <si>
    <t>Показатель</t>
  </si>
  <si>
    <t>Значение</t>
  </si>
  <si>
    <t>Месяцев осталось</t>
  </si>
  <si>
    <t>Лет осталось</t>
  </si>
  <si>
    <t>Сегодня</t>
  </si>
  <si>
    <t>Полный срок до даты</t>
  </si>
  <si>
    <t>* Дополнительное задание. Рассчитайте, сколько полных месяцев и полных лет остается до даты завершения проекта.</t>
  </si>
  <si>
    <t>Дата окончания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</si>
</sst>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F800]dddd\,\ mmmm\ dd\,\ yyyy"/>
    <numFmt numFmtId="169" formatCode="m/d/yy\ h:mm;@"/>
  </numFmts>
  <fonts count="11" x14ac:knownFonts="1">
    <font>
      <sz val="12"/>
      <color theme="1"/>
      <name val="Aptos Narrow"/>
      <family val="2"/>
      <charset val="204"/>
      <scheme val="minor"/>
    </font>
    <font>
      <b/>
      <sz val="12"/>
      <color rgb="FFFFFFFF"/>
      <name val="Calibri"/>
      <family val="2"/>
    </font>
    <font>
      <sz val="11"/>
      <color rgb="FF1F2937"/>
      <name val="Calibri"/>
      <family val="2"/>
    </font>
    <font>
      <sz val="12"/>
      <color rgb="FF1F2937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rgb="FF1F2937"/>
      <name val="Calibri"/>
      <family val="2"/>
    </font>
    <font>
      <b/>
      <sz val="11"/>
      <color rgb="FF333333"/>
      <name val="Calibri"/>
      <family val="2"/>
    </font>
    <font>
      <sz val="12"/>
      <color theme="1"/>
      <name val="Aptos Narrow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E548E"/>
      </patternFill>
    </fill>
    <fill>
      <patternFill patternType="solid">
        <fgColor rgb="FFE8F3F1"/>
      </patternFill>
    </fill>
    <fill>
      <patternFill patternType="solid">
        <fgColor rgb="FFF3F4F6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243447"/>
      </top>
      <bottom style="medium">
        <color rgb="FF243447"/>
      </bottom>
      <diagonal/>
    </border>
    <border>
      <left style="medium">
        <color rgb="FFC98C1A"/>
      </left>
      <right style="medium">
        <color rgb="FFC98C1A"/>
      </right>
      <top style="thin">
        <color rgb="FFCBD5E1"/>
      </top>
      <bottom style="thin">
        <color rgb="FFCBD5E1"/>
      </bottom>
      <diagonal/>
    </border>
    <border>
      <left style="medium">
        <color rgb="FFC98C1A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4" fillId="7" borderId="2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9" fillId="0" borderId="0" xfId="0" applyFont="1"/>
    <xf numFmtId="0" fontId="8" fillId="0" borderId="5" xfId="0" applyFont="1" applyBorder="1"/>
    <xf numFmtId="14" fontId="10" fillId="4" borderId="1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6" borderId="0" xfId="0" applyFill="1"/>
    <xf numFmtId="14" fontId="2" fillId="6" borderId="4" xfId="0" applyNumberFormat="1" applyFont="1" applyFill="1" applyBorder="1" applyAlignment="1">
      <alignment horizontal="center" vertical="center" wrapText="1"/>
    </xf>
    <xf numFmtId="14" fontId="2" fillId="6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top" wrapText="1"/>
    </xf>
    <xf numFmtId="14" fontId="2" fillId="6" borderId="3" xfId="0" applyNumberFormat="1" applyFont="1" applyFill="1" applyBorder="1" applyAlignment="1">
      <alignment horizontal="center" vertical="center" wrapText="1"/>
    </xf>
    <xf numFmtId="166" fontId="2" fillId="6" borderId="3" xfId="0" applyNumberFormat="1" applyFont="1" applyFill="1" applyBorder="1" applyAlignment="1">
      <alignment horizontal="center" vertical="center" wrapText="1"/>
    </xf>
    <xf numFmtId="169" fontId="2" fillId="6" borderId="4" xfId="0" applyNumberFormat="1" applyFont="1" applyFill="1" applyBorder="1" applyAlignment="1">
      <alignment horizontal="center" vertical="center" wrapText="1"/>
    </xf>
    <xf numFmtId="169" fontId="2" fillId="6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712B-4CA1-2347-BC73-8E5EE2222ECA}">
  <dimension ref="A1:L60"/>
  <sheetViews>
    <sheetView showGridLines="0" tabSelected="1" workbookViewId="0">
      <selection activeCell="C60" sqref="C60"/>
    </sheetView>
  </sheetViews>
  <sheetFormatPr defaultColWidth="10.83203125" defaultRowHeight="15.5" x14ac:dyDescent="0.35"/>
  <cols>
    <col min="1" max="1" width="31.6640625" style="4" customWidth="1"/>
    <col min="2" max="2" width="34.83203125" style="4" customWidth="1"/>
    <col min="3" max="3" width="26" style="4" customWidth="1"/>
    <col min="4" max="4" width="24.33203125" style="4" customWidth="1"/>
    <col min="5" max="5" width="20" style="4" customWidth="1"/>
    <col min="6" max="6" width="10.83203125" style="4"/>
    <col min="7" max="7" width="19" style="4" customWidth="1"/>
    <col min="8" max="16384" width="10.83203125" style="4"/>
  </cols>
  <sheetData>
    <row r="1" spans="1:12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6" customHeight="1" x14ac:dyDescent="0.3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6" thickBot="1" x14ac:dyDescent="0.4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16" thickBot="1" x14ac:dyDescent="0.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12" x14ac:dyDescent="0.35">
      <c r="A5" s="3" t="s">
        <v>7</v>
      </c>
      <c r="B5" s="2" t="str">
        <f>UPPER(A5)</f>
        <v>МАРКОВА КСЕНИЯ ОЛЕГОВНА</v>
      </c>
      <c r="C5" s="2" t="str">
        <f>LOWER(A5)</f>
        <v>маркова ксения олеговна</v>
      </c>
      <c r="D5" s="2" t="str">
        <f>PROPER(A5)</f>
        <v>Маркова Ксения Олеговна</v>
      </c>
      <c r="E5" s="2">
        <f>LEN(A5)</f>
        <v>23</v>
      </c>
    </row>
    <row r="6" spans="1:12" ht="29" x14ac:dyDescent="0.35">
      <c r="A6" s="3" t="s">
        <v>8</v>
      </c>
      <c r="B6" s="2" t="str">
        <f t="shared" ref="B6:B12" si="0">UPPER(A6)</f>
        <v>ВОРОНОВ ДМИТРИЙ АНДРЕЕВИЧ</v>
      </c>
      <c r="C6" s="2" t="str">
        <f t="shared" ref="C6:C12" si="1">LOWER(A6)</f>
        <v>воронов дмитрий андреевич</v>
      </c>
      <c r="D6" s="2" t="str">
        <f t="shared" ref="D6:D12" si="2">PROPER(A6)</f>
        <v>Воронов Дмитрий Андреевич</v>
      </c>
      <c r="E6" s="2">
        <f t="shared" ref="E6:E12" si="3">LEN(A6)</f>
        <v>25</v>
      </c>
    </row>
    <row r="7" spans="1:12" x14ac:dyDescent="0.35">
      <c r="A7" s="3" t="s">
        <v>9</v>
      </c>
      <c r="B7" s="2" t="str">
        <f t="shared" si="0"/>
        <v>СЕРГЕЕВА АЛИНА ИГОРЕВНА</v>
      </c>
      <c r="C7" s="2" t="str">
        <f t="shared" si="1"/>
        <v>сергеева алина игоревна</v>
      </c>
      <c r="D7" s="2" t="str">
        <f t="shared" si="2"/>
        <v>Сергеева Алина Игоревна</v>
      </c>
      <c r="E7" s="2">
        <f t="shared" si="3"/>
        <v>23</v>
      </c>
    </row>
    <row r="8" spans="1:12" ht="29" x14ac:dyDescent="0.35">
      <c r="A8" s="3" t="s">
        <v>10</v>
      </c>
      <c r="B8" s="2" t="str">
        <f t="shared" si="0"/>
        <v>ЖЕЛЕЗНОВ ПАВЕЛ МИХАЙЛОВИЧ</v>
      </c>
      <c r="C8" s="2" t="str">
        <f t="shared" si="1"/>
        <v>железнов павел михайлович</v>
      </c>
      <c r="D8" s="2" t="str">
        <f t="shared" si="2"/>
        <v>Железнов Павел Михайлович</v>
      </c>
      <c r="E8" s="2">
        <f t="shared" si="3"/>
        <v>25</v>
      </c>
    </row>
    <row r="9" spans="1:12" ht="29" x14ac:dyDescent="0.35">
      <c r="A9" s="3" t="s">
        <v>11</v>
      </c>
      <c r="B9" s="2" t="str">
        <f t="shared" si="0"/>
        <v>РОМАНОВА   ЕКАТЕРИНА   ОЛЕГОВНА</v>
      </c>
      <c r="C9" s="2" t="str">
        <f t="shared" si="1"/>
        <v>романова   екатерина   олеговна</v>
      </c>
      <c r="D9" s="2" t="str">
        <f t="shared" si="2"/>
        <v>Романова   Екатерина   Олеговна</v>
      </c>
      <c r="E9" s="2">
        <f t="shared" si="3"/>
        <v>31</v>
      </c>
    </row>
    <row r="10" spans="1:12" ht="29" x14ac:dyDescent="0.35">
      <c r="A10" s="3" t="s">
        <v>12</v>
      </c>
      <c r="B10" s="2" t="str">
        <f t="shared" si="0"/>
        <v>КИРИЛЛОВА МАРИНА АНТОНОВНА</v>
      </c>
      <c r="C10" s="2" t="str">
        <f t="shared" si="1"/>
        <v>кириллова марина антоновна</v>
      </c>
      <c r="D10" s="2" t="str">
        <f t="shared" si="2"/>
        <v>Кириллова Марина Антоновна</v>
      </c>
      <c r="E10" s="2">
        <f t="shared" si="3"/>
        <v>26</v>
      </c>
    </row>
    <row r="11" spans="1:12" x14ac:dyDescent="0.35">
      <c r="A11" s="3" t="s">
        <v>13</v>
      </c>
      <c r="B11" s="2" t="str">
        <f t="shared" si="0"/>
        <v>ДАНИЛОВ АРТЕМ ВИТАЛЬЕВИЧ</v>
      </c>
      <c r="C11" s="2" t="str">
        <f t="shared" si="1"/>
        <v>данилов артем витальевич</v>
      </c>
      <c r="D11" s="2" t="str">
        <f t="shared" si="2"/>
        <v>Данилов Артем Витальевич</v>
      </c>
      <c r="E11" s="2">
        <f t="shared" si="3"/>
        <v>24</v>
      </c>
    </row>
    <row r="12" spans="1:12" x14ac:dyDescent="0.35">
      <c r="A12" s="3" t="s">
        <v>14</v>
      </c>
      <c r="B12" s="2" t="str">
        <f t="shared" si="0"/>
        <v>КОСТИНА ЕЛЕНА СЕРГЕЕВНА</v>
      </c>
      <c r="C12" s="2" t="str">
        <f t="shared" si="1"/>
        <v>костина елена сергеевна</v>
      </c>
      <c r="D12" s="2" t="str">
        <f t="shared" si="2"/>
        <v>Костина Елена Сергеевна</v>
      </c>
      <c r="E12" s="2">
        <f t="shared" si="3"/>
        <v>23</v>
      </c>
    </row>
    <row r="15" spans="1:12" x14ac:dyDescent="0.35">
      <c r="A15" s="11" t="s">
        <v>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ht="16" thickBot="1" x14ac:dyDescent="0.4">
      <c r="A16" s="18" t="s">
        <v>16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ht="16" thickBot="1" x14ac:dyDescent="0.4">
      <c r="A17" s="1" t="s">
        <v>17</v>
      </c>
      <c r="B17" s="1" t="s">
        <v>18</v>
      </c>
    </row>
    <row r="18" spans="1:12" x14ac:dyDescent="0.35">
      <c r="A18" s="3" t="s">
        <v>19</v>
      </c>
      <c r="B18" s="2" t="str">
        <f>TRIM(A18)</f>
        <v>секция А1 стеллаж 4 ячейка 12</v>
      </c>
    </row>
    <row r="19" spans="1:12" x14ac:dyDescent="0.35">
      <c r="A19" s="3" t="s">
        <v>20</v>
      </c>
      <c r="B19" s="2" t="str">
        <f t="shared" ref="B19:B23" si="4">TRIM(A19)</f>
        <v>архив корпус 2 шкаф 7</v>
      </c>
    </row>
    <row r="20" spans="1:12" x14ac:dyDescent="0.35">
      <c r="A20" s="3" t="s">
        <v>21</v>
      </c>
      <c r="B20" s="2" t="str">
        <f t="shared" si="4"/>
        <v>пост приема зона 3</v>
      </c>
    </row>
    <row r="21" spans="1:12" ht="29" x14ac:dyDescent="0.35">
      <c r="A21" s="3" t="s">
        <v>22</v>
      </c>
      <c r="B21" s="2" t="str">
        <f t="shared" si="4"/>
        <v>склад расходных материалов ряд 8</v>
      </c>
    </row>
    <row r="22" spans="1:12" x14ac:dyDescent="0.35">
      <c r="A22" s="3" t="s">
        <v>23</v>
      </c>
      <c r="B22" s="2" t="str">
        <f t="shared" si="4"/>
        <v>модуль техники полка 15</v>
      </c>
    </row>
    <row r="23" spans="1:12" x14ac:dyDescent="0.35">
      <c r="A23" s="3" t="s">
        <v>24</v>
      </c>
      <c r="B23" s="2" t="str">
        <f t="shared" si="4"/>
        <v>резервный отсек B ячейка 02</v>
      </c>
    </row>
    <row r="26" spans="1:12" x14ac:dyDescent="0.35">
      <c r="A26" s="11" t="s">
        <v>25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16" thickBot="1" x14ac:dyDescent="0.4">
      <c r="A27" s="18" t="s">
        <v>39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2" ht="16" thickBot="1" x14ac:dyDescent="0.4">
      <c r="A28" s="1" t="s">
        <v>26</v>
      </c>
      <c r="B28" s="1" t="s">
        <v>27</v>
      </c>
      <c r="C28" s="1" t="s">
        <v>28</v>
      </c>
      <c r="D28" s="1" t="s">
        <v>40</v>
      </c>
      <c r="F28" s="5" t="s">
        <v>37</v>
      </c>
    </row>
    <row r="29" spans="1:12" ht="16" customHeight="1" x14ac:dyDescent="0.35">
      <c r="A29" s="3" t="s">
        <v>29</v>
      </c>
      <c r="B29" s="2" t="str">
        <f>LEFT(A29,3)</f>
        <v>MSK</v>
      </c>
      <c r="C29" s="2" t="str">
        <f>MID(A29,4,4)</f>
        <v>2407</v>
      </c>
      <c r="D29" s="2" t="str">
        <f>RIGHT(A29,2)</f>
        <v>AM</v>
      </c>
      <c r="F29" s="18" t="s">
        <v>38</v>
      </c>
      <c r="G29" s="18"/>
    </row>
    <row r="30" spans="1:12" x14ac:dyDescent="0.35">
      <c r="A30" s="3" t="s">
        <v>30</v>
      </c>
      <c r="B30" s="2" t="str">
        <f t="shared" ref="B30:B36" si="5">LEFT(A30,3)</f>
        <v>EKB</v>
      </c>
      <c r="C30" s="2" t="str">
        <f t="shared" ref="C30:C36" si="6">MID(A30,4,4)</f>
        <v>3112</v>
      </c>
      <c r="D30" s="2" t="str">
        <f t="shared" ref="D30:D36" si="7">RIGHT(A30,2)</f>
        <v>PM</v>
      </c>
      <c r="F30" s="18"/>
      <c r="G30" s="18"/>
    </row>
    <row r="31" spans="1:12" x14ac:dyDescent="0.35">
      <c r="A31" s="3" t="s">
        <v>31</v>
      </c>
      <c r="B31" s="2" t="str">
        <f t="shared" si="5"/>
        <v>SPB</v>
      </c>
      <c r="C31" s="2" t="str">
        <f t="shared" si="6"/>
        <v>1985</v>
      </c>
      <c r="D31" s="2" t="str">
        <f t="shared" si="7"/>
        <v>EV</v>
      </c>
      <c r="F31" s="18"/>
      <c r="G31" s="18"/>
    </row>
    <row r="32" spans="1:12" x14ac:dyDescent="0.35">
      <c r="A32" s="3" t="s">
        <v>32</v>
      </c>
      <c r="B32" s="2" t="str">
        <f t="shared" si="5"/>
        <v>NNV</v>
      </c>
      <c r="C32" s="2" t="str">
        <f t="shared" si="6"/>
        <v>4501</v>
      </c>
      <c r="D32" s="2" t="str">
        <f t="shared" si="7"/>
        <v>AM</v>
      </c>
      <c r="F32" s="18"/>
      <c r="G32" s="18"/>
    </row>
    <row r="33" spans="1:12" x14ac:dyDescent="0.35">
      <c r="A33" s="3" t="s">
        <v>33</v>
      </c>
      <c r="B33" s="2" t="str">
        <f t="shared" si="5"/>
        <v>KZN</v>
      </c>
      <c r="C33" s="2" t="str">
        <f t="shared" si="6"/>
        <v>7742</v>
      </c>
      <c r="D33" s="2" t="str">
        <f t="shared" si="7"/>
        <v>PM</v>
      </c>
      <c r="F33" s="18"/>
      <c r="G33" s="18"/>
    </row>
    <row r="34" spans="1:12" x14ac:dyDescent="0.35">
      <c r="A34" s="3" t="s">
        <v>34</v>
      </c>
      <c r="B34" s="2" t="str">
        <f t="shared" si="5"/>
        <v>KRD</v>
      </c>
      <c r="C34" s="2" t="str">
        <f t="shared" si="6"/>
        <v>5208</v>
      </c>
      <c r="D34" s="2" t="str">
        <f t="shared" si="7"/>
        <v>EV</v>
      </c>
    </row>
    <row r="35" spans="1:12" x14ac:dyDescent="0.35">
      <c r="A35" s="3" t="s">
        <v>35</v>
      </c>
      <c r="B35" s="2" t="str">
        <f t="shared" si="5"/>
        <v>TMS</v>
      </c>
      <c r="C35" s="2" t="str">
        <f t="shared" si="6"/>
        <v>6604</v>
      </c>
      <c r="D35" s="2" t="str">
        <f t="shared" si="7"/>
        <v>AM</v>
      </c>
    </row>
    <row r="36" spans="1:12" x14ac:dyDescent="0.35">
      <c r="A36" s="3" t="s">
        <v>36</v>
      </c>
      <c r="B36" s="2" t="str">
        <f t="shared" si="5"/>
        <v>SMR</v>
      </c>
      <c r="C36" s="2" t="str">
        <f t="shared" si="6"/>
        <v>7311</v>
      </c>
      <c r="D36" s="2" t="str">
        <f t="shared" si="7"/>
        <v>PM</v>
      </c>
    </row>
    <row r="39" spans="1:12" x14ac:dyDescent="0.35">
      <c r="A39" s="11" t="s">
        <v>41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ht="16" thickBot="1" x14ac:dyDescent="0.4">
      <c r="A40" s="18" t="s">
        <v>42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12" ht="16" thickBot="1" x14ac:dyDescent="0.4">
      <c r="A41" s="1" t="s">
        <v>43</v>
      </c>
      <c r="B41" s="1" t="s">
        <v>44</v>
      </c>
      <c r="C41" s="1" t="s">
        <v>59</v>
      </c>
      <c r="D41" s="1" t="s">
        <v>60</v>
      </c>
    </row>
    <row r="42" spans="1:12" x14ac:dyDescent="0.35">
      <c r="A42" s="3" t="s">
        <v>45</v>
      </c>
      <c r="B42" s="3" t="s">
        <v>46</v>
      </c>
      <c r="C42" s="2" t="str">
        <f>_xlfn.CONCAT(A42," ",B42)</f>
        <v>Маркова Ксения</v>
      </c>
      <c r="D42" s="2" t="str">
        <f>A42&amp;" "&amp;B42</f>
        <v>Маркова Ксения</v>
      </c>
    </row>
    <row r="43" spans="1:12" x14ac:dyDescent="0.35">
      <c r="A43" s="3" t="s">
        <v>47</v>
      </c>
      <c r="B43" s="3" t="s">
        <v>48</v>
      </c>
      <c r="C43" s="2" t="str">
        <f t="shared" ref="C43:C48" si="8">_xlfn.CONCAT(A43," ",B43)</f>
        <v>Воронов Дмитрий</v>
      </c>
      <c r="D43" s="2" t="str">
        <f t="shared" ref="D43:D48" si="9">A43&amp;" "&amp;B43</f>
        <v>Воронов Дмитрий</v>
      </c>
    </row>
    <row r="44" spans="1:12" x14ac:dyDescent="0.35">
      <c r="A44" s="3" t="s">
        <v>49</v>
      </c>
      <c r="B44" s="3" t="s">
        <v>50</v>
      </c>
      <c r="C44" s="2" t="str">
        <f t="shared" si="8"/>
        <v>Сергеева Алина</v>
      </c>
      <c r="D44" s="2" t="str">
        <f t="shared" si="9"/>
        <v>Сергеева Алина</v>
      </c>
    </row>
    <row r="45" spans="1:12" x14ac:dyDescent="0.35">
      <c r="A45" s="3" t="s">
        <v>51</v>
      </c>
      <c r="B45" s="3" t="s">
        <v>52</v>
      </c>
      <c r="C45" s="2" t="str">
        <f t="shared" si="8"/>
        <v>Железнов Павел</v>
      </c>
      <c r="D45" s="2" t="str">
        <f t="shared" si="9"/>
        <v>Железнов Павел</v>
      </c>
    </row>
    <row r="46" spans="1:12" x14ac:dyDescent="0.35">
      <c r="A46" s="3" t="s">
        <v>53</v>
      </c>
      <c r="B46" s="3" t="s">
        <v>54</v>
      </c>
      <c r="C46" s="2" t="str">
        <f t="shared" si="8"/>
        <v>Романова Екатерина</v>
      </c>
      <c r="D46" s="2" t="str">
        <f t="shared" si="9"/>
        <v>Романова Екатерина</v>
      </c>
    </row>
    <row r="47" spans="1:12" x14ac:dyDescent="0.35">
      <c r="A47" s="3" t="s">
        <v>55</v>
      </c>
      <c r="B47" s="3" t="s">
        <v>56</v>
      </c>
      <c r="C47" s="2" t="str">
        <f t="shared" si="8"/>
        <v>Кириллова Марина</v>
      </c>
      <c r="D47" s="2" t="str">
        <f t="shared" si="9"/>
        <v>Кириллова Марина</v>
      </c>
    </row>
    <row r="48" spans="1:12" x14ac:dyDescent="0.35">
      <c r="A48" s="3" t="s">
        <v>57</v>
      </c>
      <c r="B48" s="3" t="s">
        <v>58</v>
      </c>
      <c r="C48" s="2" t="str">
        <f t="shared" si="8"/>
        <v>Данилов Артем</v>
      </c>
      <c r="D48" s="2" t="str">
        <f t="shared" si="9"/>
        <v>Данилов Артем</v>
      </c>
    </row>
    <row r="50" spans="1:12" x14ac:dyDescent="0.35">
      <c r="A50" s="11" t="s">
        <v>61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ht="16" thickBot="1" x14ac:dyDescent="0.4">
      <c r="A51" s="18" t="s">
        <v>62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spans="1:12" ht="16" thickBot="1" x14ac:dyDescent="0.4">
      <c r="A52" s="1" t="s">
        <v>63</v>
      </c>
      <c r="B52" s="1" t="s">
        <v>64</v>
      </c>
      <c r="C52" s="1" t="s">
        <v>65</v>
      </c>
    </row>
    <row r="53" spans="1:12" x14ac:dyDescent="0.35">
      <c r="A53" s="3" t="s">
        <v>66</v>
      </c>
      <c r="B53" s="2" t="str">
        <f>SUBSTITUTE(A53,"SRV","SUP")</f>
        <v>SUP-18452</v>
      </c>
      <c r="C53" s="2" t="str">
        <f>REPLACE(A53,LEN(A53),1,0)</f>
        <v>SRV-18450</v>
      </c>
    </row>
    <row r="54" spans="1:12" x14ac:dyDescent="0.35">
      <c r="A54" s="3" t="s">
        <v>67</v>
      </c>
      <c r="B54" s="2" t="str">
        <f t="shared" ref="B54:B60" si="10">SUBSTITUTE(A54,"SRV","SUP")</f>
        <v>SUP-19367</v>
      </c>
      <c r="C54" s="2" t="str">
        <f t="shared" ref="C54:C60" si="11">REPLACE(A54,LEN(A54),1,0)</f>
        <v>SRV-19360</v>
      </c>
    </row>
    <row r="55" spans="1:12" x14ac:dyDescent="0.35">
      <c r="A55" s="3" t="s">
        <v>68</v>
      </c>
      <c r="B55" s="2" t="str">
        <f t="shared" si="10"/>
        <v>ITR-20481</v>
      </c>
      <c r="C55" s="2" t="str">
        <f t="shared" si="11"/>
        <v>ITR-20480</v>
      </c>
    </row>
    <row r="56" spans="1:12" x14ac:dyDescent="0.35">
      <c r="A56" s="3" t="s">
        <v>69</v>
      </c>
      <c r="B56" s="2" t="str">
        <f t="shared" si="10"/>
        <v>NET-33894</v>
      </c>
      <c r="C56" s="2" t="str">
        <f t="shared" si="11"/>
        <v>NET-33890</v>
      </c>
    </row>
    <row r="57" spans="1:12" x14ac:dyDescent="0.35">
      <c r="A57" s="3" t="s">
        <v>70</v>
      </c>
      <c r="B57" s="2" t="str">
        <f t="shared" si="10"/>
        <v>SUP-44015</v>
      </c>
      <c r="C57" s="2" t="str">
        <f t="shared" si="11"/>
        <v>SRV-44010</v>
      </c>
    </row>
    <row r="58" spans="1:12" x14ac:dyDescent="0.35">
      <c r="A58" s="3" t="s">
        <v>71</v>
      </c>
      <c r="B58" s="2" t="str">
        <f t="shared" si="10"/>
        <v>ITR-51239</v>
      </c>
      <c r="C58" s="2" t="str">
        <f t="shared" si="11"/>
        <v>ITR-51230</v>
      </c>
    </row>
    <row r="59" spans="1:12" x14ac:dyDescent="0.35">
      <c r="A59" s="3" t="s">
        <v>72</v>
      </c>
      <c r="B59" s="2" t="str">
        <f t="shared" si="10"/>
        <v>NET-62047</v>
      </c>
      <c r="C59" s="2" t="str">
        <f t="shared" si="11"/>
        <v>NET-62040</v>
      </c>
    </row>
    <row r="60" spans="1:12" x14ac:dyDescent="0.35">
      <c r="A60" s="3" t="s">
        <v>73</v>
      </c>
      <c r="B60" s="2" t="str">
        <f t="shared" si="10"/>
        <v>SUP-73126</v>
      </c>
      <c r="C60" s="2" t="str">
        <f t="shared" si="11"/>
        <v>SRV-73120</v>
      </c>
    </row>
  </sheetData>
  <mergeCells count="11">
    <mergeCell ref="A51:L51"/>
    <mergeCell ref="A26:L26"/>
    <mergeCell ref="A27:L27"/>
    <mergeCell ref="F29:G33"/>
    <mergeCell ref="A39:L39"/>
    <mergeCell ref="A40:L40"/>
    <mergeCell ref="A1:L1"/>
    <mergeCell ref="A2:L3"/>
    <mergeCell ref="A15:L15"/>
    <mergeCell ref="A16:L16"/>
    <mergeCell ref="A50:L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C2F2F-42AF-6C40-84F8-303813C45441}">
  <dimension ref="A1:L25"/>
  <sheetViews>
    <sheetView showGridLines="0" workbookViewId="0">
      <selection activeCell="D23" sqref="D23"/>
    </sheetView>
  </sheetViews>
  <sheetFormatPr defaultColWidth="10.83203125" defaultRowHeight="15.5" x14ac:dyDescent="0.35"/>
  <cols>
    <col min="1" max="1" width="22.5" style="4" customWidth="1"/>
    <col min="2" max="2" width="10.1640625" style="4" bestFit="1" customWidth="1"/>
    <col min="3" max="3" width="15.6640625" style="4" bestFit="1" customWidth="1"/>
    <col min="4" max="4" width="19.1640625" style="4" bestFit="1" customWidth="1"/>
    <col min="5" max="5" width="16.33203125" style="4" customWidth="1"/>
    <col min="6" max="6" width="10.83203125" style="4"/>
    <col min="7" max="7" width="13.33203125" style="4" customWidth="1"/>
    <col min="8" max="11" width="10.83203125" style="4"/>
    <col min="12" max="12" width="26.83203125" style="4" customWidth="1"/>
    <col min="13" max="16384" width="10.83203125" style="4"/>
  </cols>
  <sheetData>
    <row r="1" spans="1:12" ht="16" thickBot="1" x14ac:dyDescent="0.4">
      <c r="A1" s="11" t="s">
        <v>74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6" thickBot="1" x14ac:dyDescent="0.4">
      <c r="A2" s="1" t="s">
        <v>75</v>
      </c>
      <c r="B2" s="1" t="s">
        <v>76</v>
      </c>
      <c r="C2" s="1" t="s">
        <v>77</v>
      </c>
      <c r="D2" s="1" t="s">
        <v>78</v>
      </c>
      <c r="G2" s="1" t="s">
        <v>79</v>
      </c>
      <c r="H2" s="1" t="s">
        <v>75</v>
      </c>
      <c r="I2" s="1" t="s">
        <v>76</v>
      </c>
      <c r="J2" s="1" t="s">
        <v>77</v>
      </c>
    </row>
    <row r="3" spans="1:12" x14ac:dyDescent="0.35">
      <c r="A3" s="3">
        <v>2027</v>
      </c>
      <c r="B3" s="3">
        <v>4</v>
      </c>
      <c r="C3" s="3">
        <v>3</v>
      </c>
      <c r="D3" s="20">
        <f>DATE(A3,B3,C3)</f>
        <v>46480</v>
      </c>
      <c r="G3" s="6">
        <v>46457</v>
      </c>
      <c r="H3" s="2">
        <f>YEAR(G3)</f>
        <v>2027</v>
      </c>
      <c r="I3" s="2">
        <f>MONTH(G3)</f>
        <v>3</v>
      </c>
      <c r="J3" s="2">
        <f>DAY(G3)</f>
        <v>11</v>
      </c>
    </row>
    <row r="4" spans="1:12" x14ac:dyDescent="0.35">
      <c r="A4" s="3">
        <v>2027</v>
      </c>
      <c r="B4" s="3">
        <v>4</v>
      </c>
      <c r="C4" s="3">
        <v>10</v>
      </c>
      <c r="D4" s="20">
        <f t="shared" ref="D4:D10" si="0">DATE(A4,B4,C4)</f>
        <v>46487</v>
      </c>
      <c r="G4" s="6">
        <v>46502</v>
      </c>
      <c r="H4" s="2">
        <f t="shared" ref="H4:H10" si="1">YEAR(G4)</f>
        <v>2027</v>
      </c>
      <c r="I4" s="2">
        <f t="shared" ref="I4:I10" si="2">MONTH(G4)</f>
        <v>4</v>
      </c>
      <c r="J4" s="2">
        <f t="shared" ref="J4:J10" si="3">DAY(G4)</f>
        <v>25</v>
      </c>
    </row>
    <row r="5" spans="1:12" x14ac:dyDescent="0.35">
      <c r="A5" s="3">
        <v>2027</v>
      </c>
      <c r="B5" s="3">
        <v>5</v>
      </c>
      <c r="C5" s="3">
        <v>14</v>
      </c>
      <c r="D5" s="20">
        <f t="shared" si="0"/>
        <v>46521</v>
      </c>
      <c r="G5" s="6">
        <v>46537</v>
      </c>
      <c r="H5" s="2">
        <f t="shared" si="1"/>
        <v>2027</v>
      </c>
      <c r="I5" s="2">
        <f t="shared" si="2"/>
        <v>5</v>
      </c>
      <c r="J5" s="2">
        <f t="shared" si="3"/>
        <v>30</v>
      </c>
    </row>
    <row r="6" spans="1:12" x14ac:dyDescent="0.35">
      <c r="A6" s="3">
        <v>2027</v>
      </c>
      <c r="B6" s="3">
        <v>6</v>
      </c>
      <c r="C6" s="3">
        <v>1</v>
      </c>
      <c r="D6" s="20">
        <f t="shared" si="0"/>
        <v>46539</v>
      </c>
      <c r="G6" s="6">
        <v>46572</v>
      </c>
      <c r="H6" s="2">
        <f t="shared" si="1"/>
        <v>2027</v>
      </c>
      <c r="I6" s="2">
        <f t="shared" si="2"/>
        <v>7</v>
      </c>
      <c r="J6" s="2">
        <f t="shared" si="3"/>
        <v>4</v>
      </c>
    </row>
    <row r="7" spans="1:12" x14ac:dyDescent="0.35">
      <c r="A7" s="3">
        <v>2027</v>
      </c>
      <c r="B7" s="3">
        <v>6</v>
      </c>
      <c r="C7" s="3">
        <v>18</v>
      </c>
      <c r="D7" s="20">
        <f t="shared" si="0"/>
        <v>46556</v>
      </c>
      <c r="G7" s="6">
        <v>46615</v>
      </c>
      <c r="H7" s="2">
        <f t="shared" si="1"/>
        <v>2027</v>
      </c>
      <c r="I7" s="2">
        <f t="shared" si="2"/>
        <v>8</v>
      </c>
      <c r="J7" s="2">
        <f t="shared" si="3"/>
        <v>16</v>
      </c>
    </row>
    <row r="8" spans="1:12" x14ac:dyDescent="0.35">
      <c r="A8" s="3">
        <v>2027</v>
      </c>
      <c r="B8" s="3">
        <v>7</v>
      </c>
      <c r="C8" s="3">
        <v>5</v>
      </c>
      <c r="D8" s="20">
        <f t="shared" si="0"/>
        <v>46573</v>
      </c>
      <c r="G8" s="6">
        <v>46632</v>
      </c>
      <c r="H8" s="2">
        <f t="shared" si="1"/>
        <v>2027</v>
      </c>
      <c r="I8" s="2">
        <f t="shared" si="2"/>
        <v>9</v>
      </c>
      <c r="J8" s="2">
        <f t="shared" si="3"/>
        <v>2</v>
      </c>
    </row>
    <row r="9" spans="1:12" x14ac:dyDescent="0.35">
      <c r="A9" s="3">
        <v>2027</v>
      </c>
      <c r="B9" s="3">
        <v>7</v>
      </c>
      <c r="C9" s="3">
        <v>22</v>
      </c>
      <c r="D9" s="20">
        <f t="shared" si="0"/>
        <v>46590</v>
      </c>
      <c r="G9" s="6">
        <v>46673</v>
      </c>
      <c r="H9" s="2">
        <f t="shared" si="1"/>
        <v>2027</v>
      </c>
      <c r="I9" s="2">
        <f t="shared" si="2"/>
        <v>10</v>
      </c>
      <c r="J9" s="2">
        <f t="shared" si="3"/>
        <v>13</v>
      </c>
    </row>
    <row r="10" spans="1:12" x14ac:dyDescent="0.35">
      <c r="A10" s="3">
        <v>2027</v>
      </c>
      <c r="B10" s="3">
        <v>8</v>
      </c>
      <c r="C10" s="3">
        <v>9</v>
      </c>
      <c r="D10" s="20">
        <f t="shared" si="0"/>
        <v>46608</v>
      </c>
      <c r="G10" s="6">
        <v>46712</v>
      </c>
      <c r="H10" s="2">
        <f t="shared" si="1"/>
        <v>2027</v>
      </c>
      <c r="I10" s="2">
        <f t="shared" si="2"/>
        <v>11</v>
      </c>
      <c r="J10" s="2">
        <f t="shared" si="3"/>
        <v>21</v>
      </c>
    </row>
    <row r="13" spans="1:12" x14ac:dyDescent="0.35">
      <c r="A13" s="11" t="s">
        <v>80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ht="16" x14ac:dyDescent="0.4">
      <c r="A14" s="7" t="s">
        <v>81</v>
      </c>
      <c r="B14" s="16">
        <f ca="1">TODAY()</f>
        <v>46121</v>
      </c>
      <c r="C14" s="17"/>
      <c r="D14"/>
      <c r="E14"/>
      <c r="F14"/>
      <c r="G14"/>
    </row>
    <row r="15" spans="1:12" ht="16" x14ac:dyDescent="0.4">
      <c r="A15" s="7" t="s">
        <v>82</v>
      </c>
      <c r="B15" s="21">
        <f ca="1">NOW()</f>
        <v>46121.891782175924</v>
      </c>
      <c r="C15" s="22"/>
      <c r="D15"/>
      <c r="E15"/>
      <c r="F15"/>
      <c r="G15"/>
    </row>
    <row r="16" spans="1:12" ht="16" x14ac:dyDescent="0.4">
      <c r="A16"/>
      <c r="B16"/>
      <c r="C16"/>
      <c r="D16"/>
      <c r="E16"/>
      <c r="F16"/>
      <c r="G16"/>
    </row>
    <row r="17" spans="1:12" ht="16" x14ac:dyDescent="0.4">
      <c r="A17" s="7" t="s">
        <v>83</v>
      </c>
      <c r="B17" s="12">
        <f ca="1">YEAR(TODAY())</f>
        <v>2026</v>
      </c>
      <c r="C17" s="13"/>
      <c r="D17"/>
      <c r="E17" s="7" t="s">
        <v>84</v>
      </c>
      <c r="F17" s="14">
        <f ca="1">HOUR(NOW())</f>
        <v>21</v>
      </c>
      <c r="G17" s="15"/>
    </row>
    <row r="18" spans="1:12" ht="16" x14ac:dyDescent="0.4">
      <c r="A18" s="7" t="s">
        <v>85</v>
      </c>
      <c r="B18" s="12">
        <f ca="1">MONTH(TODAY())</f>
        <v>4</v>
      </c>
      <c r="C18" s="13"/>
      <c r="D18"/>
      <c r="E18" s="7" t="s">
        <v>86</v>
      </c>
      <c r="F18" s="14">
        <f ca="1">MINUTE(NOW())</f>
        <v>24</v>
      </c>
      <c r="G18" s="15"/>
    </row>
    <row r="19" spans="1:12" ht="16" x14ac:dyDescent="0.4">
      <c r="A19" s="7" t="s">
        <v>87</v>
      </c>
      <c r="B19" s="12">
        <f ca="1">DAY(TODAY())</f>
        <v>9</v>
      </c>
      <c r="C19" s="13"/>
      <c r="D19"/>
      <c r="E19" s="7" t="s">
        <v>88</v>
      </c>
      <c r="F19" s="14">
        <f ca="1">SECOND(NOW())</f>
        <v>10</v>
      </c>
      <c r="G19" s="15"/>
    </row>
    <row r="21" spans="1:12" x14ac:dyDescent="0.35">
      <c r="A21" s="11" t="s">
        <v>95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ht="16" x14ac:dyDescent="0.4">
      <c r="A22" s="9" t="s">
        <v>89</v>
      </c>
      <c r="B22" s="9" t="s">
        <v>90</v>
      </c>
      <c r="C22" s="9" t="s">
        <v>91</v>
      </c>
      <c r="D22" s="9" t="s">
        <v>92</v>
      </c>
      <c r="E22" s="8"/>
      <c r="F22" s="8"/>
      <c r="G22" s="8"/>
      <c r="H22" s="8"/>
      <c r="I22" s="8"/>
      <c r="J22" s="8"/>
    </row>
    <row r="23" spans="1:12" ht="16" x14ac:dyDescent="0.4">
      <c r="A23" s="7" t="s">
        <v>93</v>
      </c>
      <c r="B23" s="19">
        <f ca="1">TODAY()</f>
        <v>46121</v>
      </c>
      <c r="C23" s="3"/>
      <c r="D23" s="3"/>
      <c r="E23" s="8"/>
      <c r="F23" s="8"/>
      <c r="G23" s="8"/>
      <c r="H23" s="8"/>
      <c r="I23" s="8"/>
      <c r="J23" s="8"/>
    </row>
    <row r="24" spans="1:12" ht="16" x14ac:dyDescent="0.4">
      <c r="A24" s="7" t="s">
        <v>96</v>
      </c>
      <c r="B24" s="10">
        <v>48449</v>
      </c>
      <c r="C24" s="3"/>
      <c r="D24" s="3"/>
      <c r="E24" s="8"/>
      <c r="F24" s="8"/>
      <c r="G24" s="8"/>
      <c r="H24" s="8"/>
      <c r="I24" s="8"/>
      <c r="J24" s="8"/>
    </row>
    <row r="25" spans="1:12" ht="16" x14ac:dyDescent="0.4">
      <c r="A25" s="7" t="s">
        <v>94</v>
      </c>
      <c r="B25" s="3"/>
      <c r="C25" s="2">
        <f ca="1">DATEDIF(B23,B24,"m")</f>
        <v>76</v>
      </c>
      <c r="D25" s="2">
        <f ca="1">DATEDIF(B23,B24,"y")</f>
        <v>6</v>
      </c>
      <c r="E25" s="8"/>
      <c r="F25" s="8"/>
      <c r="G25" s="8"/>
      <c r="H25" s="8"/>
      <c r="I25" s="8"/>
      <c r="J25" s="8"/>
    </row>
  </sheetData>
  <mergeCells count="11">
    <mergeCell ref="A1:L1"/>
    <mergeCell ref="A13:L13"/>
    <mergeCell ref="B14:C14"/>
    <mergeCell ref="B15:C15"/>
    <mergeCell ref="B17:C17"/>
    <mergeCell ref="F17:G17"/>
    <mergeCell ref="A21:L21"/>
    <mergeCell ref="B18:C18"/>
    <mergeCell ref="F18:G18"/>
    <mergeCell ref="B19:C19"/>
    <mergeCell ref="F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Текстовые функции</vt:lpstr>
      <vt:lpstr>Даты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Решетникова Марина Сергеевна</dc:creator>
  <cp:lastModifiedBy>Erland Adestio Sadana</cp:lastModifiedBy>
  <dcterms:created xsi:type="dcterms:W3CDTF">2026-03-20T15:58:46Z</dcterms:created>
  <dcterms:modified xsi:type="dcterms:W3CDTF">2026-04-09T14:24:18Z</dcterms:modified>
</cp:coreProperties>
</file>