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3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New folder\college\sem2\digital skills\"/>
    </mc:Choice>
  </mc:AlternateContent>
  <xr:revisionPtr revIDLastSave="0" documentId="13_ncr:1_{0D9EA139-D4E1-4058-862B-7189C443E7A3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Спарклайны" sheetId="13" r:id="rId1"/>
    <sheet name="Графики " sheetId="2" r:id="rId2"/>
    <sheet name="Комбинированная диаграмма" sheetId="7" r:id="rId3"/>
    <sheet name="Диаграмма с рис. " sheetId="8" r:id="rId4"/>
    <sheet name="Круговая диаграмма" sheetId="9" r:id="rId5"/>
    <sheet name="Каскадная диаграмма" sheetId="14" r:id="rId6"/>
    <sheet name="Иерархическая диаграмма" sheetId="15" r:id="rId7"/>
  </sheets>
  <externalReferences>
    <externalReference r:id="rId8"/>
    <externalReference r:id="rId9"/>
  </externalReferences>
  <definedNames>
    <definedName name="__IntlFixup" hidden="1">TRUE</definedName>
    <definedName name="_xlchart.v1.0" hidden="1">'Каскадная диаграмма'!$A$3:$A$14</definedName>
    <definedName name="_xlchart.v1.1" hidden="1">'Каскадная диаграмма'!$B$2</definedName>
    <definedName name="_xlchart.v1.2" hidden="1">'Каскадная диаграмма'!$B$3:$B$14</definedName>
    <definedName name="_xlchart.v1.3" hidden="1">'Иерархическая диаграмма'!$A$4:$C$19</definedName>
    <definedName name="_xlchart.v1.4" hidden="1">'Иерархическая диаграмма'!$D$3</definedName>
    <definedName name="_xlchart.v1.5" hidden="1">'Иерархическая диаграмма'!$D$4:$D$19</definedName>
    <definedName name="_xlchart.v1.6" hidden="1">'Иерархическая диаграмма'!$A$4:$C$19</definedName>
    <definedName name="_xlchart.v1.7" hidden="1">'Иерархическая диаграмма'!$D$2:$D$3</definedName>
    <definedName name="_xlchart.v1.8" hidden="1">'Иерархическая диаграмма'!$D$4:$D$19</definedName>
    <definedName name="AccessDatabase" hidden="1">"C:\My Documents\MAUI MALL1.mdb"</definedName>
    <definedName name="ACwvu.CapersView." localSheetId="0" hidden="1">[1]MASTER!#REF!</definedName>
    <definedName name="ACwvu.CapersView." hidden="1">[1]MASTER!#REF!</definedName>
    <definedName name="ACwvu.Japan_Capers_Ed_Pub." hidden="1">'[2]THREE VARIABLES'!$N$1:$V$165</definedName>
    <definedName name="ACwvu.KJP_CC." hidden="1">'[2]THREE VARIABLES'!$N$4:$U$165</definedName>
    <definedName name="anscount" hidden="1">1</definedName>
    <definedName name="Cwvu.CapersView." localSheetId="0" hidden="1">[1]MASTER!#REF!</definedName>
    <definedName name="Cwvu.CapersView." hidden="1">[1]MASTER!#REF!</definedName>
    <definedName name="Cwvu.Japan_Capers_Ed_Pub." localSheetId="0" hidden="1">[1]MASTER!#REF!</definedName>
    <definedName name="Cwvu.Japan_Capers_Ed_Pub." hidden="1">[1]MASTER!#REF!</definedName>
    <definedName name="Cwvu.KJP_CC." localSheetId="0" hidden="1">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</definedName>
    <definedName name="Cwvu.KJP_CC." hidden="1">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</definedName>
    <definedName name="HTML_CodePage" hidden="1">1252</definedName>
    <definedName name="HTML_Control" localSheetId="0" hidden="1">{"'PRODUCTIONCOST SHEET'!$B$3:$G$48"}</definedName>
    <definedName name="HTML_Control" hidden="1">{"'PRODUCTIONCOST SHEET'!$B$3:$G$48"}</definedName>
    <definedName name="HTML_Description" hidden="1">"DRAFT"</definedName>
    <definedName name="HTML_Email" hidden="1">"Patrick_Blattner@Studio.Disney.com"</definedName>
    <definedName name="HTML_Header" hidden="1">"EXISTING &amp; FUTURE PRODUCTS (CONFIDENTIAL)"</definedName>
    <definedName name="HTML_LastUpdate" hidden="1">"2/8/98"</definedName>
    <definedName name="HTML_LineAfter" hidden="1">FALSE</definedName>
    <definedName name="HTML_LineBefore" hidden="1">TRUE</definedName>
    <definedName name="HTML_Name" hidden="1">"Patrick Blattner"</definedName>
    <definedName name="HTML_OBDlg2" hidden="1">TRUE</definedName>
    <definedName name="HTML_OBDlg4" hidden="1">TRUE</definedName>
    <definedName name="HTML_OS" hidden="1">0</definedName>
    <definedName name="HTML_PathFile" hidden="1">"K:\ANIMATE\SECURE\Production\INTRANET\ANI.HTML.htm"</definedName>
    <definedName name="HTML_Title" hidden="1">"2D ANIMATION PRODUCTION TABLE"</definedName>
    <definedName name="limcount" hidden="1">1</definedName>
    <definedName name="Rwvu.CapersView." hidden="1">'[2]THREE VARIABLES'!$A$1:$M$65536</definedName>
    <definedName name="Rwvu.Japan_Capers_Ed_Pub." hidden="1">'[2]THREE VARIABLES'!$A$1:$M$65536</definedName>
    <definedName name="Rwvu.KJP_CC." hidden="1">'[2]THREE VARIABLES'!$A$1:$M$65536</definedName>
    <definedName name="sencount" hidden="1">2</definedName>
    <definedName name="Swvu.CapersView." localSheetId="0" hidden="1">[1]MASTER!#REF!</definedName>
    <definedName name="Swvu.CapersView." hidden="1">[1]MASTER!#REF!</definedName>
    <definedName name="Swvu.Japan_Capers_Ed_Pub." hidden="1">'[2]THREE VARIABLES'!$N$1:$V$165</definedName>
    <definedName name="Swvu.KJP_CC." hidden="1">'[2]THREE VARIABLES'!$N$4:$U$165</definedName>
    <definedName name="wrn.CapersPlotter." localSheetId="0" hidden="1">{#N/A,#N/A,FALSE,"DI 2 YEAR MASTER SCHEDULE"}</definedName>
    <definedName name="wrn.CapersPlotter." hidden="1">{#N/A,#N/A,FALSE,"DI 2 YEAR MASTER SCHEDULE"}</definedName>
    <definedName name="wrn.Edutainment._.Priority._.List." localSheetId="0" hidden="1">{#N/A,#N/A,FALSE,"DI 2 YEAR MASTER SCHEDULE"}</definedName>
    <definedName name="wrn.Edutainment._.Priority._.List." hidden="1">{#N/A,#N/A,FALSE,"DI 2 YEAR MASTER SCHEDULE"}</definedName>
    <definedName name="wrn.Japan_Capers_Ed._.Pub." localSheetId="0" hidden="1">{"Japan_Capers_Ed_Pub",#N/A,FALSE,"DI 2 YEAR MASTER SCHEDULE"}</definedName>
    <definedName name="wrn.Japan_Capers_Ed._.Pub." hidden="1">{"Japan_Capers_Ed_Pub",#N/A,FALSE,"DI 2 YEAR MASTER SCHEDULE"}</definedName>
    <definedName name="wrn.Priority._.list." localSheetId="0" hidden="1">{#N/A,#N/A,FALSE,"DI 2 YEAR MASTER SCHEDULE"}</definedName>
    <definedName name="wrn.Priority._.list." hidden="1">{#N/A,#N/A,FALSE,"DI 2 YEAR MASTER SCHEDULE"}</definedName>
    <definedName name="wrn.Prjcted._.Mnthly._.Qtys." localSheetId="0" hidden="1">{#N/A,#N/A,FALSE,"PRJCTED MNTHLY QTY's"}</definedName>
    <definedName name="wrn.Prjcted._.Mnthly._.Qtys." hidden="1">{#N/A,#N/A,FALSE,"PRJCTED MNTHLY QTY's"}</definedName>
    <definedName name="wrn.Prjcted._.Qtrly._.Dollars." localSheetId="0" hidden="1">{#N/A,#N/A,FALSE,"PRJCTED QTRLY $'s"}</definedName>
    <definedName name="wrn.Prjcted._.Qtrly._.Dollars." hidden="1">{#N/A,#N/A,FALSE,"PRJCTED QTRLY $'s"}</definedName>
    <definedName name="wrn.Prjcted._.Qtrly._.Qtys." localSheetId="0" hidden="1">{#N/A,#N/A,FALSE,"PRJCTED QTRLY QTY's"}</definedName>
    <definedName name="wrn.Prjcted._.Qtrly._.Qtys." hidden="1">{#N/A,#N/A,FALSE,"PRJCTED QTRLY QTY's"}</definedName>
    <definedName name="wrn.QUARTERLY._.VIEW." localSheetId="0" hidden="1">{"QUARTERLY VIEW",#N/A,FALSE,"YEAR TOTAL"}</definedName>
    <definedName name="wrn.QUARTERLY._.VIEW." hidden="1">{"QUARTERLY VIEW",#N/A,FALSE,"YEAR TOTAL"}</definedName>
    <definedName name="wrn.YEAR._.VIEW." localSheetId="0" hidden="1">{#N/A,#N/A,FALSE,"YEAR TOTAL"}</definedName>
    <definedName name="wrn.YEAR._.VIEW." hidden="1">{#N/A,#N/A,FALSE,"YEAR TOTAL"}</definedName>
    <definedName name="wrn.отчет._.по._.курсу." localSheetId="0" hidden="1">{"программа",#N/A,TRUE,"lessons";"продажа оргтехники",#N/A,TRUE,"образец"}</definedName>
    <definedName name="wrn.отчет._.по._.курсу." hidden="1">{"программа",#N/A,TRUE,"lessons";"продажа оргтехники",#N/A,TRUE,"образец"}</definedName>
    <definedName name="wvu.CapersView.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localSheetId="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Z_9A428CE1_B4D9_11D0_A8AA_0000C071AEE7_.wvu.Cols" hidden="1">[1]MASTER!$A$1:$Q$65536,[1]MASTER!$Y$1:$Z$65536</definedName>
    <definedName name="Z_9A428CE1_B4D9_11D0_A8AA_0000C071AEE7_.wvu.PrintArea" hidden="1">'[2]THREE VARIABLES'!$N$4:$S$5</definedName>
    <definedName name="Z_9A428CE1_B4D9_11D0_A8AA_0000C071AEE7_.wvu.Rows" localSheetId="0" hidden="1">[1]MASTER!#REF!,[1]MASTER!#REF!,[1]MASTER!#REF!,[1]MASTER!#REF!,[1]MASTER!#REF!,[1]MASTER!#REF!,[1]MASTER!#REF!,[1]MASTER!$A$98:$IV$272</definedName>
    <definedName name="Z_9A428CE1_B4D9_11D0_A8AA_0000C071AEE7_.wvu.Rows" hidden="1">[1]MASTER!#REF!,[1]MASTER!#REF!,[1]MASTER!#REF!,[1]MASTER!#REF!,[1]MASTER!#REF!,[1]MASTER!#REF!,[1]MASTER!#REF!,[1]MASTER!$A$98:$IV$272</definedName>
    <definedName name="а" hidden="1">'[2]THREE VARIABLES'!$N$1:$V$165</definedName>
    <definedName name="вв" localSheetId="0" hidden="1">{"программа",#N/A,TRUE,"lessons";"продажа оргтехники",#N/A,TRUE,"образец"}</definedName>
    <definedName name="вв" hidden="1">{"программа",#N/A,TRUE,"lessons";"продажа оргтехники",#N/A,TRUE,"образец"}</definedName>
    <definedName name="жж" localSheetId="0" hidden="1">[1]MASTER!#REF!</definedName>
    <definedName name="жж" hidden="1">[1]MASTER!#REF!</definedName>
    <definedName name="з" localSheetId="0" hidden="1">{"программа",#N/A,TRUE,"lessons";"продажа оргтехники",#N/A,TRUE,"образец"}</definedName>
    <definedName name="з" hidden="1">{"программа",#N/A,TRUE,"lessons";"продажа оргтехники",#N/A,TRUE,"образец"}</definedName>
    <definedName name="ке" localSheetId="0" hidden="1">{"программа",#N/A,TRUE,"lessons";"продажа оргтехники",#N/A,TRUE,"образец"}</definedName>
    <definedName name="ке" hidden="1">{"программа",#N/A,TRUE,"lessons";"продажа оргтехники",#N/A,TRUE,"образец"}</definedName>
    <definedName name="х" localSheetId="0" hidden="1">{"программа",#N/A,TRUE,"lessons";"продажа оргтехники",#N/A,TRUE,"образец"}</definedName>
    <definedName name="х" hidden="1">{"программа",#N/A,TRUE,"lessons";"продажа оргтехники",#N/A,TRUE,"образец"}</definedName>
    <definedName name="ы" localSheetId="0" hidden="1">[1]MASTER!#REF!</definedName>
    <definedName name="ы" hidden="1">[1]MASTER!#REF!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0" i="2" l="1"/>
  <c r="C11" i="2"/>
  <c r="C12" i="2"/>
  <c r="C13" i="2"/>
  <c r="C14" i="2"/>
  <c r="C15" i="2"/>
  <c r="C16" i="2"/>
  <c r="C17" i="2"/>
  <c r="C18" i="2"/>
  <c r="C19" i="2"/>
  <c r="C9" i="2"/>
  <c r="B10" i="2"/>
  <c r="B11" i="2"/>
  <c r="B12" i="2"/>
  <c r="B13" i="2"/>
  <c r="B14" i="2"/>
  <c r="B15" i="2"/>
  <c r="B16" i="2"/>
  <c r="B17" i="2"/>
  <c r="B18" i="2"/>
  <c r="B19" i="2"/>
  <c r="B9" i="2"/>
  <c r="A11" i="2"/>
  <c r="A12" i="2"/>
  <c r="A13" i="2"/>
  <c r="A14" i="2"/>
  <c r="A15" i="2"/>
  <c r="A16" i="2"/>
  <c r="A17" i="2"/>
  <c r="A18" i="2"/>
  <c r="A19" i="2"/>
  <c r="A10" i="2"/>
  <c r="B14" i="14"/>
</calcChain>
</file>

<file path=xl/sharedStrings.xml><?xml version="1.0" encoding="utf-8"?>
<sst xmlns="http://schemas.openxmlformats.org/spreadsheetml/2006/main" count="96" uniqueCount="96">
  <si>
    <t>х</t>
  </si>
  <si>
    <t>Россия</t>
  </si>
  <si>
    <t>Германия</t>
  </si>
  <si>
    <t>Франция</t>
  </si>
  <si>
    <t xml:space="preserve">Страна </t>
  </si>
  <si>
    <t>Размер пенсии</t>
  </si>
  <si>
    <t>Пенсионный возраст</t>
  </si>
  <si>
    <t>CША</t>
  </si>
  <si>
    <t>Англия</t>
  </si>
  <si>
    <t>Китай</t>
  </si>
  <si>
    <t>Итого</t>
  </si>
  <si>
    <t>Производитель</t>
  </si>
  <si>
    <t>Bosch</t>
  </si>
  <si>
    <t>Braun</t>
  </si>
  <si>
    <t>Phillips</t>
  </si>
  <si>
    <t>Delonghi</t>
  </si>
  <si>
    <t>Samsung</t>
  </si>
  <si>
    <t>LG</t>
  </si>
  <si>
    <t>Tefal</t>
  </si>
  <si>
    <t>Moulinex</t>
  </si>
  <si>
    <t>Хiaomi</t>
  </si>
  <si>
    <t>Lenovo</t>
  </si>
  <si>
    <t>Huawei</t>
  </si>
  <si>
    <t xml:space="preserve">Продано, шт. </t>
  </si>
  <si>
    <t>IV квартал</t>
  </si>
  <si>
    <t>Продажи товаров</t>
  </si>
  <si>
    <t xml:space="preserve">Поступления, тыс. руб. </t>
  </si>
  <si>
    <t>Заработная плата</t>
  </si>
  <si>
    <t>Реклама</t>
  </si>
  <si>
    <t>Закупка материалов</t>
  </si>
  <si>
    <t>Доход от аренды</t>
  </si>
  <si>
    <t>Доход от услуг</t>
  </si>
  <si>
    <t>Административные расходы</t>
  </si>
  <si>
    <t>Дивиденды</t>
  </si>
  <si>
    <t>Проценты от вкладов</t>
  </si>
  <si>
    <t>Обслуживание кредитов</t>
  </si>
  <si>
    <t>Продажа оборудования</t>
  </si>
  <si>
    <t>Поставки овощей/фруктов</t>
  </si>
  <si>
    <t>Товар</t>
  </si>
  <si>
    <t>Cорт</t>
  </si>
  <si>
    <t xml:space="preserve">Прибыль, тыс. руб. </t>
  </si>
  <si>
    <t>Яблоки</t>
  </si>
  <si>
    <t>Голден</t>
  </si>
  <si>
    <t>Гренни смит</t>
  </si>
  <si>
    <t>Cливы</t>
  </si>
  <si>
    <t>Категория</t>
  </si>
  <si>
    <t>Фрукты</t>
  </si>
  <si>
    <t>Cтенли</t>
  </si>
  <si>
    <t>Венгерка</t>
  </si>
  <si>
    <t>Груши</t>
  </si>
  <si>
    <t>Бананы</t>
  </si>
  <si>
    <t>Форрель</t>
  </si>
  <si>
    <t>Овощи</t>
  </si>
  <si>
    <t>Помидоры</t>
  </si>
  <si>
    <t>Черри</t>
  </si>
  <si>
    <t>Красные</t>
  </si>
  <si>
    <t>Пинк Парадиз</t>
  </si>
  <si>
    <t>Огурцы</t>
  </si>
  <si>
    <t>Тыква</t>
  </si>
  <si>
    <t>Зелень</t>
  </si>
  <si>
    <t>Укроп</t>
  </si>
  <si>
    <t>Петрушка</t>
  </si>
  <si>
    <t>Кинза</t>
  </si>
  <si>
    <t>Базилик</t>
  </si>
  <si>
    <t>Айдаред</t>
  </si>
  <si>
    <t>Менеджер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</si>
  <si>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</si>
  <si>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</si>
  <si>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</si>
  <si>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</si>
  <si>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</si>
  <si>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</si>
  <si>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</si>
  <si>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</si>
  <si>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</si>
  <si>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</si>
  <si>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</si>
  <si>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</si>
  <si>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Иванова А.С.</t>
  </si>
  <si>
    <t>Петров В.И.</t>
  </si>
  <si>
    <t>Сидорова К.М.</t>
  </si>
  <si>
    <t>Козлов Д.П.</t>
  </si>
  <si>
    <t>Никитина О.Л.</t>
  </si>
  <si>
    <t>Динамика продаж по менеджерам за год (тыс. руб.)</t>
  </si>
  <si>
    <t>Динамика по отделу</t>
  </si>
  <si>
    <t>Динамика по менеджерам</t>
  </si>
  <si>
    <t xml:space="preserve">y₁ </t>
  </si>
  <si>
    <t>y₂</t>
  </si>
  <si>
    <t>Хлеб</t>
  </si>
  <si>
    <t>Молоко</t>
  </si>
  <si>
    <t>Москва</t>
  </si>
  <si>
    <t>Санкт-Петербург</t>
  </si>
  <si>
    <t>Казань</t>
  </si>
  <si>
    <t>Екатеринбург</t>
  </si>
  <si>
    <t>Новосибирск</t>
  </si>
  <si>
    <t>Регион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</si>
</sst>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₽&quot;_-;\-* #,##0.00\ &quot;₽&quot;_-;_-* &quot;-&quot;??\ &quot;₽&quot;_-;_-@_-"/>
    <numFmt numFmtId="165" formatCode="_-* #,##0_р_._-;\-* #,##0_р_._-;_-* &quot;-&quot;_р_._-;_-@_-"/>
  </numFmts>
  <fonts count="21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2"/>
      <name val="Arial Cyr"/>
      <charset val="204"/>
    </font>
    <font>
      <b/>
      <sz val="16"/>
      <name val="Arial Cyr"/>
      <family val="2"/>
      <charset val="204"/>
    </font>
    <font>
      <sz val="14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0F1115"/>
      <name val="Calibri"/>
      <family val="2"/>
      <scheme val="minor"/>
    </font>
    <font>
      <sz val="11"/>
      <color rgb="FF0F1115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2"/>
      <name val="Calibri"/>
      <family val="2"/>
    </font>
    <font>
      <sz val="12"/>
      <name val="Calibri"/>
      <family val="2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3" fillId="0" borderId="0" applyFont="0" applyFill="0" applyBorder="0" applyAlignment="0" applyProtection="0"/>
    <xf numFmtId="0" fontId="10" fillId="0" borderId="0"/>
    <xf numFmtId="0" fontId="8" fillId="0" borderId="0"/>
    <xf numFmtId="0" fontId="9" fillId="0" borderId="0"/>
    <xf numFmtId="164" fontId="9" fillId="0" borderId="0" applyFont="0" applyFill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1" fillId="10" borderId="0" applyNumberFormat="0" applyBorder="0" applyAlignment="0" applyProtection="0"/>
  </cellStyleXfs>
  <cellXfs count="63">
    <xf numFmtId="0" fontId="0" fillId="0" borderId="0" xfId="0"/>
    <xf numFmtId="0" fontId="4" fillId="0" borderId="0" xfId="1" applyFont="1"/>
    <xf numFmtId="0" fontId="3" fillId="0" borderId="0" xfId="1"/>
    <xf numFmtId="0" fontId="5" fillId="0" borderId="0" xfId="1" applyFont="1"/>
    <xf numFmtId="0" fontId="6" fillId="0" borderId="0" xfId="1" applyFont="1"/>
    <xf numFmtId="0" fontId="6" fillId="0" borderId="0" xfId="1" applyFont="1" applyAlignment="1">
      <alignment horizontal="center"/>
    </xf>
    <xf numFmtId="2" fontId="3" fillId="0" borderId="0" xfId="1" applyNumberFormat="1"/>
    <xf numFmtId="0" fontId="7" fillId="0" borderId="0" xfId="1" applyFont="1"/>
    <xf numFmtId="0" fontId="0" fillId="0" borderId="1" xfId="0" applyBorder="1"/>
    <xf numFmtId="0" fontId="11" fillId="2" borderId="0" xfId="7" applyAlignment="1">
      <alignment horizontal="center" vertical="center"/>
    </xf>
    <xf numFmtId="0" fontId="2" fillId="5" borderId="5" xfId="10" applyBorder="1" applyAlignment="1">
      <alignment horizontal="center" vertical="center"/>
    </xf>
    <xf numFmtId="0" fontId="11" fillId="2" borderId="1" xfId="7" applyBorder="1" applyAlignment="1">
      <alignment horizontal="center"/>
    </xf>
    <xf numFmtId="0" fontId="2" fillId="4" borderId="0" xfId="9" applyAlignment="1">
      <alignment horizontal="center" vertical="center"/>
    </xf>
    <xf numFmtId="0" fontId="1" fillId="6" borderId="2" xfId="11" applyBorder="1" applyAlignment="1">
      <alignment horizontal="center" vertical="center"/>
    </xf>
    <xf numFmtId="0" fontId="1" fillId="6" borderId="2" xfId="11" applyBorder="1"/>
    <xf numFmtId="0" fontId="1" fillId="6" borderId="3" xfId="11" applyBorder="1"/>
    <xf numFmtId="0" fontId="1" fillId="6" borderId="4" xfId="11" applyBorder="1"/>
    <xf numFmtId="0" fontId="1" fillId="6" borderId="5" xfId="11" applyBorder="1" applyAlignment="1">
      <alignment horizontal="center" vertical="center"/>
    </xf>
    <xf numFmtId="0" fontId="1" fillId="6" borderId="5" xfId="11" applyBorder="1"/>
    <xf numFmtId="0" fontId="1" fillId="6" borderId="0" xfId="11" applyBorder="1"/>
    <xf numFmtId="0" fontId="1" fillId="6" borderId="6" xfId="11" applyBorder="1"/>
    <xf numFmtId="0" fontId="1" fillId="6" borderId="7" xfId="11" applyBorder="1"/>
    <xf numFmtId="0" fontId="1" fillId="6" borderId="8" xfId="11" applyBorder="1"/>
    <xf numFmtId="0" fontId="1" fillId="6" borderId="9" xfId="11" applyBorder="1"/>
    <xf numFmtId="0" fontId="1" fillId="6" borderId="10" xfId="11" applyBorder="1"/>
    <xf numFmtId="0" fontId="1" fillId="6" borderId="11" xfId="11" applyBorder="1"/>
    <xf numFmtId="0" fontId="1" fillId="6" borderId="12" xfId="11" applyBorder="1"/>
    <xf numFmtId="0" fontId="2" fillId="5" borderId="2" xfId="10" applyBorder="1"/>
    <xf numFmtId="0" fontId="2" fillId="5" borderId="3" xfId="10" applyBorder="1"/>
    <xf numFmtId="0" fontId="2" fillId="5" borderId="4" xfId="10" applyBorder="1"/>
    <xf numFmtId="0" fontId="2" fillId="5" borderId="5" xfId="10" applyBorder="1"/>
    <xf numFmtId="0" fontId="2" fillId="5" borderId="0" xfId="10" applyBorder="1"/>
    <xf numFmtId="0" fontId="2" fillId="5" borderId="6" xfId="10" applyBorder="1"/>
    <xf numFmtId="0" fontId="2" fillId="5" borderId="7" xfId="10" applyBorder="1"/>
    <xf numFmtId="0" fontId="2" fillId="5" borderId="8" xfId="10" applyBorder="1"/>
    <xf numFmtId="0" fontId="2" fillId="5" borderId="9" xfId="10" applyBorder="1"/>
    <xf numFmtId="0" fontId="2" fillId="5" borderId="10" xfId="10" applyBorder="1"/>
    <xf numFmtId="0" fontId="2" fillId="5" borderId="11" xfId="10" applyBorder="1"/>
    <xf numFmtId="0" fontId="2" fillId="5" borderId="12" xfId="10" applyBorder="1"/>
    <xf numFmtId="0" fontId="1" fillId="8" borderId="5" xfId="13" applyBorder="1" applyAlignment="1">
      <alignment horizontal="center" vertical="center"/>
    </xf>
    <xf numFmtId="0" fontId="1" fillId="8" borderId="10" xfId="13" applyBorder="1"/>
    <xf numFmtId="0" fontId="1" fillId="8" borderId="11" xfId="13" applyBorder="1"/>
    <xf numFmtId="0" fontId="1" fillId="8" borderId="12" xfId="13" applyBorder="1"/>
    <xf numFmtId="0" fontId="1" fillId="8" borderId="7" xfId="13" applyBorder="1" applyAlignment="1">
      <alignment horizontal="center" vertical="center"/>
    </xf>
    <xf numFmtId="0" fontId="15" fillId="10" borderId="1" xfId="14" applyFont="1" applyBorder="1" applyAlignment="1">
      <alignment horizontal="center" vertical="center"/>
    </xf>
    <xf numFmtId="0" fontId="14" fillId="0" borderId="1" xfId="0" applyFont="1" applyBorder="1"/>
    <xf numFmtId="0" fontId="15" fillId="10" borderId="1" xfId="14" applyFont="1" applyBorder="1" applyAlignment="1">
      <alignment horizontal="center" vertical="center" wrapText="1"/>
    </xf>
    <xf numFmtId="1" fontId="3" fillId="0" borderId="0" xfId="1" applyNumberFormat="1"/>
    <xf numFmtId="0" fontId="17" fillId="0" borderId="1" xfId="1" applyFont="1" applyBorder="1" applyAlignment="1">
      <alignment horizontal="center" vertical="center"/>
    </xf>
    <xf numFmtId="164" fontId="17" fillId="0" borderId="1" xfId="6" applyFont="1" applyBorder="1" applyAlignment="1">
      <alignment horizontal="center" vertical="center"/>
    </xf>
    <xf numFmtId="0" fontId="17" fillId="0" borderId="1" xfId="1" applyFont="1" applyBorder="1"/>
    <xf numFmtId="0" fontId="17" fillId="0" borderId="1" xfId="1" applyFont="1" applyBorder="1" applyAlignment="1">
      <alignment horizontal="center"/>
    </xf>
    <xf numFmtId="0" fontId="18" fillId="3" borderId="1" xfId="8" applyFont="1" applyBorder="1" applyAlignment="1">
      <alignment horizontal="center" vertical="center"/>
    </xf>
    <xf numFmtId="0" fontId="19" fillId="9" borderId="1" xfId="0" applyFont="1" applyFill="1" applyBorder="1"/>
    <xf numFmtId="0" fontId="20" fillId="0" borderId="1" xfId="0" applyFont="1" applyBorder="1"/>
    <xf numFmtId="0" fontId="11" fillId="2" borderId="0" xfId="7" applyAlignment="1">
      <alignment horizontal="left" vertical="center"/>
    </xf>
    <xf numFmtId="0" fontId="11" fillId="2" borderId="0" xfId="7" applyAlignment="1">
      <alignment horizontal="right" vertical="center"/>
    </xf>
    <xf numFmtId="0" fontId="13" fillId="0" borderId="0" xfId="0" applyFont="1" applyAlignment="1">
      <alignment horizontal="center"/>
    </xf>
    <xf numFmtId="0" fontId="16" fillId="0" borderId="13" xfId="1" applyFont="1" applyBorder="1" applyAlignment="1">
      <alignment horizontal="center" vertical="center"/>
    </xf>
    <xf numFmtId="0" fontId="16" fillId="0" borderId="14" xfId="1" applyFont="1" applyBorder="1" applyAlignment="1">
      <alignment horizontal="center" vertical="center"/>
    </xf>
    <xf numFmtId="0" fontId="16" fillId="0" borderId="13" xfId="1" applyFont="1" applyBorder="1" applyAlignment="1">
      <alignment horizontal="center" vertical="center" wrapText="1"/>
    </xf>
    <xf numFmtId="0" fontId="16" fillId="0" borderId="14" xfId="1" applyFont="1" applyBorder="1" applyAlignment="1">
      <alignment horizontal="center" vertical="center" wrapText="1"/>
    </xf>
    <xf numFmtId="0" fontId="1" fillId="7" borderId="0" xfId="12" applyAlignment="1">
      <alignment horizontal="center"/>
    </xf>
  </cellXfs>
  <cellStyles count="15">
    <cellStyle name="20% - Accent2" xfId="11" builtinId="34"/>
    <cellStyle name="20% - Accent5" xfId="10" builtinId="46"/>
    <cellStyle name="20% - Accent6" xfId="13" builtinId="50"/>
    <cellStyle name="40% - Accent3" xfId="9" builtinId="39"/>
    <cellStyle name="60% - Accent3" xfId="12" builtinId="40"/>
    <cellStyle name="Accent1" xfId="7" builtinId="29"/>
    <cellStyle name="Accent2" xfId="14" builtinId="33"/>
    <cellStyle name="Accent5" xfId="8" builtinId="45"/>
    <cellStyle name="Currency" xfId="6" builtinId="4"/>
    <cellStyle name="Normal" xfId="0" builtinId="0"/>
    <cellStyle name="Normal 2" xfId="5" xr:uid="{00000000-0005-0000-0000-000000000000}"/>
    <cellStyle name="Normal 4" xfId="4" xr:uid="{00000000-0005-0000-0000-000001000000}"/>
    <cellStyle name="Обычный 2" xfId="1" xr:uid="{00000000-0005-0000-0000-000004000000}"/>
    <cellStyle name="Обычный 2 2" xfId="3" xr:uid="{00000000-0005-0000-0000-000005000000}"/>
    <cellStyle name="Финансовый [0] 2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microsoft.com/office/2011/relationships/chartColorStyle" Target="colors3.xml"/><Relationship Id="rId1" Type="http://schemas.microsoft.com/office/2011/relationships/chartStyle" Target="style3.xml"/><Relationship Id="rId4" Type="http://schemas.openxmlformats.org/officeDocument/2006/relationships/image" Target="../media/image2.jpg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Графики функций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'Графики '!$B$8</c:f>
              <c:strCache>
                <c:ptCount val="1"/>
                <c:pt idx="0">
                  <c:v>y₁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'Графики '!$A$9:$A$19</c:f>
              <c:numCache>
                <c:formatCode>General</c:formatCod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'Графики '!$B$9:$B$19</c:f>
              <c:numCache>
                <c:formatCode>0.00</c:formatCode>
                <c:ptCount val="11"/>
                <c:pt idx="0">
                  <c:v>0.54402111088936977</c:v>
                </c:pt>
                <c:pt idx="1">
                  <c:v>-0.98935824662338179</c:v>
                </c:pt>
                <c:pt idx="2">
                  <c:v>0.27941549819892586</c:v>
                </c:pt>
                <c:pt idx="3">
                  <c:v>0.7568024953079282</c:v>
                </c:pt>
                <c:pt idx="4">
                  <c:v>-0.90929742682568171</c:v>
                </c:pt>
                <c:pt idx="5">
                  <c:v>0</c:v>
                </c:pt>
                <c:pt idx="6">
                  <c:v>0.90929742682568171</c:v>
                </c:pt>
                <c:pt idx="7">
                  <c:v>-0.7568024953079282</c:v>
                </c:pt>
                <c:pt idx="8">
                  <c:v>-0.27941549819892586</c:v>
                </c:pt>
                <c:pt idx="9">
                  <c:v>0.98935824662338179</c:v>
                </c:pt>
                <c:pt idx="10">
                  <c:v>-0.54402111088936977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AA-407E-A308-05467D4D2C9E}"/>
            </c:ext>
          </c:extLst>
        </c:ser>
        <c:ser>
          <c:idx val="1"/>
          <c:order val="1"/>
          <c:tx>
            <c:strRef>
              <c:f>'Графики '!$C$8</c:f>
              <c:strCache>
                <c:ptCount val="1"/>
                <c:pt idx="0">
                  <c:v>y₂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'Графики '!$A$9:$A$19</c:f>
              <c:numCache>
                <c:formatCode>General</c:formatCod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'Графики '!$C$9:$C$19</c:f>
              <c:numCache>
                <c:formatCode>0.00</c:formatCode>
                <c:ptCount val="11"/>
                <c:pt idx="0">
                  <c:v>0.56732437092645249</c:v>
                </c:pt>
                <c:pt idx="1">
                  <c:v>-1.3072872417272239</c:v>
                </c:pt>
                <c:pt idx="2">
                  <c:v>-1.9799849932008908</c:v>
                </c:pt>
                <c:pt idx="3">
                  <c:v>-0.83229367309428481</c:v>
                </c:pt>
                <c:pt idx="4">
                  <c:v>1.0806046117362795</c:v>
                </c:pt>
                <c:pt idx="5">
                  <c:v>2</c:v>
                </c:pt>
                <c:pt idx="6">
                  <c:v>1.0806046117362795</c:v>
                </c:pt>
                <c:pt idx="7">
                  <c:v>-0.83229367309428481</c:v>
                </c:pt>
                <c:pt idx="8">
                  <c:v>-1.9799849932008908</c:v>
                </c:pt>
                <c:pt idx="9">
                  <c:v>-1.3072872417272239</c:v>
                </c:pt>
                <c:pt idx="10">
                  <c:v>0.56732437092645249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AA-407E-A308-05467D4D2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033999"/>
        <c:axId val="507030639"/>
      </c:scatterChart>
      <c:valAx>
        <c:axId val="50703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/>
                  <a:t>Ось </a:t>
                </a:r>
                <a:r>
                  <a:rPr lang="en-ID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030639"/>
        <c:crosses val="autoZero"/>
        <c:crossBetween val="midCat"/>
      </c:valAx>
      <c:valAx>
        <c:axId val="50703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/>
                  <a:t>Ось </a:t>
                </a:r>
                <a:r>
                  <a:rPr lang="en-ID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033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 sz="1400" b="0" i="0" u="none" strike="noStrike" baseline="0"/>
              <a:t>Размер пенсии и пенсионный возраст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'Комбинированная диаграмма'!$C$4</c:f>
              <c:strCache>
                <c:ptCount val="1"/>
                <c:pt idx="0">
                  <c:v>Размер пенсии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'Комбинированная диаграмма'!$B$5:$B$11</c:f>
              <c:strCache>
                <c:ptCount val="7"/>
                <c:pt idx="1">
                  <c:v>Франция</c:v>
                </c:pt>
                <c:pt idx="2">
                  <c:v>Германия</c:v>
                </c:pt>
                <c:pt idx="3">
                  <c:v>CША</c:v>
                </c:pt>
                <c:pt idx="4">
                  <c:v>Англия</c:v>
                </c:pt>
                <c:pt idx="5">
                  <c:v>Китай</c:v>
                </c:pt>
                <c:pt idx="6">
                  <c:v>Россия</c:v>
                </c:pt>
              </c:strCache>
            </c:strRef>
          </c:cat>
          <c:val>
            <c:numRef>
              <c:f>'Комбинированная диаграмма'!$C$5:$C$11</c:f>
              <c:numCache>
                <c:formatCode>_-* #,##0.00\ "₽"_-;\-* #,##0.00\ "₽"_-;_-* "-"??\ "₽"_-;_-@_-</c:formatCode>
                <c:ptCount val="7"/>
                <c:pt idx="1">
                  <c:v>42730</c:v>
                </c:pt>
                <c:pt idx="2">
                  <c:v>34613</c:v>
                </c:pt>
                <c:pt idx="3">
                  <c:v>24765</c:v>
                </c:pt>
                <c:pt idx="4">
                  <c:v>46132</c:v>
                </c:pt>
                <c:pt idx="5">
                  <c:v>19873</c:v>
                </c:pt>
                <c:pt idx="6">
                  <c:v>15847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C4-42A8-A943-C48081CB3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7070479"/>
        <c:axId val="507054159"/>
      </c:barChart>
      <c:lineChart>
        <c:grouping val="standard"/>
        <c:varyColors val="0"/>
        <c:ser>
          <c:idx val="1"/>
          <c:order val="1"/>
          <c:tx>
            <c:strRef>
              <c:f>'Комбинированная диаграмма'!$D$4</c:f>
              <c:strCache>
                <c:ptCount val="1"/>
                <c:pt idx="0">
                  <c:v>Пенсионный возраст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'Комбинированная диаграмма'!$B$5:$B$11</c:f>
              <c:strCache>
                <c:ptCount val="7"/>
                <c:pt idx="1">
                  <c:v>Франция</c:v>
                </c:pt>
                <c:pt idx="2">
                  <c:v>Германия</c:v>
                </c:pt>
                <c:pt idx="3">
                  <c:v>CША</c:v>
                </c:pt>
                <c:pt idx="4">
                  <c:v>Англия</c:v>
                </c:pt>
                <c:pt idx="5">
                  <c:v>Китай</c:v>
                </c:pt>
                <c:pt idx="6">
                  <c:v>Россия</c:v>
                </c:pt>
              </c:strCache>
            </c:strRef>
          </c:cat>
          <c:val>
            <c:numRef>
              <c:f>'Комбинированная диаграмма'!$D$5:$D$11</c:f>
              <c:numCache>
                <c:formatCode>General</c:formatCode>
                <c:ptCount val="7"/>
                <c:pt idx="1">
                  <c:v>60</c:v>
                </c:pt>
                <c:pt idx="2">
                  <c:v>65</c:v>
                </c:pt>
                <c:pt idx="3">
                  <c:v>67</c:v>
                </c:pt>
                <c:pt idx="4">
                  <c:v>65</c:v>
                </c:pt>
                <c:pt idx="5">
                  <c:v>65</c:v>
                </c:pt>
                <c:pt idx="6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C4-42A8-A943-C48081CB3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7061359"/>
        <c:axId val="507055119"/>
      </c:lineChart>
      <c:catAx>
        <c:axId val="507070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 sz="1000" b="0" i="0" u="none" strike="noStrike" baseline="0"/>
                  <a:t>Страна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054159"/>
        <c:crosses val="autoZero"/>
        <c:auto val="1"/>
        <c:lblAlgn val="ctr"/>
        <c:lblOffset val="100"/>
        <c:noMultiLvlLbl val="0"/>
      </c:catAx>
      <c:valAx>
        <c:axId val="50705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 sz="1000" b="0" i="0" u="none" strike="noStrike" baseline="0"/>
                  <a:t>Размер пенсии, руб.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070479"/>
        <c:crosses val="autoZero"/>
        <c:crossBetween val="between"/>
      </c:valAx>
      <c:valAx>
        <c:axId val="50705511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 sz="1000" b="0" i="0" u="none" strike="noStrike" baseline="0"/>
                  <a:t>Возраст выхода на пенсию, лет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061359"/>
        <c:crosses val="max"/>
        <c:crossBetween val="between"/>
      </c:valAx>
      <c:catAx>
        <c:axId val="5070613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070551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 sz="1400" b="0" i="0" u="none" strike="noStrike" baseline="0"/>
              <a:t>Продажи товаров по регионам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'Диаграмма с рис. '!$C$3</c:f>
              <c:strCache>
                <c:ptCount val="1"/>
                <c:pt idx="0">
                  <c:v>Хлеб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'Диаграмма с рис. '!$B$4:$B$8</c:f>
              <c:strCache>
                <c:ptCount val="5"/>
                <c:pt idx="0">
                  <c:v>Москва</c:v>
                </c:pt>
                <c:pt idx="1">
                  <c:v>Санкт-Петербург</c:v>
                </c:pt>
                <c:pt idx="2">
                  <c:v>Казань</c:v>
                </c:pt>
                <c:pt idx="3">
                  <c:v>Екатеринбург</c:v>
                </c:pt>
                <c:pt idx="4">
                  <c:v>Новосибирск</c:v>
                </c:pt>
              </c:strCache>
            </c:strRef>
          </c:cat>
          <c:val>
            <c:numRef>
              <c:f>'Диаграмма с рис. '!$C$4:$C$8</c:f>
              <c:numCache>
                <c:formatCode>General</c:formatCode>
                <c:ptCount val="5"/>
                <c:pt idx="0">
                  <c:v>1890</c:v>
                </c:pt>
                <c:pt idx="1">
                  <c:v>1900</c:v>
                </c:pt>
                <c:pt idx="2">
                  <c:v>1100</c:v>
                </c:pt>
                <c:pt idx="3">
                  <c:v>1660</c:v>
                </c:pt>
                <c:pt idx="4">
                  <c:v>1190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B8-4199-AE89-FE54BCDF4D86}"/>
            </c:ext>
          </c:extLst>
        </c:ser>
        <c:ser>
          <c:idx val="1"/>
          <c:order val="1"/>
          <c:tx>
            <c:strRef>
              <c:f>'Диаграмма с рис. '!$D$3</c:f>
              <c:strCache>
                <c:ptCount val="1"/>
                <c:pt idx="0">
                  <c:v>Молоко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'Диаграмма с рис. '!$B$4:$B$8</c:f>
              <c:strCache>
                <c:ptCount val="5"/>
                <c:pt idx="0">
                  <c:v>Москва</c:v>
                </c:pt>
                <c:pt idx="1">
                  <c:v>Санкт-Петербург</c:v>
                </c:pt>
                <c:pt idx="2">
                  <c:v>Казань</c:v>
                </c:pt>
                <c:pt idx="3">
                  <c:v>Екатеринбург</c:v>
                </c:pt>
                <c:pt idx="4">
                  <c:v>Новосибирск</c:v>
                </c:pt>
              </c:strCache>
            </c:strRef>
          </c:cat>
          <c:val>
            <c:numRef>
              <c:f>'Диаграмма с рис. '!$D$4:$D$8</c:f>
              <c:numCache>
                <c:formatCode>General</c:formatCode>
                <c:ptCount val="5"/>
                <c:pt idx="0">
                  <c:v>1000</c:v>
                </c:pt>
                <c:pt idx="1">
                  <c:v>1020</c:v>
                </c:pt>
                <c:pt idx="2">
                  <c:v>1180</c:v>
                </c:pt>
                <c:pt idx="3">
                  <c:v>1910</c:v>
                </c:pt>
                <c:pt idx="4">
                  <c:v>1880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B8-4199-AE89-FE54BCDF4D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4017791"/>
        <c:axId val="414012511"/>
      </c:barChart>
      <c:catAx>
        <c:axId val="414017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 sz="1000" b="0" i="0" u="none" strike="noStrike" baseline="0"/>
                  <a:t>Регионы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012511"/>
        <c:crosses val="autoZero"/>
        <c:auto val="1"/>
        <c:lblAlgn val="ctr"/>
        <c:lblOffset val="100"/>
        <c:noMultiLvlLbl val="0"/>
      </c:catAx>
      <c:valAx>
        <c:axId val="41401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 sz="1000" b="0" i="0" u="none" strike="noStrike" baseline="0"/>
                  <a:t>Объем продаж (шт.)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017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 sz="1800" b="1" i="0" u="none" strike="noStrike" baseline="0"/>
              <a:t>Доли продаж производителей</a:t>
            </a:r>
            <a:endParaRPr lang="az-Cyrl-A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z-Cyrl-AZ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'Круговая диаграмма'!$C$5</c:f>
              <c:strCache>
                <c:ptCount val="1"/>
                <c:pt idx="0">
                  <c:v>Продано, шт. </c:v>
                </c:pt>
              </c:strCache>
            </c:strRef>
          </c:tx>
          <c:dPt>
            <c:idx val="0"/>
            <c:bubble3D val="0"/>
            <c:explosion val="15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B4B-48DB-81D8-0230F2B175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724-4694-AC43-F39422D8E6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724-4694-AC43-F39422D8E6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724-4694-AC43-F39422D8E6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724-4694-AC43-F39422D8E67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724-4694-AC43-F39422D8E67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724-4694-AC43-F39422D8E67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724-4694-AC43-F39422D8E67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724-4694-AC43-F39422D8E67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1724-4694-AC43-F39422D8E67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1724-4694-AC43-F39422D8E67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'Круговая диаграмма'!$B$6:$B$16</c:f>
              <c:strCache>
                <c:ptCount val="11"/>
                <c:pt idx="0">
                  <c:v>Bosch</c:v>
                </c:pt>
                <c:pt idx="1">
                  <c:v>Braun</c:v>
                </c:pt>
                <c:pt idx="2">
                  <c:v>Phillips</c:v>
                </c:pt>
                <c:pt idx="3">
                  <c:v>Delonghi</c:v>
                </c:pt>
                <c:pt idx="4">
                  <c:v>Samsung</c:v>
                </c:pt>
                <c:pt idx="5">
                  <c:v>LG</c:v>
                </c:pt>
                <c:pt idx="6">
                  <c:v>Tefal</c:v>
                </c:pt>
                <c:pt idx="7">
                  <c:v>Moulinex</c:v>
                </c:pt>
                <c:pt idx="8">
                  <c:v>Хiaomi</c:v>
                </c:pt>
                <c:pt idx="9">
                  <c:v>Lenovo</c:v>
                </c:pt>
                <c:pt idx="10">
                  <c:v>Huawei</c:v>
                </c:pt>
              </c:strCache>
            </c:strRef>
          </c:cat>
          <c:val>
            <c:numRef>
              <c:f>'Круговая диаграмма'!$C$6:$C$16</c:f>
              <c:numCache>
                <c:formatCode>General</c:formatCode>
                <c:ptCount val="11"/>
                <c:pt idx="0">
                  <c:v>1680</c:v>
                </c:pt>
                <c:pt idx="1">
                  <c:v>1057</c:v>
                </c:pt>
                <c:pt idx="2">
                  <c:v>1120</c:v>
                </c:pt>
                <c:pt idx="3">
                  <c:v>976</c:v>
                </c:pt>
                <c:pt idx="4">
                  <c:v>380</c:v>
                </c:pt>
                <c:pt idx="5">
                  <c:v>290</c:v>
                </c:pt>
                <c:pt idx="6">
                  <c:v>1098</c:v>
                </c:pt>
                <c:pt idx="7">
                  <c:v>1540</c:v>
                </c:pt>
                <c:pt idx="8">
                  <c:v>1765</c:v>
                </c:pt>
                <c:pt idx="9">
                  <c:v>1233</c:v>
                </c:pt>
                <c:pt idx="10">
                  <c:v>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B-48DB-81D8-0230F2B1756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Продажи по производителям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'Круговая диаграмма'!$C$5</c:f>
              <c:strCache>
                <c:ptCount val="1"/>
                <c:pt idx="0">
                  <c:v>Продано, шт. </c:v>
                </c:pt>
              </c:strCache>
            </c:strRef>
          </c:tx>
          <c:dPt>
            <c:idx val="0"/>
            <c:bubble3D val="0"/>
            <c:explosion val="19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432-44F2-8ED1-FAA3A8F806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38B-4781-AC63-2B41153FBAB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38B-4781-AC63-2B41153FBAB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38B-4781-AC63-2B41153FBAB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38B-4781-AC63-2B41153FBAB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38B-4781-AC63-2B41153FBAB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38B-4781-AC63-2B41153FBAB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38B-4781-AC63-2B41153FBAB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432-44F2-8ED1-FAA3A8F8065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38B-4781-AC63-2B41153FBAB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38B-4781-AC63-2B41153FBAB6}"/>
              </c:ext>
            </c:extLst>
          </c:dPt>
          <c:cat>
            <c:strRef>
              <c:f>'Круговая диаграмма'!$B$6:$B$16</c:f>
              <c:strCache>
                <c:ptCount val="11"/>
                <c:pt idx="0">
                  <c:v>Bosch</c:v>
                </c:pt>
                <c:pt idx="1">
                  <c:v>Braun</c:v>
                </c:pt>
                <c:pt idx="2">
                  <c:v>Phillips</c:v>
                </c:pt>
                <c:pt idx="3">
                  <c:v>Delonghi</c:v>
                </c:pt>
                <c:pt idx="4">
                  <c:v>Samsung</c:v>
                </c:pt>
                <c:pt idx="5">
                  <c:v>LG</c:v>
                </c:pt>
                <c:pt idx="6">
                  <c:v>Tefal</c:v>
                </c:pt>
                <c:pt idx="7">
                  <c:v>Moulinex</c:v>
                </c:pt>
                <c:pt idx="8">
                  <c:v>Хiaomi</c:v>
                </c:pt>
                <c:pt idx="9">
                  <c:v>Lenovo</c:v>
                </c:pt>
                <c:pt idx="10">
                  <c:v>Huawei</c:v>
                </c:pt>
              </c:strCache>
            </c:strRef>
          </c:cat>
          <c:val>
            <c:numRef>
              <c:f>'Круговая диаграмма'!$C$6:$C$16</c:f>
              <c:numCache>
                <c:formatCode>General</c:formatCode>
                <c:ptCount val="11"/>
                <c:pt idx="0">
                  <c:v>1680</c:v>
                </c:pt>
                <c:pt idx="1">
                  <c:v>1057</c:v>
                </c:pt>
                <c:pt idx="2">
                  <c:v>1120</c:v>
                </c:pt>
                <c:pt idx="3">
                  <c:v>976</c:v>
                </c:pt>
                <c:pt idx="4">
                  <c:v>380</c:v>
                </c:pt>
                <c:pt idx="5">
                  <c:v>290</c:v>
                </c:pt>
                <c:pt idx="6">
                  <c:v>1098</c:v>
                </c:pt>
                <c:pt idx="7">
                  <c:v>1540</c:v>
                </c:pt>
                <c:pt idx="8">
                  <c:v>1765</c:v>
                </c:pt>
                <c:pt idx="9">
                  <c:v>1233</c:v>
                </c:pt>
                <c:pt idx="10">
                  <c:v>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32-44F2-8ED1-FAA3A8F80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az-Cyrl-AZ"/>
              <a:t>Поступления за </a:t>
            </a:r>
            <a:r>
              <a:rPr lang="en-ID"/>
              <a:t>IV </a:t>
            </a:r>
            <a:r>
              <a:rPr lang="az-Cyrl-AZ"/>
              <a:t>квартал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waterfall" uniqueId="{D1CACDEF-28FA-4AAD-85CF-A0CD4B1C2CC8}">
          <cx:tx>
            <cx:txData>
              <cx:f>_xlchart.v1.1</cx:f>
              <cx:v>Поступления, тыс. руб. </cx:v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1"/>
            <cx:subtotals>
              <cx:idx val="11"/>
            </cx:subtotals>
          </cx:layoutPr>
        </cx:series>
      </cx:plotAreaRegion>
      <cx:axis id="0">
        <cx:catScaling gapWidth="0.5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az-Cyrl-AZ"/>
                  <a:t>виды поступлений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az-Cyrl-AZ"/>
                  <a:t>Сумма, тыс. руб.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rich>
          </cx:tx>
        </cx:title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az-Cyrl-AZ" sz="1800" b="0" i="0" u="none" strike="noStrike" cap="all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Поставки овощей/фруктов</a:t>
            </a:r>
            <a:r>
              <a:rPr lang="az-Cyrl-AZ">
                <a:effectLst/>
              </a:rPr>
              <a:t> </a:t>
            </a:r>
            <a:endParaRPr lang="en-US" sz="1800" b="1" i="0" u="none" strike="noStrike" cap="all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sunburst" uniqueId="{5E70845F-92C9-4BF9-A9C3-82A2E8ACA790}">
          <cx:tx>
            <cx:txData>
              <cx:f>_xlchart.v1.4</cx:f>
              <cx:v>Прибыль, тыс. руб. 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az-Cyrl-AZ" sz="1800" b="0" i="0" u="none" strike="noStrike" cap="all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Поставки овощей/фруктов</a:t>
            </a:r>
            <a:r>
              <a:rPr lang="az-Cyrl-AZ">
                <a:effectLst/>
              </a:rPr>
              <a:t> </a:t>
            </a:r>
            <a:endParaRPr lang="en-US" sz="1800" b="1" i="0" u="none" strike="noStrike" cap="all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treemap" uniqueId="{48B73BF7-B958-4376-A321-7AB9129C7182}">
          <cx:tx>
            <cx:txData>
              <cx:f>_xlchart.v1.7</cx:f>
              <cx:v>Прибыль, тыс. руб. 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8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18">
  <cs:axisTitle>
    <cs:lnRef idx="0"/>
    <cs:fillRef idx="0"/>
    <cs:effectRef idx="0"/>
    <cs:fontRef idx="minor">
      <a:schemeClr val="tx1">
        <a:lumMod val="50000"/>
        <a:lumOff val="50000"/>
      </a:schemeClr>
    </cs:fontRef>
    <cs:spPr>
      <a:solidFill>
        <a:schemeClr val="bg1">
          <a:lumMod val="8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7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39077</xdr:colOff>
      <xdr:row>12</xdr:row>
      <xdr:rowOff>58614</xdr:rowOff>
    </xdr:from>
    <xdr:to>
      <xdr:col>14</xdr:col>
      <xdr:colOff>117231</xdr:colOff>
      <xdr:row>19</xdr:row>
      <xdr:rowOff>152399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099B908F-CCEA-0BF9-1D4C-C9B3776082F7}"/>
            </a:ext>
          </a:extLst>
        </xdr:cNvPr>
        <xdr:cNvSpPr/>
      </xdr:nvSpPr>
      <xdr:spPr>
        <a:xfrm>
          <a:off x="39077" y="2776414"/>
          <a:ext cx="6605954" cy="142728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Задание:</a:t>
          </a:r>
          <a:br>
            <a:rPr lang="ru-RU" sz="1200">
              <a:solidFill>
                <a:schemeClr val="tx1"/>
              </a:solidFill>
            </a:rPr>
          </a:br>
          <a: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Вставьте спарклайны двух разных типов:</a:t>
          </a:r>
          <a:br>
            <a:rPr lang="ru-RU" sz="1200">
              <a:solidFill>
                <a:schemeClr val="tx1"/>
              </a:solidFill>
            </a:rPr>
          </a:br>
          <a: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– Для каждого менеджера в столбец </a:t>
          </a:r>
          <a:r>
            <a:rPr lang="en" sz="12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en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(</a:t>
          </a:r>
          <a:r>
            <a:rPr lang="ru-RU" sz="1200" b="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Динамика по менеджерам</a:t>
          </a:r>
          <a: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вставьте спарклайн типа </a:t>
          </a:r>
          <a:r>
            <a:rPr lang="ru-RU" sz="12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График</a:t>
          </a:r>
          <a: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используя данные по месяцам соответствующей строки</a:t>
          </a:r>
          <a:r>
            <a:rPr lang="en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br>
            <a:rPr lang="en" sz="1200">
              <a:solidFill>
                <a:schemeClr val="tx1"/>
              </a:solidFill>
            </a:rPr>
          </a:br>
          <a:r>
            <a:rPr lang="en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– </a:t>
          </a:r>
          <a: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Для каждого месяца (столбцы </a:t>
          </a:r>
          <a:r>
            <a:rPr lang="en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B–M) </a:t>
          </a:r>
          <a: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в строку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200" b="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Динамика по отделу </a:t>
          </a:r>
          <a: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вставьте спарклайн типа </a:t>
          </a:r>
          <a:r>
            <a:rPr lang="ru-RU" sz="12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Гистограмма</a:t>
          </a:r>
          <a: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используя данные всех менеджеров за этот месяц.</a:t>
          </a:r>
          <a:endParaRPr lang="en-US" sz="12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Добавьте</a:t>
          </a:r>
          <a:r>
            <a:rPr lang="ru-RU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точки минимума и максимума. </a:t>
          </a:r>
          <a:br>
            <a:rPr lang="ru-RU">
              <a:solidFill>
                <a:schemeClr val="tx1"/>
              </a:solidFill>
            </a:rPr>
          </a:br>
          <a:endParaRPr lang="ru-RU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88900</xdr:rowOff>
    </xdr:from>
    <xdr:to>
      <xdr:col>10</xdr:col>
      <xdr:colOff>292100</xdr:colOff>
      <xdr:row>5</xdr:row>
      <xdr:rowOff>127000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8C8E188D-6CF3-8848-A6B2-68E9A70E2BDF}"/>
            </a:ext>
          </a:extLst>
        </xdr:cNvPr>
        <xdr:cNvSpPr/>
      </xdr:nvSpPr>
      <xdr:spPr>
        <a:xfrm>
          <a:off x="76200" y="88900"/>
          <a:ext cx="7200900" cy="9906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ru-RU" sz="12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Задание:</a:t>
          </a:r>
          <a:b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Постройте на одной диаграмме графики функций </a:t>
          </a:r>
          <a:r>
            <a:rPr lang="en" sz="12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y₁ = sin(2x)</a:t>
          </a:r>
          <a:r>
            <a:rPr lang="en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 </a:t>
          </a:r>
          <a:r>
            <a:rPr lang="en" sz="12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y₂ = 2cos(x)</a:t>
          </a:r>
          <a:r>
            <a:rPr lang="en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Используйте</a:t>
          </a:r>
          <a:r>
            <a:rPr lang="ru-RU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2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точечную диаграмму с гладкими кривыми</a:t>
          </a:r>
          <a: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Добавьте легенду, подписи осей и заголовок.</a:t>
          </a:r>
        </a:p>
        <a:p>
          <a:pPr algn="l"/>
          <a:br>
            <a:rPr lang="ru-RU">
              <a:solidFill>
                <a:schemeClr val="tx1"/>
              </a:solidFill>
            </a:rPr>
          </a:br>
          <a:endParaRPr lang="ru-RU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155575</xdr:colOff>
      <xdr:row>6</xdr:row>
      <xdr:rowOff>234950</xdr:rowOff>
    </xdr:from>
    <xdr:to>
      <xdr:col>10</xdr:col>
      <xdr:colOff>238125</xdr:colOff>
      <xdr:row>23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3F3ABB-0E7C-0996-203D-72D95BD663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660400</xdr:colOff>
      <xdr:row>3</xdr:row>
      <xdr:rowOff>241300</xdr:rowOff>
    </xdr:from>
    <xdr:to>
      <xdr:col>15</xdr:col>
      <xdr:colOff>177800</xdr:colOff>
      <xdr:row>8</xdr:row>
      <xdr:rowOff>177800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687FF63D-2534-D445-849C-23A6EA36DC5F}"/>
            </a:ext>
          </a:extLst>
        </xdr:cNvPr>
        <xdr:cNvSpPr/>
      </xdr:nvSpPr>
      <xdr:spPr>
        <a:xfrm>
          <a:off x="4000500" y="812800"/>
          <a:ext cx="7200900" cy="12446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ru-RU" sz="12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Задание:</a:t>
          </a:r>
          <a:br>
            <a:rPr lang="ru-RU" sz="1200">
              <a:solidFill>
                <a:schemeClr val="tx1"/>
              </a:solidFill>
            </a:rPr>
          </a:br>
          <a: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Постройте комбинированную диаграмму для данных о пенсиях </a:t>
          </a:r>
          <a:endParaRPr lang="en-US" sz="12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– </a:t>
          </a:r>
          <a: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Для ряда </a:t>
          </a:r>
          <a:r>
            <a:rPr lang="ru-RU" sz="12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Размер пенсии</a:t>
          </a:r>
          <a: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используйте тип </a:t>
          </a:r>
          <a:r>
            <a:rPr lang="ru-RU" sz="12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гистограмма </a:t>
          </a:r>
          <a: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(по основной оси).</a:t>
          </a:r>
          <a:br>
            <a:rPr lang="ru-RU" sz="1200">
              <a:solidFill>
                <a:schemeClr val="tx1"/>
              </a:solidFill>
            </a:rPr>
          </a:br>
          <a: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– Для ряда </a:t>
          </a:r>
          <a:r>
            <a:rPr lang="ru-RU" sz="12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Пенсионный возраст</a:t>
          </a:r>
          <a: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используйте тип </a:t>
          </a:r>
          <a:r>
            <a:rPr lang="ru-RU" sz="12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график</a:t>
          </a:r>
          <a: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(по вспомогательной оси).</a:t>
          </a:r>
          <a:endParaRPr lang="en-US" sz="12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Добавьте легенду, подписи осей и заголовок.</a:t>
          </a:r>
        </a:p>
      </xdr:txBody>
    </xdr:sp>
    <xdr:clientData/>
  </xdr:twoCellAnchor>
  <xdr:twoCellAnchor>
    <xdr:from>
      <xdr:col>5</xdr:col>
      <xdr:colOff>9114</xdr:colOff>
      <xdr:row>9</xdr:row>
      <xdr:rowOff>106207</xdr:rowOff>
    </xdr:from>
    <xdr:to>
      <xdr:col>12</xdr:col>
      <xdr:colOff>97462</xdr:colOff>
      <xdr:row>26</xdr:row>
      <xdr:rowOff>52201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757727-F291-1914-213D-D5141BCBD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444500</xdr:colOff>
      <xdr:row>1</xdr:row>
      <xdr:rowOff>139700</xdr:rowOff>
    </xdr:from>
    <xdr:to>
      <xdr:col>15</xdr:col>
      <xdr:colOff>152400</xdr:colOff>
      <xdr:row>9</xdr:row>
      <xdr:rowOff>38100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9BE0854E-A797-6D40-BD45-ECD03E65D720}"/>
            </a:ext>
          </a:extLst>
        </xdr:cNvPr>
        <xdr:cNvSpPr/>
      </xdr:nvSpPr>
      <xdr:spPr>
        <a:xfrm>
          <a:off x="3238500" y="304800"/>
          <a:ext cx="7391400" cy="14478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ru-RU" sz="12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Задание:</a:t>
          </a:r>
          <a:b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Постройте гистограмму с группировкой, где столбцы заполнены рисунками соответствующих товаров.</a:t>
          </a:r>
        </a:p>
        <a:p>
          <a: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Переименуйте </a:t>
          </a:r>
          <a:r>
            <a:rPr lang="ru-RU" sz="1200" b="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Товар 1</a:t>
          </a:r>
          <a: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и </a:t>
          </a:r>
          <a:r>
            <a:rPr lang="ru-RU" sz="1200" b="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Товар 2</a:t>
          </a:r>
          <a: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 конкретные названия.</a:t>
          </a:r>
        </a:p>
        <a:p>
          <a: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Переименуйте регионы.</a:t>
          </a:r>
        </a:p>
        <a:p>
          <a: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Постройте</a:t>
          </a:r>
          <a:r>
            <a:rPr lang="ru-RU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2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гистограмму с группировкой</a:t>
          </a:r>
          <a: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Для каждого ряда данных товаров замените заливку на рисунок</a:t>
          </a:r>
          <a:b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Добавьте подписи данных и легенду.</a:t>
          </a:r>
        </a:p>
      </xdr:txBody>
    </xdr:sp>
    <xdr:clientData/>
  </xdr:twoCellAnchor>
  <xdr:twoCellAnchor>
    <xdr:from>
      <xdr:col>4</xdr:col>
      <xdr:colOff>448174</xdr:colOff>
      <xdr:row>10</xdr:row>
      <xdr:rowOff>66334</xdr:rowOff>
    </xdr:from>
    <xdr:to>
      <xdr:col>11</xdr:col>
      <xdr:colOff>538438</xdr:colOff>
      <xdr:row>27</xdr:row>
      <xdr:rowOff>133088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0C810A-AA5D-DAA6-9B30-9920F464AB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406400</xdr:colOff>
      <xdr:row>4</xdr:row>
      <xdr:rowOff>38100</xdr:rowOff>
    </xdr:from>
    <xdr:to>
      <xdr:col>10</xdr:col>
      <xdr:colOff>660400</xdr:colOff>
      <xdr:row>11</xdr:row>
      <xdr:rowOff>25400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017D9B23-8AD6-1145-B2A6-9DF19621F9A8}"/>
            </a:ext>
          </a:extLst>
        </xdr:cNvPr>
        <xdr:cNvSpPr/>
      </xdr:nvSpPr>
      <xdr:spPr>
        <a:xfrm>
          <a:off x="4203700" y="698500"/>
          <a:ext cx="6832600" cy="14097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ru-RU" sz="12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Задание:</a:t>
          </a:r>
          <a:br>
            <a:rPr lang="ru-RU" sz="1200">
              <a:solidFill>
                <a:schemeClr val="tx1"/>
              </a:solidFill>
            </a:rPr>
          </a:br>
          <a: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Постройте </a:t>
          </a:r>
          <a:r>
            <a:rPr lang="ru-RU" sz="12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два варианта круговых диаграмм</a:t>
          </a:r>
          <a: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по данным о продажах производителей</a:t>
          </a:r>
          <a:r>
            <a:rPr lang="en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br>
            <a:rPr lang="en" sz="1200">
              <a:solidFill>
                <a:schemeClr val="tx1"/>
              </a:solidFill>
            </a:rPr>
          </a:br>
          <a:r>
            <a:rPr lang="en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– </a:t>
          </a:r>
          <a: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Первая диаграмма: обычная </a:t>
          </a:r>
          <a:r>
            <a:rPr lang="ru-RU" sz="12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плоская круговая</a:t>
          </a:r>
          <a: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с подписями долей.</a:t>
          </a:r>
          <a:br>
            <a:rPr lang="ru-RU" sz="1200">
              <a:solidFill>
                <a:schemeClr val="tx1"/>
              </a:solidFill>
            </a:rPr>
          </a:br>
          <a: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– Вторая диаграмма: </a:t>
          </a:r>
          <a:r>
            <a:rPr lang="ru-RU" sz="12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кольцевая</a:t>
          </a:r>
          <a: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(или объемная круговая) с подписями категорий.</a:t>
          </a:r>
          <a:br>
            <a:rPr lang="ru-RU" sz="1200">
              <a:solidFill>
                <a:schemeClr val="tx1"/>
              </a:solidFill>
            </a:rPr>
          </a:br>
          <a:r>
            <a:rPr lang="ru-RU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Для каждой диаграммы настройте заголовок и легенду. При желании выделите отдельные сектора.</a:t>
          </a:r>
        </a:p>
      </xdr:txBody>
    </xdr:sp>
    <xdr:clientData/>
  </xdr:twoCellAnchor>
  <xdr:twoCellAnchor>
    <xdr:from>
      <xdr:col>3</xdr:col>
      <xdr:colOff>428625</xdr:colOff>
      <xdr:row>11</xdr:row>
      <xdr:rowOff>139700</xdr:rowOff>
    </xdr:from>
    <xdr:to>
      <xdr:col>8</xdr:col>
      <xdr:colOff>250825</xdr:colOff>
      <xdr:row>27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A8F01B-FC5C-F525-EF82-0431D75BCC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358775</xdr:colOff>
      <xdr:row>11</xdr:row>
      <xdr:rowOff>152400</xdr:rowOff>
    </xdr:from>
    <xdr:to>
      <xdr:col>15</xdr:col>
      <xdr:colOff>441325</xdr:colOff>
      <xdr:row>28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EF7792-7A85-2D0A-9679-DD412325B9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368300</xdr:colOff>
      <xdr:row>2</xdr:row>
      <xdr:rowOff>76200</xdr:rowOff>
    </xdr:from>
    <xdr:to>
      <xdr:col>10</xdr:col>
      <xdr:colOff>596900</xdr:colOff>
      <xdr:row>6</xdr:row>
      <xdr:rowOff>101600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66F9323F-59C1-7F41-BD90-AC63C1D0BD91}"/>
            </a:ext>
          </a:extLst>
        </xdr:cNvPr>
        <xdr:cNvSpPr/>
      </xdr:nvSpPr>
      <xdr:spPr>
        <a:xfrm>
          <a:off x="6197600" y="469900"/>
          <a:ext cx="6832600" cy="787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ru-RU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Задание:</a:t>
          </a:r>
          <a:br>
            <a:rPr lang="ru-RU" sz="1200">
              <a:solidFill>
                <a:schemeClr val="tx1"/>
              </a:solidFill>
            </a:rPr>
          </a:br>
          <a:r>
            <a:rPr lang="ru-RU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Постройте </a:t>
          </a:r>
          <a:r>
            <a:rPr lang="ru-RU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каскадную диаграмму (водопад)</a:t>
          </a:r>
          <a:r>
            <a:rPr lang="ru-RU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для данных о поступлениях за </a:t>
          </a:r>
          <a:r>
            <a:rPr lang="e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IV </a:t>
          </a:r>
          <a:r>
            <a:rPr lang="ru-RU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квартал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ru-RU" sz="12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386183</xdr:colOff>
      <xdr:row>9</xdr:row>
      <xdr:rowOff>59212</xdr:rowOff>
    </xdr:from>
    <xdr:to>
      <xdr:col>9</xdr:col>
      <xdr:colOff>434188</xdr:colOff>
      <xdr:row>26</xdr:row>
      <xdr:rowOff>75982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CF8A9C14-FCA7-0A3F-16E2-6ADE10A87D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32883" y="1729262"/>
              <a:ext cx="5382005" cy="31600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241300</xdr:colOff>
      <xdr:row>3</xdr:row>
      <xdr:rowOff>0</xdr:rowOff>
    </xdr:from>
    <xdr:to>
      <xdr:col>12</xdr:col>
      <xdr:colOff>469900</xdr:colOff>
      <xdr:row>7</xdr:row>
      <xdr:rowOff>165100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80D21ABC-8E0C-2A49-B5F7-FFF15F827338}"/>
            </a:ext>
          </a:extLst>
        </xdr:cNvPr>
        <xdr:cNvSpPr/>
      </xdr:nvSpPr>
      <xdr:spPr>
        <a:xfrm>
          <a:off x="6616700" y="609600"/>
          <a:ext cx="6832600" cy="9906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ru-RU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Задание:</a:t>
          </a:r>
          <a:br>
            <a:rPr lang="ru-RU"/>
          </a:br>
          <a:r>
            <a:rPr lang="ru-RU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Постройте </a:t>
          </a:r>
          <a:r>
            <a:rPr lang="ru-RU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два типа иерархических диаграмм</a:t>
          </a:r>
          <a:r>
            <a:rPr lang="ru-RU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для данных о поставках овощей/фруктов </a:t>
          </a:r>
          <a:endParaRPr lang="en-US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– </a:t>
          </a:r>
          <a:r>
            <a:rPr lang="ru-RU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Первая диаграмма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ru-RU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Солнечные лучи</a:t>
          </a:r>
          <a:r>
            <a:rPr lang="ru-RU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(</a:t>
          </a:r>
          <a:r>
            <a:rPr lang="e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Sunburst).</a:t>
          </a:r>
          <a:br>
            <a:rPr lang="en">
              <a:solidFill>
                <a:schemeClr val="tx1"/>
              </a:solidFill>
            </a:rPr>
          </a:br>
          <a:r>
            <a:rPr lang="e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– </a:t>
          </a:r>
          <a:r>
            <a:rPr lang="ru-RU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Вторая диаграмма</a:t>
          </a:r>
          <a:r>
            <a:rPr lang="ru-RU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ru-RU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ru-RU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Древовидная</a:t>
          </a:r>
          <a:r>
            <a:rPr lang="ru-RU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(</a:t>
          </a:r>
          <a:r>
            <a:rPr lang="e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Treemap).</a:t>
          </a:r>
          <a:endParaRPr lang="ru-RU" sz="12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266700</xdr:colOff>
      <xdr:row>9</xdr:row>
      <xdr:rowOff>63500</xdr:rowOff>
    </xdr:from>
    <xdr:to>
      <xdr:col>12</xdr:col>
      <xdr:colOff>549275</xdr:colOff>
      <xdr:row>35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64CDF25-9CAA-11A3-4B51-78B46F6E64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15050" y="1847850"/>
              <a:ext cx="6378575" cy="4927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20</xdr:row>
      <xdr:rowOff>0</xdr:rowOff>
    </xdr:from>
    <xdr:to>
      <xdr:col>4</xdr:col>
      <xdr:colOff>50800</xdr:colOff>
      <xdr:row>40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364D5210-ED81-89A0-E329-1F9540F168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987800"/>
              <a:ext cx="5899150" cy="3854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K:/ANIMATE/SECURE/Production/2D_REPNew2.4.xls" TargetMode="External"/><Relationship Id="rId1" Type="http://schemas.openxmlformats.org/officeDocument/2006/relationships/externalLinkPath" Target="/K:/ANIMATE/SECURE/Production/2D_REPNew2.4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:/CAPERS/CAPRAPSCHED.xls" TargetMode="External"/><Relationship Id="rId1" Type="http://schemas.openxmlformats.org/officeDocument/2006/relationships/externalLinkPath" Target="/D:/CAPERS/CAPRAPSCHE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ST"/>
      <sheetName val="PRODUCTION REPORTS"/>
      <sheetName val="MASTER"/>
      <sheetName val="ANIMATION ONLY"/>
      <sheetName val="CONCEP-STREET"/>
      <sheetName val="ANIMATION COST FORECAST"/>
      <sheetName val="WEEKLY"/>
      <sheetName val="Sheet1"/>
      <sheetName val="EXTERNAL ANIMATION"/>
      <sheetName val="LMA"/>
    </sheetNames>
    <sheetDataSet>
      <sheetData sheetId="0"/>
      <sheetData sheetId="1"/>
      <sheetData sheetId="2" refreshError="1">
        <row r="18">
          <cell r="N18" t="str">
            <v>ENGINEERING</v>
          </cell>
          <cell r="Y18" t="str">
            <v>WK Count</v>
          </cell>
          <cell r="Z18" t="str">
            <v>Total Days</v>
          </cell>
        </row>
        <row r="20">
          <cell r="A20" t="str">
            <v>PREP</v>
          </cell>
          <cell r="F20" t="str">
            <v>ANIMATION</v>
          </cell>
          <cell r="I20" t="str">
            <v>INK &amp; PAINT</v>
          </cell>
          <cell r="L20" t="str">
            <v>ALPHA</v>
          </cell>
          <cell r="N20" t="str">
            <v>BETA</v>
          </cell>
          <cell r="P20" t="str">
            <v>RTM</v>
          </cell>
          <cell r="Y20">
            <v>11</v>
          </cell>
          <cell r="Z20">
            <v>77</v>
          </cell>
        </row>
        <row r="31">
          <cell r="A31" t="str">
            <v>Wks</v>
          </cell>
          <cell r="B31" t="str">
            <v>Days</v>
          </cell>
          <cell r="F31" t="str">
            <v>Wks</v>
          </cell>
          <cell r="G31" t="str">
            <v>Days</v>
          </cell>
          <cell r="H31" t="str">
            <v>Frames</v>
          </cell>
          <cell r="I31" t="str">
            <v>Wks</v>
          </cell>
          <cell r="J31" t="str">
            <v>Days</v>
          </cell>
          <cell r="Y31">
            <v>16</v>
          </cell>
          <cell r="Z31">
            <v>110</v>
          </cell>
        </row>
        <row r="32">
          <cell r="A32">
            <v>9</v>
          </cell>
          <cell r="B32">
            <v>77</v>
          </cell>
          <cell r="F32">
            <v>10</v>
          </cell>
          <cell r="G32">
            <v>110</v>
          </cell>
          <cell r="H32">
            <v>4500</v>
          </cell>
          <cell r="I32">
            <v>5</v>
          </cell>
          <cell r="J32">
            <v>49</v>
          </cell>
          <cell r="K32">
            <v>21</v>
          </cell>
          <cell r="M32">
            <v>29</v>
          </cell>
          <cell r="O32">
            <v>29</v>
          </cell>
          <cell r="Q32">
            <v>29</v>
          </cell>
          <cell r="Y32">
            <v>7</v>
          </cell>
          <cell r="Z32">
            <v>49</v>
          </cell>
        </row>
        <row r="45">
          <cell r="Y45">
            <v>154</v>
          </cell>
          <cell r="Z45">
            <v>35</v>
          </cell>
        </row>
        <row r="49">
          <cell r="N49" t="str">
            <v>ENGINEERING</v>
          </cell>
          <cell r="Y49" t="str">
            <v>WK Count</v>
          </cell>
          <cell r="Z49" t="str">
            <v>Total Days</v>
          </cell>
        </row>
        <row r="53">
          <cell r="A53" t="str">
            <v>PREP</v>
          </cell>
          <cell r="F53" t="str">
            <v>ANIMATION</v>
          </cell>
          <cell r="I53" t="str">
            <v>INK &amp; PAINT</v>
          </cell>
          <cell r="L53" t="str">
            <v>ALPHA</v>
          </cell>
          <cell r="N53" t="str">
            <v>BETA</v>
          </cell>
          <cell r="P53" t="str">
            <v>RTM</v>
          </cell>
          <cell r="Y53">
            <v>22</v>
          </cell>
          <cell r="Z53">
            <v>154</v>
          </cell>
        </row>
        <row r="64">
          <cell r="A64" t="str">
            <v>Wks</v>
          </cell>
          <cell r="B64" t="str">
            <v>Days</v>
          </cell>
          <cell r="F64" t="str">
            <v>Wks</v>
          </cell>
          <cell r="G64" t="str">
            <v>Days</v>
          </cell>
          <cell r="H64" t="str">
            <v>Frames</v>
          </cell>
          <cell r="I64" t="str">
            <v>Wks</v>
          </cell>
          <cell r="J64" t="str">
            <v>Days</v>
          </cell>
          <cell r="Y64">
            <v>16</v>
          </cell>
          <cell r="Z64">
            <v>76.666666666666671</v>
          </cell>
        </row>
        <row r="65">
          <cell r="A65">
            <v>20</v>
          </cell>
          <cell r="B65">
            <v>154</v>
          </cell>
          <cell r="F65">
            <v>6.666666666666667</v>
          </cell>
          <cell r="G65">
            <v>76.666666666666671</v>
          </cell>
          <cell r="H65">
            <v>3000</v>
          </cell>
          <cell r="I65">
            <v>3.3333333333333335</v>
          </cell>
          <cell r="J65">
            <v>37.333333333333336</v>
          </cell>
          <cell r="K65">
            <v>21</v>
          </cell>
          <cell r="M65">
            <v>29</v>
          </cell>
          <cell r="O65">
            <v>29</v>
          </cell>
          <cell r="Q65">
            <v>29</v>
          </cell>
          <cell r="Y65">
            <v>9</v>
          </cell>
          <cell r="Z65">
            <v>37.333333333333336</v>
          </cell>
        </row>
        <row r="93">
          <cell r="Y93">
            <v>154</v>
          </cell>
          <cell r="Z93">
            <v>23.333333333333336</v>
          </cell>
        </row>
        <row r="94">
          <cell r="Y94">
            <v>154</v>
          </cell>
          <cell r="Z94">
            <v>23.333333333333336</v>
          </cell>
        </row>
        <row r="97">
          <cell r="N97" t="str">
            <v>ENGINEERING</v>
          </cell>
          <cell r="Y97" t="str">
            <v>WK Count</v>
          </cell>
          <cell r="Z97" t="str">
            <v>Total Days</v>
          </cell>
        </row>
        <row r="98">
          <cell r="N98" t="str">
            <v>ENGINEERING</v>
          </cell>
          <cell r="R98" t="str">
            <v>MULAN STORY STUDIO</v>
          </cell>
          <cell r="V98" t="str">
            <v xml:space="preserve">START </v>
          </cell>
          <cell r="W98" t="str">
            <v>FRAMES</v>
          </cell>
          <cell r="X98">
            <v>5100</v>
          </cell>
          <cell r="Y98" t="str">
            <v>WK Count</v>
          </cell>
          <cell r="Z98" t="str">
            <v>Total Days</v>
          </cell>
          <cell r="AA98"/>
          <cell r="AB98"/>
          <cell r="AC98"/>
          <cell r="AD98"/>
          <cell r="AE98"/>
          <cell r="AF98"/>
          <cell r="AG98"/>
          <cell r="AH98"/>
          <cell r="AI98"/>
          <cell r="AJ98"/>
          <cell r="AK98"/>
          <cell r="AL98"/>
          <cell r="AM98">
            <v>35639</v>
          </cell>
          <cell r="AN98">
            <v>35646</v>
          </cell>
          <cell r="AO98">
            <v>35653</v>
          </cell>
          <cell r="AP98">
            <v>35660</v>
          </cell>
          <cell r="AQ98">
            <v>35667</v>
          </cell>
          <cell r="AR98">
            <v>35674</v>
          </cell>
          <cell r="AS98">
            <v>35681</v>
          </cell>
          <cell r="AT98">
            <v>35688</v>
          </cell>
          <cell r="AU98">
            <v>35695</v>
          </cell>
          <cell r="AV98">
            <v>35702</v>
          </cell>
          <cell r="AW98">
            <v>35709</v>
          </cell>
          <cell r="AX98">
            <v>35716</v>
          </cell>
          <cell r="AY98">
            <v>35723</v>
          </cell>
          <cell r="AZ98">
            <v>35730</v>
          </cell>
          <cell r="BA98"/>
          <cell r="BB98"/>
          <cell r="BC98"/>
          <cell r="BD98"/>
          <cell r="BE98"/>
          <cell r="BF98"/>
          <cell r="BG98"/>
          <cell r="BH98"/>
          <cell r="BJ98"/>
          <cell r="BK98"/>
          <cell r="BL98"/>
          <cell r="BM98"/>
          <cell r="BN98"/>
          <cell r="BO98"/>
          <cell r="BP98"/>
          <cell r="BQ98"/>
          <cell r="BR98"/>
          <cell r="BS98"/>
          <cell r="BT98"/>
          <cell r="BU98"/>
          <cell r="BV98"/>
          <cell r="BW98"/>
          <cell r="BX98"/>
          <cell r="BY98"/>
          <cell r="BZ98"/>
          <cell r="CA98"/>
          <cell r="CB98"/>
          <cell r="CC98"/>
          <cell r="CD98"/>
          <cell r="CE98"/>
          <cell r="CF98"/>
          <cell r="CG98"/>
          <cell r="CH98"/>
          <cell r="CI98"/>
          <cell r="CJ98"/>
          <cell r="CK98"/>
          <cell r="CL98"/>
          <cell r="CM98"/>
          <cell r="CN98"/>
          <cell r="CO98"/>
          <cell r="CP98"/>
          <cell r="CQ98"/>
          <cell r="CR98"/>
          <cell r="CS98"/>
          <cell r="CT98"/>
          <cell r="CU98"/>
          <cell r="CV98"/>
          <cell r="CW98"/>
          <cell r="CX98"/>
          <cell r="CY98"/>
          <cell r="CZ98"/>
          <cell r="DA98"/>
          <cell r="DB98"/>
          <cell r="DC98"/>
          <cell r="DD98"/>
          <cell r="DE98"/>
          <cell r="DF98"/>
          <cell r="DG98"/>
          <cell r="DH98"/>
          <cell r="DI98"/>
          <cell r="DJ98"/>
          <cell r="DK98"/>
          <cell r="DL98"/>
          <cell r="DM98"/>
          <cell r="DN98"/>
          <cell r="DO98"/>
          <cell r="DP98"/>
          <cell r="DQ98"/>
          <cell r="DR98"/>
          <cell r="DS98"/>
          <cell r="DT98"/>
          <cell r="DU98"/>
          <cell r="DV98"/>
          <cell r="DW98"/>
          <cell r="DX98"/>
          <cell r="DY98"/>
          <cell r="DZ98"/>
          <cell r="EA98"/>
          <cell r="EB98"/>
          <cell r="EC98"/>
          <cell r="ED98"/>
          <cell r="EE98"/>
          <cell r="EF98"/>
          <cell r="EG98"/>
          <cell r="EH98"/>
          <cell r="EI98"/>
          <cell r="EJ98"/>
          <cell r="EK98"/>
          <cell r="EL98"/>
          <cell r="EM98"/>
          <cell r="EN98"/>
          <cell r="EO98"/>
          <cell r="EP98"/>
          <cell r="EQ98"/>
          <cell r="ER98"/>
          <cell r="ES98"/>
          <cell r="ET98"/>
          <cell r="EU98"/>
          <cell r="EV98"/>
        </row>
        <row r="99">
          <cell r="A99" t="str">
            <v>PREP</v>
          </cell>
          <cell r="F99" t="str">
            <v>ANIMATION</v>
          </cell>
          <cell r="I99" t="str">
            <v>INK &amp; PAINT</v>
          </cell>
          <cell r="L99" t="str">
            <v>ALPHA</v>
          </cell>
          <cell r="N99" t="str">
            <v>BETA</v>
          </cell>
          <cell r="P99" t="str">
            <v>RTM</v>
          </cell>
          <cell r="R99" t="str">
            <v>STREET</v>
          </cell>
          <cell r="T99" t="str">
            <v>Prep Projection</v>
          </cell>
          <cell r="V99" t="str">
            <v xml:space="preserve">START </v>
          </cell>
          <cell r="W99" t="str">
            <v>END</v>
          </cell>
          <cell r="X99">
            <v>500</v>
          </cell>
          <cell r="Y99">
            <v>14</v>
          </cell>
          <cell r="Z99">
            <v>94.5</v>
          </cell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>
            <v>35639</v>
          </cell>
          <cell r="AN99">
            <v>35646</v>
          </cell>
          <cell r="AO99">
            <v>35653</v>
          </cell>
          <cell r="AP99">
            <v>35660</v>
          </cell>
          <cell r="AQ99">
            <v>35667</v>
          </cell>
          <cell r="AR99">
            <v>35674</v>
          </cell>
          <cell r="AS99">
            <v>35681</v>
          </cell>
          <cell r="AT99">
            <v>35688</v>
          </cell>
          <cell r="AU99">
            <v>35695</v>
          </cell>
          <cell r="AV99">
            <v>35702</v>
          </cell>
          <cell r="AW99">
            <v>35709</v>
          </cell>
          <cell r="AX99">
            <v>35716</v>
          </cell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K99"/>
          <cell r="DL99"/>
          <cell r="DM99"/>
          <cell r="DN99"/>
          <cell r="DO99"/>
          <cell r="DP99"/>
          <cell r="DQ99"/>
          <cell r="DR99"/>
          <cell r="DS99"/>
          <cell r="DT99"/>
          <cell r="DU99"/>
          <cell r="DV99"/>
          <cell r="DW99"/>
          <cell r="DX99"/>
          <cell r="DY99"/>
          <cell r="DZ99"/>
          <cell r="EA99"/>
          <cell r="EB99"/>
          <cell r="EC99"/>
          <cell r="ED99"/>
          <cell r="EE99"/>
          <cell r="EF99"/>
          <cell r="EG99"/>
          <cell r="EH99"/>
          <cell r="EI99"/>
          <cell r="EJ99"/>
          <cell r="EK99"/>
          <cell r="EL99"/>
          <cell r="EM99"/>
          <cell r="EN99"/>
          <cell r="EO99"/>
          <cell r="EP99"/>
          <cell r="EQ99"/>
          <cell r="ER99"/>
          <cell r="ES99"/>
          <cell r="ET99"/>
          <cell r="EU99"/>
          <cell r="EV99"/>
        </row>
        <row r="100">
          <cell r="A100" t="str">
            <v>PREP</v>
          </cell>
          <cell r="F100" t="str">
            <v>ANIMATION</v>
          </cell>
          <cell r="I100" t="str">
            <v>INK &amp; PAINT</v>
          </cell>
          <cell r="L100" t="str">
            <v>ALPHA</v>
          </cell>
          <cell r="N100" t="str">
            <v>BETA</v>
          </cell>
          <cell r="P100" t="str">
            <v>RTM</v>
          </cell>
          <cell r="R100" t="str">
            <v>STREET</v>
          </cell>
          <cell r="S100" t="str">
            <v>PRODUCTION TO DATE</v>
          </cell>
          <cell r="T100" t="str">
            <v>Prep Projection</v>
          </cell>
          <cell r="V100">
            <v>35636</v>
          </cell>
          <cell r="W100">
            <v>35721.4</v>
          </cell>
          <cell r="X100">
            <v>500</v>
          </cell>
          <cell r="Y100">
            <v>12</v>
          </cell>
          <cell r="Z100">
            <v>85.399999999999991</v>
          </cell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>
            <v>125</v>
          </cell>
          <cell r="AN100">
            <v>250</v>
          </cell>
          <cell r="AO100">
            <v>375</v>
          </cell>
          <cell r="AP100">
            <v>500</v>
          </cell>
          <cell r="AQ100">
            <v>500</v>
          </cell>
          <cell r="AR100">
            <v>500</v>
          </cell>
          <cell r="AS100">
            <v>500</v>
          </cell>
          <cell r="AT100">
            <v>500</v>
          </cell>
          <cell r="AU100">
            <v>500</v>
          </cell>
          <cell r="AV100">
            <v>500</v>
          </cell>
          <cell r="AW100">
            <v>500</v>
          </cell>
          <cell r="AX100">
            <v>500</v>
          </cell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L100"/>
          <cell r="CM100"/>
          <cell r="CN100"/>
          <cell r="CO100"/>
          <cell r="CP100"/>
          <cell r="CQ100"/>
          <cell r="CR100"/>
          <cell r="CS100"/>
          <cell r="CT100"/>
          <cell r="CU100"/>
          <cell r="CV100"/>
          <cell r="CW100"/>
          <cell r="CX100"/>
          <cell r="CY100"/>
          <cell r="CZ100"/>
          <cell r="DA100"/>
          <cell r="DB100"/>
          <cell r="DC100"/>
          <cell r="DD100"/>
          <cell r="DE100"/>
          <cell r="DF100"/>
          <cell r="DG100"/>
          <cell r="DH100"/>
          <cell r="DI100"/>
          <cell r="DJ100"/>
          <cell r="DK100"/>
          <cell r="DL100"/>
          <cell r="DM100"/>
          <cell r="DN100"/>
          <cell r="DO100"/>
          <cell r="DP100"/>
          <cell r="DQ100"/>
          <cell r="DR100"/>
          <cell r="DS100"/>
          <cell r="DT100"/>
          <cell r="DU100"/>
          <cell r="DV100"/>
          <cell r="DW100"/>
          <cell r="DX100"/>
          <cell r="DY100"/>
          <cell r="DZ100"/>
          <cell r="EA100"/>
          <cell r="EB100"/>
          <cell r="EC100"/>
          <cell r="ED100"/>
          <cell r="EE100"/>
          <cell r="EF100"/>
          <cell r="EG100"/>
          <cell r="EH100"/>
          <cell r="EI100"/>
          <cell r="EJ100"/>
          <cell r="EK100"/>
          <cell r="EL100"/>
          <cell r="EM100"/>
          <cell r="EN100"/>
          <cell r="EO100"/>
          <cell r="EP100"/>
          <cell r="EQ100"/>
          <cell r="ER100"/>
          <cell r="ES100"/>
          <cell r="ET100"/>
          <cell r="EU100"/>
          <cell r="EV100"/>
        </row>
        <row r="101">
          <cell r="S101" t="str">
            <v>PRODUCTION TO DATE</v>
          </cell>
          <cell r="AS101" t="str">
            <v>WK 1</v>
          </cell>
          <cell r="AT101" t="str">
            <v>WK 2</v>
          </cell>
          <cell r="AU101" t="str">
            <v>WK 3</v>
          </cell>
          <cell r="AV101" t="str">
            <v>WK 4</v>
          </cell>
          <cell r="AW101" t="str">
            <v>WK 5</v>
          </cell>
          <cell r="AX101" t="str">
            <v>WK 6</v>
          </cell>
          <cell r="AY101" t="str">
            <v>WK 7</v>
          </cell>
          <cell r="AZ101" t="str">
            <v>WK 8</v>
          </cell>
          <cell r="BA101" t="str">
            <v>WK 9</v>
          </cell>
          <cell r="BB101" t="str">
            <v>WK 10</v>
          </cell>
          <cell r="BC101" t="str">
            <v>WK 11</v>
          </cell>
          <cell r="BD101" t="str">
            <v>WK 12</v>
          </cell>
          <cell r="BE101" t="str">
            <v>WK 13</v>
          </cell>
        </row>
        <row r="102">
          <cell r="T102" t="str">
            <v>Scenes Issued</v>
          </cell>
          <cell r="U102">
            <v>0.87008695652173917</v>
          </cell>
          <cell r="V102">
            <v>5003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1700</v>
          </cell>
          <cell r="AT102">
            <v>0</v>
          </cell>
          <cell r="AU102">
            <v>568</v>
          </cell>
          <cell r="AV102">
            <v>0</v>
          </cell>
          <cell r="AW102">
            <v>262</v>
          </cell>
          <cell r="AX102">
            <v>864</v>
          </cell>
          <cell r="AY102">
            <v>486</v>
          </cell>
          <cell r="AZ102">
            <v>347</v>
          </cell>
          <cell r="BA102">
            <v>0</v>
          </cell>
          <cell r="BB102">
            <v>666</v>
          </cell>
          <cell r="BC102">
            <v>110</v>
          </cell>
          <cell r="BD102">
            <v>0</v>
          </cell>
          <cell r="BE102">
            <v>0</v>
          </cell>
        </row>
        <row r="103">
          <cell r="T103" t="str">
            <v>Scenes Issued</v>
          </cell>
          <cell r="U103">
            <v>0.98098039215686272</v>
          </cell>
          <cell r="V103">
            <v>5003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1700</v>
          </cell>
          <cell r="AT103">
            <v>0</v>
          </cell>
          <cell r="AU103">
            <v>568</v>
          </cell>
          <cell r="AV103">
            <v>0</v>
          </cell>
          <cell r="AW103">
            <v>262</v>
          </cell>
          <cell r="AX103">
            <v>864</v>
          </cell>
          <cell r="AY103">
            <v>486</v>
          </cell>
          <cell r="AZ103">
            <v>347</v>
          </cell>
          <cell r="BA103">
            <v>0</v>
          </cell>
          <cell r="BB103">
            <v>666</v>
          </cell>
          <cell r="BC103">
            <v>110</v>
          </cell>
          <cell r="BD103">
            <v>0</v>
          </cell>
          <cell r="BE103">
            <v>0</v>
          </cell>
        </row>
        <row r="104">
          <cell r="T104" t="str">
            <v>Into Rough</v>
          </cell>
          <cell r="U104">
            <v>0.87235294117647055</v>
          </cell>
          <cell r="V104">
            <v>4449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60</v>
          </cell>
          <cell r="AV104">
            <v>170</v>
          </cell>
          <cell r="AW104">
            <v>527</v>
          </cell>
          <cell r="AX104">
            <v>115</v>
          </cell>
          <cell r="AY104">
            <v>0</v>
          </cell>
          <cell r="AZ104">
            <v>1019</v>
          </cell>
          <cell r="BA104">
            <v>0</v>
          </cell>
          <cell r="BB104">
            <v>593</v>
          </cell>
          <cell r="BC104">
            <v>1148</v>
          </cell>
          <cell r="BD104">
            <v>817</v>
          </cell>
          <cell r="BE104">
            <v>0</v>
          </cell>
        </row>
        <row r="105">
          <cell r="T105" t="str">
            <v>Rough Complete</v>
          </cell>
          <cell r="U105">
            <v>0.81803921568627447</v>
          </cell>
          <cell r="V105">
            <v>4172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60</v>
          </cell>
          <cell r="AV105">
            <v>65</v>
          </cell>
          <cell r="AW105">
            <v>114</v>
          </cell>
          <cell r="AX105">
            <v>323</v>
          </cell>
          <cell r="AY105">
            <v>352</v>
          </cell>
          <cell r="AZ105">
            <v>121</v>
          </cell>
          <cell r="BA105">
            <v>0</v>
          </cell>
          <cell r="BB105">
            <v>1204</v>
          </cell>
          <cell r="BC105">
            <v>274</v>
          </cell>
          <cell r="BD105">
            <v>1139</v>
          </cell>
          <cell r="BE105">
            <v>520</v>
          </cell>
        </row>
        <row r="106">
          <cell r="T106" t="str">
            <v>Ruff Approved</v>
          </cell>
          <cell r="U106">
            <v>0.7415686274509804</v>
          </cell>
          <cell r="V106">
            <v>3782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60</v>
          </cell>
          <cell r="AV106">
            <v>65</v>
          </cell>
          <cell r="AW106">
            <v>10</v>
          </cell>
          <cell r="AX106">
            <v>294</v>
          </cell>
          <cell r="AY106">
            <v>294</v>
          </cell>
          <cell r="AZ106">
            <v>157</v>
          </cell>
          <cell r="BA106">
            <v>0</v>
          </cell>
          <cell r="BB106">
            <v>1116</v>
          </cell>
          <cell r="BC106">
            <v>238</v>
          </cell>
          <cell r="BD106">
            <v>1077</v>
          </cell>
          <cell r="BE106">
            <v>471</v>
          </cell>
        </row>
        <row r="107">
          <cell r="T107" t="str">
            <v>Clean Complete</v>
          </cell>
          <cell r="U107">
            <v>0.50901960784313727</v>
          </cell>
          <cell r="V107">
            <v>2596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3</v>
          </cell>
          <cell r="AV107">
            <v>64</v>
          </cell>
          <cell r="AW107">
            <v>2</v>
          </cell>
          <cell r="AX107">
            <v>18</v>
          </cell>
          <cell r="AY107">
            <v>167</v>
          </cell>
          <cell r="AZ107">
            <v>115</v>
          </cell>
          <cell r="BA107">
            <v>0</v>
          </cell>
          <cell r="BB107">
            <v>600</v>
          </cell>
          <cell r="BC107">
            <v>148</v>
          </cell>
          <cell r="BD107">
            <v>1126</v>
          </cell>
          <cell r="BE107">
            <v>353</v>
          </cell>
        </row>
        <row r="108">
          <cell r="T108" t="str">
            <v>Approved</v>
          </cell>
          <cell r="U108">
            <v>0.40490196078431373</v>
          </cell>
          <cell r="V108">
            <v>2065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3</v>
          </cell>
          <cell r="AV108">
            <v>53</v>
          </cell>
          <cell r="AW108">
            <v>0</v>
          </cell>
          <cell r="AX108">
            <v>20</v>
          </cell>
          <cell r="AY108">
            <v>150</v>
          </cell>
          <cell r="AZ108">
            <v>188</v>
          </cell>
          <cell r="BA108">
            <v>0</v>
          </cell>
          <cell r="BB108">
            <v>577</v>
          </cell>
          <cell r="BC108">
            <v>486</v>
          </cell>
          <cell r="BD108">
            <v>297</v>
          </cell>
          <cell r="BE108">
            <v>291</v>
          </cell>
        </row>
        <row r="109">
          <cell r="T109" t="str">
            <v>Turned In</v>
          </cell>
          <cell r="U109">
            <v>0.26078431372549021</v>
          </cell>
          <cell r="V109">
            <v>1330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121</v>
          </cell>
          <cell r="BA109">
            <v>0</v>
          </cell>
          <cell r="BB109">
            <v>74</v>
          </cell>
          <cell r="BC109">
            <v>506</v>
          </cell>
          <cell r="BD109">
            <v>0</v>
          </cell>
          <cell r="BE109">
            <v>629</v>
          </cell>
        </row>
        <row r="110">
          <cell r="A110" t="str">
            <v>Wks</v>
          </cell>
          <cell r="B110" t="str">
            <v>Days</v>
          </cell>
          <cell r="F110" t="str">
            <v>Wks</v>
          </cell>
          <cell r="G110" t="str">
            <v>Days</v>
          </cell>
          <cell r="H110" t="str">
            <v>Frames</v>
          </cell>
          <cell r="I110" t="str">
            <v>Wks</v>
          </cell>
          <cell r="J110" t="str">
            <v>Days</v>
          </cell>
          <cell r="R110" t="str">
            <v xml:space="preserve"> </v>
          </cell>
          <cell r="T110" t="str">
            <v>Animation Projection</v>
          </cell>
          <cell r="V110">
            <v>35718</v>
          </cell>
          <cell r="W110">
            <v>35814</v>
          </cell>
          <cell r="X110">
            <v>750</v>
          </cell>
          <cell r="Y110">
            <v>11</v>
          </cell>
          <cell r="Z110">
            <v>83.666666666666671</v>
          </cell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  <cell r="AO110"/>
          <cell r="AP110"/>
          <cell r="AQ110"/>
          <cell r="AR110"/>
          <cell r="AS110"/>
          <cell r="AT110"/>
          <cell r="AU110"/>
          <cell r="AV110"/>
          <cell r="AW110"/>
          <cell r="AX110"/>
          <cell r="AY110">
            <v>0</v>
          </cell>
          <cell r="AZ110">
            <v>0</v>
          </cell>
          <cell r="BA110">
            <v>0</v>
          </cell>
          <cell r="BB110">
            <v>187.5</v>
          </cell>
          <cell r="BC110">
            <v>375</v>
          </cell>
          <cell r="BD110">
            <v>562.5</v>
          </cell>
          <cell r="BE110">
            <v>500</v>
          </cell>
          <cell r="BF110">
            <v>500</v>
          </cell>
          <cell r="BG110">
            <v>500</v>
          </cell>
          <cell r="BH110">
            <v>500</v>
          </cell>
          <cell r="BK110">
            <v>500</v>
          </cell>
          <cell r="BL110"/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  <cell r="CL110"/>
          <cell r="CM110"/>
          <cell r="CN110"/>
          <cell r="CO110"/>
          <cell r="CP110"/>
          <cell r="CQ110"/>
          <cell r="CR110"/>
          <cell r="CS110"/>
          <cell r="CT110"/>
          <cell r="CU110"/>
          <cell r="CV110"/>
          <cell r="CW110"/>
          <cell r="CX110"/>
          <cell r="CY110"/>
          <cell r="CZ110"/>
          <cell r="DA110"/>
          <cell r="DB110"/>
          <cell r="DC110"/>
          <cell r="DD110"/>
          <cell r="DE110"/>
          <cell r="DF110"/>
          <cell r="DG110"/>
          <cell r="DH110"/>
          <cell r="DI110"/>
          <cell r="DJ110"/>
          <cell r="DK110"/>
          <cell r="DL110"/>
          <cell r="DM110"/>
          <cell r="DN110"/>
          <cell r="DO110"/>
          <cell r="DP110"/>
          <cell r="DQ110"/>
          <cell r="DR110"/>
          <cell r="DS110"/>
          <cell r="DT110"/>
          <cell r="DU110"/>
          <cell r="DV110"/>
          <cell r="DW110"/>
          <cell r="DX110"/>
          <cell r="DY110"/>
          <cell r="DZ110"/>
          <cell r="EA110"/>
          <cell r="EB110"/>
          <cell r="EC110"/>
          <cell r="ED110"/>
          <cell r="EE110"/>
          <cell r="EF110"/>
          <cell r="EG110"/>
          <cell r="EH110"/>
          <cell r="EI110"/>
          <cell r="EJ110"/>
          <cell r="EK110"/>
          <cell r="EL110"/>
          <cell r="EM110"/>
          <cell r="EN110"/>
          <cell r="EO110"/>
          <cell r="EP110"/>
          <cell r="EQ110"/>
          <cell r="ER110"/>
          <cell r="ES110"/>
          <cell r="ET110"/>
          <cell r="EU110"/>
          <cell r="EV110"/>
        </row>
        <row r="111">
          <cell r="A111" t="str">
            <v>Wks</v>
          </cell>
          <cell r="B111" t="str">
            <v>Days</v>
          </cell>
          <cell r="F111" t="str">
            <v>Wks</v>
          </cell>
          <cell r="G111" t="str">
            <v>Days</v>
          </cell>
          <cell r="H111" t="str">
            <v>Frames</v>
          </cell>
          <cell r="I111" t="str">
            <v>Wks</v>
          </cell>
          <cell r="J111" t="str">
            <v>Days</v>
          </cell>
          <cell r="K111">
            <v>21</v>
          </cell>
          <cell r="M111">
            <v>29</v>
          </cell>
          <cell r="O111">
            <v>29</v>
          </cell>
          <cell r="Q111">
            <v>29</v>
          </cell>
          <cell r="R111" t="str">
            <v xml:space="preserve"> </v>
          </cell>
          <cell r="T111" t="str">
            <v>Animation Projection</v>
          </cell>
          <cell r="V111">
            <v>35718</v>
          </cell>
          <cell r="W111">
            <v>35814</v>
          </cell>
          <cell r="X111">
            <v>750</v>
          </cell>
          <cell r="Y111">
            <v>11</v>
          </cell>
          <cell r="Z111">
            <v>77.599999999999994</v>
          </cell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>
            <v>0</v>
          </cell>
          <cell r="AZ111">
            <v>0</v>
          </cell>
          <cell r="BA111">
            <v>0</v>
          </cell>
          <cell r="BB111">
            <v>187.5</v>
          </cell>
          <cell r="BC111">
            <v>375</v>
          </cell>
          <cell r="BD111">
            <v>562.5</v>
          </cell>
          <cell r="BE111">
            <v>500</v>
          </cell>
          <cell r="BF111">
            <v>500</v>
          </cell>
          <cell r="BG111">
            <v>500</v>
          </cell>
          <cell r="BH111">
            <v>500</v>
          </cell>
          <cell r="BK111">
            <v>500</v>
          </cell>
          <cell r="BL111"/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  <cell r="CL111"/>
          <cell r="CM111"/>
          <cell r="CN111"/>
          <cell r="CO111"/>
          <cell r="CP111"/>
          <cell r="CQ111"/>
          <cell r="CR111"/>
          <cell r="CS111"/>
          <cell r="CT111"/>
          <cell r="CU111"/>
          <cell r="CV111"/>
          <cell r="CW111"/>
          <cell r="CX111"/>
          <cell r="CY111"/>
          <cell r="CZ111"/>
          <cell r="DA111"/>
          <cell r="DB111"/>
          <cell r="DC111"/>
          <cell r="DD111"/>
          <cell r="DE111"/>
          <cell r="DF111"/>
          <cell r="DG111"/>
          <cell r="DH111"/>
          <cell r="DI111"/>
          <cell r="DJ111"/>
          <cell r="DK111"/>
          <cell r="DL111"/>
          <cell r="DM111"/>
          <cell r="DN111"/>
          <cell r="DO111"/>
          <cell r="DP111"/>
          <cell r="DQ111"/>
          <cell r="DR111"/>
          <cell r="DS111"/>
          <cell r="DT111"/>
          <cell r="DU111"/>
          <cell r="DV111"/>
          <cell r="DW111"/>
          <cell r="DX111"/>
          <cell r="DY111"/>
          <cell r="DZ111"/>
          <cell r="EA111"/>
          <cell r="EB111"/>
          <cell r="EC111"/>
          <cell r="ED111"/>
          <cell r="EE111"/>
          <cell r="EF111"/>
          <cell r="EG111"/>
          <cell r="EH111"/>
          <cell r="EI111"/>
          <cell r="EJ111"/>
          <cell r="EK111"/>
          <cell r="EL111"/>
          <cell r="EM111"/>
          <cell r="EN111"/>
          <cell r="EO111"/>
          <cell r="EP111"/>
          <cell r="EQ111"/>
          <cell r="ER111"/>
          <cell r="ES111"/>
          <cell r="ET111"/>
          <cell r="EU111"/>
          <cell r="EV111"/>
        </row>
        <row r="112">
          <cell r="A112">
            <v>10.199999999999999</v>
          </cell>
          <cell r="B112">
            <v>85.399999999999991</v>
          </cell>
          <cell r="F112">
            <v>6.8</v>
          </cell>
          <cell r="G112">
            <v>77.599999999999994</v>
          </cell>
          <cell r="H112">
            <v>5100</v>
          </cell>
          <cell r="I112">
            <v>5.666666666666667</v>
          </cell>
          <cell r="J112">
            <v>53.666666666666671</v>
          </cell>
          <cell r="K112">
            <v>21</v>
          </cell>
          <cell r="M112">
            <v>29</v>
          </cell>
          <cell r="O112">
            <v>29</v>
          </cell>
          <cell r="Q112">
            <v>29</v>
          </cell>
          <cell r="R112">
            <v>35961</v>
          </cell>
          <cell r="T112" t="str">
            <v>Ink &amp; Paint Projection</v>
          </cell>
          <cell r="V112">
            <v>35774.333333333336</v>
          </cell>
          <cell r="W112">
            <v>35828</v>
          </cell>
          <cell r="X112">
            <v>900</v>
          </cell>
          <cell r="Y112">
            <v>5</v>
          </cell>
          <cell r="Z112">
            <v>53.666666666666671</v>
          </cell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  <cell r="AO112"/>
          <cell r="AP112"/>
          <cell r="AQ112"/>
          <cell r="AR112"/>
          <cell r="AS112"/>
          <cell r="AT112"/>
          <cell r="AU112"/>
          <cell r="AV112"/>
          <cell r="AW112"/>
          <cell r="AX112"/>
          <cell r="AY112"/>
          <cell r="AZ112"/>
          <cell r="BA112"/>
          <cell r="BB112"/>
          <cell r="BC112"/>
          <cell r="BD112"/>
          <cell r="BE112"/>
          <cell r="BF112"/>
          <cell r="BG112">
            <v>225</v>
          </cell>
          <cell r="BH112">
            <v>450</v>
          </cell>
          <cell r="BK112">
            <v>900</v>
          </cell>
          <cell r="BL112">
            <v>900</v>
          </cell>
          <cell r="BM112">
            <v>900</v>
          </cell>
          <cell r="BN112"/>
          <cell r="BO112"/>
          <cell r="BP112"/>
          <cell r="BQ112"/>
          <cell r="BR112"/>
          <cell r="BS112"/>
          <cell r="BT112"/>
          <cell r="BU112"/>
          <cell r="BV112"/>
          <cell r="BW112"/>
          <cell r="BX112"/>
          <cell r="BY112"/>
          <cell r="BZ112"/>
          <cell r="CA112"/>
          <cell r="CB112"/>
          <cell r="CC112"/>
          <cell r="CD112"/>
          <cell r="CE112"/>
          <cell r="CF112"/>
          <cell r="CG112"/>
          <cell r="CH112"/>
          <cell r="CI112"/>
          <cell r="CJ112"/>
          <cell r="CK112"/>
          <cell r="CL112"/>
          <cell r="CM112"/>
          <cell r="CN112"/>
          <cell r="CO112"/>
          <cell r="CP112"/>
          <cell r="CQ112"/>
          <cell r="CR112"/>
          <cell r="CS112"/>
          <cell r="CT112"/>
          <cell r="CU112"/>
          <cell r="CV112"/>
          <cell r="CW112"/>
          <cell r="CX112"/>
          <cell r="CY112"/>
          <cell r="CZ112"/>
          <cell r="DA112"/>
          <cell r="DB112"/>
          <cell r="DC112"/>
          <cell r="DD112"/>
          <cell r="DE112"/>
          <cell r="DF112"/>
          <cell r="DG112"/>
          <cell r="DH112"/>
          <cell r="DI112"/>
          <cell r="DJ112"/>
          <cell r="DK112"/>
          <cell r="DL112"/>
          <cell r="DM112"/>
          <cell r="DN112"/>
          <cell r="DO112"/>
          <cell r="DP112"/>
          <cell r="DQ112"/>
          <cell r="DR112"/>
          <cell r="DS112"/>
          <cell r="DT112"/>
          <cell r="DU112"/>
          <cell r="DV112"/>
          <cell r="DW112"/>
          <cell r="DX112"/>
          <cell r="DY112"/>
          <cell r="DZ112"/>
          <cell r="EA112"/>
          <cell r="EB112"/>
          <cell r="EC112"/>
          <cell r="ED112"/>
          <cell r="EE112"/>
          <cell r="EF112"/>
          <cell r="EG112"/>
          <cell r="EH112"/>
          <cell r="EI112"/>
          <cell r="EJ112"/>
          <cell r="EK112"/>
          <cell r="EL112"/>
          <cell r="EM112"/>
          <cell r="EN112"/>
          <cell r="EO112"/>
          <cell r="EP112"/>
          <cell r="EQ112"/>
          <cell r="ER112"/>
          <cell r="ES112"/>
          <cell r="ET112"/>
          <cell r="EU112"/>
          <cell r="EV112"/>
        </row>
        <row r="114">
          <cell r="T114" t="str">
            <v>BUDGET FORECAST</v>
          </cell>
          <cell r="W114">
            <v>153000</v>
          </cell>
          <cell r="X114">
            <v>40800</v>
          </cell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  <cell r="AK114"/>
          <cell r="AL114"/>
          <cell r="AM114">
            <v>35639</v>
          </cell>
          <cell r="AN114">
            <v>35646</v>
          </cell>
          <cell r="AO114">
            <v>35653</v>
          </cell>
          <cell r="AP114">
            <v>35660</v>
          </cell>
          <cell r="AQ114">
            <v>35667</v>
          </cell>
          <cell r="AR114">
            <v>35674</v>
          </cell>
          <cell r="AS114">
            <v>35681</v>
          </cell>
          <cell r="AT114">
            <v>35688</v>
          </cell>
          <cell r="AU114">
            <v>35695</v>
          </cell>
          <cell r="AV114">
            <v>35702</v>
          </cell>
          <cell r="AW114">
            <v>35709</v>
          </cell>
          <cell r="AX114">
            <v>35716</v>
          </cell>
          <cell r="AY114">
            <v>35723</v>
          </cell>
          <cell r="AZ114">
            <v>35730</v>
          </cell>
        </row>
        <row r="115">
          <cell r="T115" t="str">
            <v>BUDGET FORECAST</v>
          </cell>
          <cell r="V115" t="str">
            <v>PRE PROD</v>
          </cell>
          <cell r="W115">
            <v>765000</v>
          </cell>
          <cell r="X115">
            <v>60000</v>
          </cell>
          <cell r="AA115">
            <v>35555</v>
          </cell>
          <cell r="AB115"/>
          <cell r="AC115"/>
          <cell r="AD115"/>
          <cell r="AE115"/>
          <cell r="AF115"/>
          <cell r="AG115"/>
          <cell r="AH115"/>
          <cell r="AI115"/>
          <cell r="AJ115"/>
          <cell r="AK115"/>
          <cell r="AL115"/>
          <cell r="AM115">
            <v>3750</v>
          </cell>
          <cell r="AN115">
            <v>7500</v>
          </cell>
          <cell r="AO115">
            <v>11250</v>
          </cell>
          <cell r="AP115">
            <v>15000</v>
          </cell>
          <cell r="AQ115">
            <v>15000</v>
          </cell>
          <cell r="AR115">
            <v>15000</v>
          </cell>
          <cell r="AS115">
            <v>15000</v>
          </cell>
          <cell r="AT115">
            <v>15000</v>
          </cell>
          <cell r="AU115">
            <v>15000</v>
          </cell>
          <cell r="AV115">
            <v>15000</v>
          </cell>
          <cell r="AW115">
            <v>15000</v>
          </cell>
          <cell r="AX115">
            <v>15000</v>
          </cell>
          <cell r="AY115">
            <v>15000</v>
          </cell>
          <cell r="AZ115">
            <v>15000</v>
          </cell>
          <cell r="BA115"/>
          <cell r="BB115"/>
          <cell r="BC115"/>
          <cell r="BD115"/>
          <cell r="BE115"/>
          <cell r="BF115"/>
          <cell r="BG115"/>
          <cell r="BH115"/>
          <cell r="BI115"/>
          <cell r="BJ115"/>
          <cell r="BK115"/>
          <cell r="BL115"/>
          <cell r="BM115"/>
        </row>
        <row r="116">
          <cell r="V116" t="str">
            <v>PRE PROD</v>
          </cell>
          <cell r="W116">
            <v>30</v>
          </cell>
          <cell r="X116">
            <v>180000</v>
          </cell>
          <cell r="AA116">
            <v>180000</v>
          </cell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>
            <v>3750</v>
          </cell>
          <cell r="AN116">
            <v>7250</v>
          </cell>
          <cell r="AO116">
            <v>5000</v>
          </cell>
          <cell r="AP116">
            <v>5000</v>
          </cell>
          <cell r="AQ116">
            <v>5000</v>
          </cell>
          <cell r="AR116">
            <v>5000</v>
          </cell>
          <cell r="AS116">
            <v>5000</v>
          </cell>
          <cell r="AT116">
            <v>9000</v>
          </cell>
          <cell r="AU116">
            <v>10000</v>
          </cell>
          <cell r="AV116">
            <v>10000</v>
          </cell>
          <cell r="AW116">
            <v>10000</v>
          </cell>
          <cell r="AX116">
            <v>10000</v>
          </cell>
          <cell r="AY116">
            <v>10000</v>
          </cell>
          <cell r="AZ116">
            <v>10000</v>
          </cell>
          <cell r="BA116">
            <v>15000</v>
          </cell>
          <cell r="BB116">
            <v>15000</v>
          </cell>
          <cell r="BC116">
            <v>15000</v>
          </cell>
          <cell r="BD116">
            <v>15000</v>
          </cell>
          <cell r="BE116">
            <v>15000</v>
          </cell>
          <cell r="BF116">
            <v>35772</v>
          </cell>
          <cell r="BG116">
            <v>35779</v>
          </cell>
          <cell r="BH116"/>
          <cell r="BI116"/>
          <cell r="BJ116"/>
          <cell r="BK116"/>
          <cell r="BL116"/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  <cell r="CO116"/>
          <cell r="CP116"/>
          <cell r="CQ116"/>
          <cell r="CR116"/>
          <cell r="CS116"/>
          <cell r="CT116"/>
          <cell r="CU116"/>
          <cell r="CV116"/>
          <cell r="CW116"/>
          <cell r="CX116"/>
          <cell r="CY116"/>
          <cell r="CZ116"/>
          <cell r="DA116"/>
          <cell r="DB116"/>
          <cell r="DC116"/>
          <cell r="DD116"/>
          <cell r="DE116"/>
          <cell r="DF116"/>
          <cell r="DG116"/>
          <cell r="DH116"/>
          <cell r="DI116"/>
          <cell r="DJ116"/>
          <cell r="DK116"/>
          <cell r="DL116"/>
          <cell r="DM116"/>
          <cell r="DN116"/>
          <cell r="DO116"/>
          <cell r="DP116"/>
          <cell r="DQ116"/>
          <cell r="DR116"/>
          <cell r="DS116"/>
          <cell r="DT116"/>
          <cell r="DU116"/>
          <cell r="DV116"/>
          <cell r="DW116"/>
          <cell r="DX116"/>
          <cell r="DY116"/>
          <cell r="DZ116"/>
          <cell r="EA116"/>
          <cell r="EB116"/>
          <cell r="EC116"/>
          <cell r="ED116"/>
          <cell r="EE116"/>
          <cell r="EF116"/>
          <cell r="EG116"/>
          <cell r="EH116"/>
          <cell r="EI116"/>
          <cell r="EJ116"/>
          <cell r="EK116"/>
          <cell r="EL116"/>
          <cell r="EM116"/>
          <cell r="EN116"/>
          <cell r="EO116"/>
          <cell r="EP116"/>
          <cell r="EQ116"/>
          <cell r="ER116"/>
          <cell r="ES116"/>
          <cell r="ET116"/>
          <cell r="EU116"/>
          <cell r="EV116"/>
          <cell r="EW116"/>
          <cell r="EX116"/>
          <cell r="EY116"/>
          <cell r="EZ116"/>
          <cell r="FA116"/>
          <cell r="FB116"/>
          <cell r="FC116"/>
          <cell r="FD116"/>
          <cell r="FE116"/>
          <cell r="FF116"/>
          <cell r="FG116"/>
          <cell r="FH116"/>
          <cell r="FI116"/>
        </row>
        <row r="117">
          <cell r="V117" t="str">
            <v>BACKGROUNDS</v>
          </cell>
          <cell r="W117">
            <v>12</v>
          </cell>
          <cell r="X117">
            <v>60000</v>
          </cell>
          <cell r="AA117">
            <v>59999.974293795312</v>
          </cell>
          <cell r="AB117"/>
          <cell r="AC117"/>
          <cell r="AD117"/>
          <cell r="AE117"/>
          <cell r="AF117"/>
          <cell r="AG117"/>
          <cell r="AH117"/>
          <cell r="AI117"/>
          <cell r="AJ117"/>
          <cell r="AK117"/>
          <cell r="AL117"/>
          <cell r="AM117"/>
          <cell r="AN117"/>
          <cell r="AO117"/>
          <cell r="AP117"/>
          <cell r="AQ117"/>
          <cell r="AR117">
            <v>1732.0178636821199</v>
          </cell>
          <cell r="AS117">
            <v>1875.9564301131923</v>
          </cell>
          <cell r="AT117">
            <v>4392</v>
          </cell>
          <cell r="AU117">
            <v>7000</v>
          </cell>
          <cell r="AV117">
            <v>7000</v>
          </cell>
          <cell r="AW117">
            <v>7000</v>
          </cell>
          <cell r="AX117">
            <v>7000</v>
          </cell>
          <cell r="AY117">
            <v>7000</v>
          </cell>
          <cell r="AZ117">
            <v>7000</v>
          </cell>
          <cell r="BA117">
            <v>10000</v>
          </cell>
          <cell r="BB117">
            <v>28125</v>
          </cell>
          <cell r="BC117">
            <v>56250</v>
          </cell>
          <cell r="BD117">
            <v>84375</v>
          </cell>
          <cell r="BE117">
            <v>75000</v>
          </cell>
          <cell r="BF117">
            <v>75000</v>
          </cell>
          <cell r="BG117">
            <v>75000</v>
          </cell>
          <cell r="BH117">
            <v>75000</v>
          </cell>
          <cell r="BI117"/>
          <cell r="BJ117">
            <v>75000</v>
          </cell>
          <cell r="BK117"/>
          <cell r="BL117"/>
          <cell r="BM117"/>
          <cell r="BN117"/>
          <cell r="BO117"/>
          <cell r="BP117"/>
          <cell r="BQ117"/>
          <cell r="BR117"/>
          <cell r="BS117"/>
          <cell r="BT117"/>
          <cell r="BU117"/>
          <cell r="BV117"/>
          <cell r="BW117"/>
          <cell r="BX117"/>
          <cell r="BY117"/>
          <cell r="BZ117"/>
          <cell r="CA117"/>
          <cell r="CB117"/>
          <cell r="CC117"/>
          <cell r="CD117"/>
          <cell r="CE117"/>
          <cell r="CF117"/>
          <cell r="CG117"/>
          <cell r="CH117"/>
          <cell r="CI117"/>
          <cell r="CJ117"/>
          <cell r="CK117"/>
          <cell r="CL117"/>
          <cell r="CM117"/>
          <cell r="CN117"/>
          <cell r="CO117"/>
          <cell r="CP117"/>
          <cell r="CQ117"/>
          <cell r="CR117"/>
          <cell r="CS117"/>
          <cell r="CT117"/>
          <cell r="CU117"/>
          <cell r="CV117"/>
          <cell r="CW117"/>
          <cell r="CX117"/>
          <cell r="CY117"/>
          <cell r="CZ117"/>
          <cell r="DA117"/>
          <cell r="DB117"/>
          <cell r="DC117"/>
          <cell r="DD117"/>
          <cell r="DE117"/>
          <cell r="DF117"/>
          <cell r="DG117"/>
          <cell r="DH117"/>
          <cell r="DI117"/>
          <cell r="DJ117"/>
          <cell r="DK117"/>
          <cell r="DL117"/>
          <cell r="DM117"/>
          <cell r="DN117"/>
          <cell r="DO117"/>
          <cell r="DP117"/>
          <cell r="DQ117"/>
          <cell r="DR117"/>
          <cell r="DS117"/>
          <cell r="DT117"/>
          <cell r="DU117"/>
          <cell r="DV117"/>
          <cell r="DW117"/>
          <cell r="DX117"/>
          <cell r="DY117"/>
          <cell r="DZ117"/>
          <cell r="EA117"/>
          <cell r="EB117"/>
          <cell r="EC117"/>
          <cell r="ED117"/>
          <cell r="EE117"/>
          <cell r="EF117"/>
          <cell r="EG117"/>
          <cell r="EH117"/>
          <cell r="EI117"/>
          <cell r="EJ117"/>
          <cell r="EK117"/>
          <cell r="EL117"/>
          <cell r="EM117"/>
          <cell r="EN117"/>
          <cell r="EO117"/>
          <cell r="EP117"/>
          <cell r="EQ117"/>
          <cell r="ER117"/>
          <cell r="ES117"/>
          <cell r="ET117"/>
          <cell r="EU117"/>
          <cell r="EV117"/>
          <cell r="EW117"/>
          <cell r="EX117"/>
          <cell r="EY117"/>
          <cell r="EZ117"/>
          <cell r="FA117"/>
          <cell r="FB117"/>
          <cell r="FC117"/>
          <cell r="FD117"/>
          <cell r="FE117"/>
          <cell r="FF117"/>
          <cell r="FG117"/>
          <cell r="FH117"/>
          <cell r="FI117"/>
        </row>
        <row r="118">
          <cell r="V118" t="str">
            <v>PRODUCTION</v>
          </cell>
          <cell r="W118">
            <v>150</v>
          </cell>
          <cell r="X118">
            <v>950000</v>
          </cell>
          <cell r="AA118">
            <v>950000.03</v>
          </cell>
          <cell r="AB118"/>
          <cell r="AC118"/>
          <cell r="AD118"/>
          <cell r="AE118"/>
          <cell r="AF118"/>
          <cell r="AG118"/>
          <cell r="AH118"/>
          <cell r="AI118"/>
          <cell r="AJ118"/>
          <cell r="AK118"/>
          <cell r="AL118"/>
          <cell r="AM118"/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>
            <v>0</v>
          </cell>
          <cell r="AZ118">
            <v>0</v>
          </cell>
          <cell r="BA118">
            <v>0</v>
          </cell>
          <cell r="BB118">
            <v>10000</v>
          </cell>
          <cell r="BC118">
            <v>75714.289999999994</v>
          </cell>
          <cell r="BD118">
            <v>75714.289999999994</v>
          </cell>
          <cell r="BE118">
            <v>105714.29</v>
          </cell>
          <cell r="BF118">
            <v>115714.29</v>
          </cell>
          <cell r="BG118">
            <v>135714.29</v>
          </cell>
          <cell r="BH118">
            <v>145714.29</v>
          </cell>
          <cell r="BI118"/>
          <cell r="BJ118">
            <v>155714.29</v>
          </cell>
          <cell r="BK118">
            <v>130000</v>
          </cell>
          <cell r="BL118"/>
          <cell r="BM118"/>
          <cell r="BN118"/>
          <cell r="BO118"/>
          <cell r="BP118"/>
          <cell r="BQ118"/>
          <cell r="BR118"/>
          <cell r="BS118"/>
          <cell r="BT118"/>
          <cell r="BU118"/>
          <cell r="BV118"/>
          <cell r="BW118"/>
          <cell r="BX118"/>
          <cell r="BY118"/>
          <cell r="BZ118"/>
          <cell r="CA118"/>
          <cell r="CB118"/>
          <cell r="CC118"/>
          <cell r="CD118"/>
          <cell r="CE118"/>
          <cell r="CF118"/>
          <cell r="CG118"/>
          <cell r="CH118"/>
          <cell r="CI118"/>
          <cell r="CJ118"/>
          <cell r="CK118"/>
          <cell r="CL118"/>
          <cell r="CM118"/>
          <cell r="CN118"/>
          <cell r="CO118"/>
          <cell r="CP118"/>
          <cell r="CQ118"/>
          <cell r="CR118"/>
          <cell r="CS118"/>
          <cell r="CT118"/>
          <cell r="CU118"/>
          <cell r="CV118"/>
          <cell r="CW118"/>
          <cell r="CX118"/>
          <cell r="CY118"/>
          <cell r="CZ118"/>
          <cell r="DA118"/>
          <cell r="DB118"/>
          <cell r="DC118"/>
          <cell r="DD118"/>
          <cell r="DE118"/>
          <cell r="DF118"/>
          <cell r="DG118"/>
          <cell r="DH118"/>
          <cell r="DI118"/>
          <cell r="DJ118"/>
          <cell r="DK118"/>
          <cell r="DL118"/>
          <cell r="DM118"/>
          <cell r="DN118"/>
          <cell r="DO118"/>
          <cell r="DP118"/>
          <cell r="DQ118"/>
          <cell r="DR118"/>
          <cell r="DS118"/>
          <cell r="DT118"/>
          <cell r="DU118"/>
          <cell r="DV118"/>
          <cell r="DW118"/>
          <cell r="DX118"/>
          <cell r="DY118"/>
          <cell r="DZ118"/>
          <cell r="EA118"/>
          <cell r="EB118"/>
          <cell r="EC118"/>
          <cell r="ED118"/>
          <cell r="EE118"/>
          <cell r="EF118"/>
          <cell r="EG118"/>
          <cell r="EH118"/>
          <cell r="EI118"/>
          <cell r="EJ118"/>
          <cell r="EK118"/>
          <cell r="EL118"/>
          <cell r="EM118"/>
          <cell r="EN118"/>
          <cell r="EO118"/>
          <cell r="EP118"/>
          <cell r="EQ118"/>
          <cell r="ER118"/>
          <cell r="ES118"/>
          <cell r="ET118"/>
          <cell r="EU118"/>
          <cell r="EV118"/>
          <cell r="EW118"/>
          <cell r="EX118"/>
          <cell r="EY118"/>
          <cell r="EZ118"/>
          <cell r="FA118"/>
          <cell r="FB118"/>
          <cell r="FC118"/>
          <cell r="FD118"/>
          <cell r="FE118"/>
          <cell r="FF118"/>
          <cell r="FG118"/>
          <cell r="FH118"/>
          <cell r="FI118"/>
        </row>
        <row r="119">
          <cell r="V119" t="str">
            <v>INK &amp; PAINT</v>
          </cell>
          <cell r="W119">
            <v>8</v>
          </cell>
          <cell r="X119">
            <v>32400</v>
          </cell>
          <cell r="AA119"/>
          <cell r="AB119"/>
          <cell r="AC119"/>
          <cell r="AD119"/>
          <cell r="AE119"/>
          <cell r="AF119"/>
          <cell r="AG119"/>
          <cell r="AH119"/>
          <cell r="AI119"/>
          <cell r="AJ119"/>
          <cell r="AK119"/>
          <cell r="AL119"/>
          <cell r="AM119"/>
          <cell r="AN119"/>
          <cell r="AO119"/>
          <cell r="AP119"/>
          <cell r="AQ119"/>
          <cell r="AR119"/>
          <cell r="AS119"/>
          <cell r="AT119"/>
          <cell r="AU119"/>
          <cell r="AV119"/>
          <cell r="AW119"/>
          <cell r="AX119"/>
          <cell r="AY119"/>
          <cell r="AZ119"/>
          <cell r="BA119"/>
          <cell r="BB119"/>
          <cell r="BC119"/>
          <cell r="BD119"/>
          <cell r="BE119"/>
          <cell r="BF119">
            <v>1800</v>
          </cell>
          <cell r="BG119">
            <v>3600</v>
          </cell>
          <cell r="BH119">
            <v>5400</v>
          </cell>
          <cell r="BI119"/>
          <cell r="BJ119">
            <v>7200</v>
          </cell>
          <cell r="BK119">
            <v>7200</v>
          </cell>
          <cell r="BL119">
            <v>7200</v>
          </cell>
          <cell r="BM119"/>
          <cell r="BN119"/>
          <cell r="BO119"/>
          <cell r="BP119"/>
          <cell r="BQ119"/>
          <cell r="BR119"/>
          <cell r="BS119"/>
          <cell r="BT119"/>
          <cell r="BU119"/>
          <cell r="BV119"/>
          <cell r="BW119"/>
          <cell r="BX119"/>
          <cell r="BY119"/>
          <cell r="BZ119"/>
          <cell r="CA119"/>
          <cell r="CB119"/>
          <cell r="CC119"/>
          <cell r="CD119"/>
          <cell r="CE119"/>
          <cell r="CF119"/>
          <cell r="CG119"/>
          <cell r="CH119"/>
          <cell r="CI119"/>
          <cell r="CJ119"/>
          <cell r="CK119"/>
          <cell r="CL119"/>
          <cell r="CM119"/>
          <cell r="CN119"/>
          <cell r="CO119"/>
          <cell r="CP119"/>
          <cell r="CQ119"/>
          <cell r="CR119"/>
          <cell r="CS119"/>
          <cell r="CT119"/>
          <cell r="CU119"/>
          <cell r="CV119"/>
          <cell r="CW119"/>
          <cell r="CX119"/>
          <cell r="CY119"/>
          <cell r="CZ119"/>
          <cell r="DA119"/>
          <cell r="DB119"/>
          <cell r="DC119"/>
          <cell r="DD119"/>
          <cell r="DE119"/>
          <cell r="DF119"/>
          <cell r="DG119"/>
          <cell r="DH119"/>
          <cell r="DI119"/>
          <cell r="DJ119"/>
          <cell r="DK119"/>
          <cell r="DL119"/>
          <cell r="DM119"/>
          <cell r="DN119"/>
          <cell r="DO119"/>
          <cell r="DP119"/>
          <cell r="DQ119"/>
          <cell r="DR119"/>
          <cell r="DS119"/>
          <cell r="DT119"/>
          <cell r="DU119"/>
          <cell r="DV119"/>
          <cell r="DW119"/>
          <cell r="DX119"/>
          <cell r="DY119"/>
          <cell r="DZ119"/>
          <cell r="EA119"/>
          <cell r="EB119"/>
          <cell r="EC119"/>
          <cell r="ED119"/>
          <cell r="EE119"/>
          <cell r="EF119"/>
          <cell r="EG119"/>
          <cell r="EH119"/>
          <cell r="EI119"/>
          <cell r="EJ119"/>
          <cell r="EK119"/>
          <cell r="EL119"/>
          <cell r="EM119"/>
          <cell r="EN119"/>
          <cell r="EO119"/>
          <cell r="EP119"/>
          <cell r="EQ119"/>
          <cell r="ER119"/>
          <cell r="ES119"/>
          <cell r="ET119"/>
          <cell r="EU119"/>
          <cell r="EV119"/>
          <cell r="EW119"/>
          <cell r="EX119"/>
          <cell r="EY119"/>
          <cell r="EZ119"/>
          <cell r="FA119"/>
          <cell r="FB119"/>
          <cell r="FC119"/>
          <cell r="FD119"/>
          <cell r="FE119"/>
          <cell r="FF119"/>
          <cell r="FG119"/>
          <cell r="FH119"/>
          <cell r="FI119"/>
        </row>
        <row r="120">
          <cell r="V120" t="str">
            <v>INK &amp; PAINT</v>
          </cell>
          <cell r="W120">
            <v>8</v>
          </cell>
          <cell r="X120">
            <v>72000</v>
          </cell>
          <cell r="AA120">
            <v>72000</v>
          </cell>
          <cell r="AB120"/>
          <cell r="AC120"/>
          <cell r="AD120"/>
          <cell r="AE120"/>
          <cell r="AF120"/>
          <cell r="AG120"/>
          <cell r="AH120"/>
          <cell r="AI120"/>
          <cell r="AJ120"/>
          <cell r="AK120"/>
          <cell r="AL120"/>
          <cell r="AM120"/>
          <cell r="AN120"/>
          <cell r="AO120"/>
          <cell r="AP120"/>
          <cell r="AQ120"/>
          <cell r="AR120"/>
          <cell r="AS120"/>
          <cell r="AT120"/>
          <cell r="AU120"/>
          <cell r="AV120"/>
          <cell r="AW120"/>
          <cell r="AX120"/>
          <cell r="AY120"/>
          <cell r="AZ120"/>
          <cell r="BA120"/>
          <cell r="BB120"/>
          <cell r="BC120"/>
          <cell r="BD120"/>
          <cell r="BE120"/>
          <cell r="BF120"/>
          <cell r="BG120">
            <v>8000</v>
          </cell>
          <cell r="BH120">
            <v>10000</v>
          </cell>
          <cell r="BI120"/>
          <cell r="BJ120">
            <v>14000</v>
          </cell>
          <cell r="BK120">
            <v>15000</v>
          </cell>
          <cell r="BL120">
            <v>15000</v>
          </cell>
          <cell r="BM120">
            <v>10000</v>
          </cell>
        </row>
        <row r="121">
          <cell r="X121">
            <v>1262000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3750</v>
          </cell>
          <cell r="AN121">
            <v>7500</v>
          </cell>
          <cell r="AO121">
            <v>11250</v>
          </cell>
          <cell r="AP121">
            <v>15000</v>
          </cell>
          <cell r="AQ121">
            <v>15000</v>
          </cell>
          <cell r="AR121">
            <v>15000</v>
          </cell>
          <cell r="AS121">
            <v>15000</v>
          </cell>
          <cell r="AT121">
            <v>15000</v>
          </cell>
          <cell r="AU121">
            <v>15000</v>
          </cell>
          <cell r="AV121">
            <v>15000</v>
          </cell>
          <cell r="AW121">
            <v>15000</v>
          </cell>
          <cell r="AX121">
            <v>15000</v>
          </cell>
          <cell r="AY121">
            <v>15000</v>
          </cell>
          <cell r="AZ121">
            <v>15000</v>
          </cell>
          <cell r="BA121">
            <v>0</v>
          </cell>
          <cell r="BB121">
            <v>28125</v>
          </cell>
          <cell r="BC121">
            <v>56250</v>
          </cell>
          <cell r="BD121">
            <v>84375</v>
          </cell>
          <cell r="BE121">
            <v>75000</v>
          </cell>
          <cell r="BF121">
            <v>76800</v>
          </cell>
          <cell r="BG121">
            <v>78600</v>
          </cell>
          <cell r="BH121">
            <v>80400</v>
          </cell>
          <cell r="BI121">
            <v>0</v>
          </cell>
          <cell r="BJ121">
            <v>82200</v>
          </cell>
          <cell r="BK121">
            <v>7200</v>
          </cell>
          <cell r="BL121">
            <v>7200</v>
          </cell>
          <cell r="BM121">
            <v>0</v>
          </cell>
        </row>
        <row r="122">
          <cell r="X122" t="str">
            <v>cost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3750</v>
          </cell>
          <cell r="AN122">
            <v>7250</v>
          </cell>
          <cell r="AO122">
            <v>5000</v>
          </cell>
          <cell r="AP122">
            <v>5000</v>
          </cell>
          <cell r="AQ122">
            <v>5000</v>
          </cell>
          <cell r="AR122">
            <v>6732.0178636821202</v>
          </cell>
          <cell r="AS122">
            <v>6875.9564301131923</v>
          </cell>
          <cell r="AT122">
            <v>13392</v>
          </cell>
          <cell r="AU122">
            <v>17000</v>
          </cell>
          <cell r="AV122">
            <v>17000</v>
          </cell>
          <cell r="AW122">
            <v>17000</v>
          </cell>
          <cell r="AX122">
            <v>17000</v>
          </cell>
          <cell r="AY122">
            <v>17000</v>
          </cell>
          <cell r="AZ122">
            <v>17000</v>
          </cell>
          <cell r="BA122">
            <v>25000</v>
          </cell>
          <cell r="BB122">
            <v>25000</v>
          </cell>
          <cell r="BC122">
            <v>90714.29</v>
          </cell>
          <cell r="BD122">
            <v>90714.29</v>
          </cell>
          <cell r="BE122">
            <v>120714.29</v>
          </cell>
          <cell r="BF122">
            <v>115714.29</v>
          </cell>
          <cell r="BG122">
            <v>143714.29</v>
          </cell>
          <cell r="BH122">
            <v>155714.29</v>
          </cell>
          <cell r="BI122">
            <v>0</v>
          </cell>
          <cell r="BJ122">
            <v>169714.29</v>
          </cell>
          <cell r="BK122">
            <v>145000</v>
          </cell>
          <cell r="BL122">
            <v>15000</v>
          </cell>
          <cell r="BM122">
            <v>10000</v>
          </cell>
        </row>
        <row r="123">
          <cell r="T123" t="str">
            <v>ACTUAL COST TO DATE</v>
          </cell>
          <cell r="X123" t="str">
            <v>cumulative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3750</v>
          </cell>
          <cell r="AN123">
            <v>11000</v>
          </cell>
          <cell r="AO123">
            <v>16000</v>
          </cell>
          <cell r="AP123">
            <v>21000</v>
          </cell>
          <cell r="AQ123">
            <v>26000</v>
          </cell>
          <cell r="AR123">
            <v>32732.017863682122</v>
          </cell>
          <cell r="AS123">
            <v>39607.974293795312</v>
          </cell>
          <cell r="AT123">
            <v>52999.974293795312</v>
          </cell>
          <cell r="AU123">
            <v>69999.974293795312</v>
          </cell>
          <cell r="AV123">
            <v>86999.974293795312</v>
          </cell>
          <cell r="AW123">
            <v>103999.97429379531</v>
          </cell>
          <cell r="AX123">
            <v>120999.97429379531</v>
          </cell>
          <cell r="AY123">
            <v>137999.9742937953</v>
          </cell>
          <cell r="AZ123">
            <v>154999.9742937953</v>
          </cell>
          <cell r="BA123">
            <v>179999.9742937953</v>
          </cell>
          <cell r="BB123">
            <v>204999.9742937953</v>
          </cell>
          <cell r="BC123">
            <v>295714.26429379528</v>
          </cell>
          <cell r="BD123">
            <v>386428.55429379526</v>
          </cell>
          <cell r="BE123">
            <v>507142.84429379523</v>
          </cell>
          <cell r="BF123">
            <v>622857.13429379521</v>
          </cell>
          <cell r="BG123">
            <v>766571.42429379525</v>
          </cell>
          <cell r="BH123">
            <v>922285.71429379529</v>
          </cell>
          <cell r="BI123">
            <v>922285.71429379529</v>
          </cell>
          <cell r="BJ123">
            <v>1092000.0042937952</v>
          </cell>
          <cell r="BK123">
            <v>1237000.0042937952</v>
          </cell>
          <cell r="BL123">
            <v>1252000.0042937952</v>
          </cell>
          <cell r="BM123">
            <v>1262000.0042937952</v>
          </cell>
          <cell r="DL123"/>
          <cell r="DM123"/>
          <cell r="DN123"/>
          <cell r="DO123"/>
          <cell r="DP123"/>
          <cell r="DQ123"/>
          <cell r="DR123"/>
          <cell r="DS123"/>
          <cell r="DT123"/>
          <cell r="DU123"/>
          <cell r="DV123"/>
          <cell r="DW123"/>
          <cell r="DX123"/>
          <cell r="DY123"/>
          <cell r="DZ123"/>
          <cell r="EA123"/>
          <cell r="EB123"/>
          <cell r="EC123"/>
          <cell r="ED123"/>
          <cell r="EE123"/>
          <cell r="EF123"/>
          <cell r="EG123"/>
          <cell r="EH123"/>
          <cell r="EI123"/>
          <cell r="EJ123"/>
          <cell r="EK123"/>
          <cell r="EL123"/>
          <cell r="EM123"/>
          <cell r="EN123"/>
          <cell r="EO123"/>
          <cell r="EP123"/>
          <cell r="EQ123"/>
          <cell r="ER123"/>
          <cell r="ES123"/>
          <cell r="ET123"/>
          <cell r="EU123"/>
          <cell r="EV123"/>
        </row>
        <row r="124">
          <cell r="S124" t="str">
            <v>COST TO DATE</v>
          </cell>
          <cell r="T124" t="str">
            <v>ACTUAL COST TO DATE</v>
          </cell>
          <cell r="V124" t="str">
            <v>DIRECT TO DATE</v>
          </cell>
          <cell r="W124" t="str">
            <v>BUDGET</v>
          </cell>
          <cell r="AC124" t="str">
            <v>ADJ</v>
          </cell>
          <cell r="DL124"/>
          <cell r="DM124"/>
          <cell r="DN124"/>
          <cell r="DO124"/>
          <cell r="DP124"/>
          <cell r="DQ124"/>
          <cell r="DR124"/>
          <cell r="DS124"/>
          <cell r="DT124"/>
          <cell r="DU124"/>
          <cell r="DV124"/>
          <cell r="DW124"/>
          <cell r="DX124"/>
          <cell r="DY124"/>
          <cell r="DZ124"/>
          <cell r="EA124"/>
          <cell r="EB124"/>
          <cell r="EC124"/>
          <cell r="ED124"/>
          <cell r="EE124"/>
          <cell r="EF124"/>
          <cell r="EG124"/>
          <cell r="EH124"/>
          <cell r="EI124"/>
          <cell r="EJ124"/>
          <cell r="EK124"/>
          <cell r="EL124"/>
          <cell r="EM124"/>
          <cell r="EN124"/>
          <cell r="EO124"/>
          <cell r="EP124"/>
          <cell r="EQ124"/>
          <cell r="ER124"/>
          <cell r="ES124"/>
          <cell r="ET124"/>
          <cell r="EU124"/>
          <cell r="EV124"/>
        </row>
        <row r="125">
          <cell r="S125" t="str">
            <v>COST TO DATE</v>
          </cell>
          <cell r="T125" t="str">
            <v>DEVELOPMENT</v>
          </cell>
          <cell r="V125" t="str">
            <v>DIRECT TO DATE</v>
          </cell>
          <cell r="W125" t="str">
            <v>BUDGET</v>
          </cell>
          <cell r="AA125">
            <v>0</v>
          </cell>
          <cell r="AB125">
            <v>0</v>
          </cell>
          <cell r="AC125" t="str">
            <v>ADJ</v>
          </cell>
          <cell r="AD125">
            <v>0</v>
          </cell>
          <cell r="AE125">
            <v>556</v>
          </cell>
          <cell r="AF125">
            <v>0</v>
          </cell>
          <cell r="AG125">
            <v>0</v>
          </cell>
          <cell r="AH125">
            <v>225.55794045076053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J125">
            <v>0</v>
          </cell>
          <cell r="BK125">
            <v>0</v>
          </cell>
        </row>
        <row r="126">
          <cell r="T126" t="str">
            <v>DEVELOPMENT</v>
          </cell>
          <cell r="U126">
            <v>0.37622265856429798</v>
          </cell>
          <cell r="V126">
            <v>781.5579404507605</v>
          </cell>
          <cell r="W126">
            <v>257500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556</v>
          </cell>
          <cell r="AF126">
            <v>0</v>
          </cell>
          <cell r="AG126">
            <v>0</v>
          </cell>
          <cell r="AH126">
            <v>225.55794045076053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J126">
            <v>0</v>
          </cell>
          <cell r="BK126">
            <v>0</v>
          </cell>
        </row>
        <row r="127">
          <cell r="T127" t="str">
            <v>PRE PRODUCTION</v>
          </cell>
          <cell r="U127">
            <v>0.67267656191281877</v>
          </cell>
          <cell r="V127">
            <v>121081.78114430739</v>
          </cell>
          <cell r="W127">
            <v>180000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225.55628575430856</v>
          </cell>
          <cell r="AK127">
            <v>0</v>
          </cell>
          <cell r="AL127">
            <v>74.922477898637339</v>
          </cell>
          <cell r="AM127">
            <v>0</v>
          </cell>
          <cell r="AN127">
            <v>614.32809706842977</v>
          </cell>
          <cell r="AO127">
            <v>0</v>
          </cell>
          <cell r="AP127">
            <v>2915.9174162648774</v>
          </cell>
          <cell r="AQ127">
            <v>7867.1733779534479</v>
          </cell>
          <cell r="AR127">
            <v>4064.0451453240603</v>
          </cell>
          <cell r="AS127">
            <v>9041.3607883394416</v>
          </cell>
          <cell r="AT127">
            <v>11006.794436358707</v>
          </cell>
          <cell r="AU127">
            <v>11571.463629061991</v>
          </cell>
          <cell r="AV127">
            <v>9189.0230686597188</v>
          </cell>
          <cell r="AW127">
            <v>8134.0665271506159</v>
          </cell>
          <cell r="AX127">
            <v>9010.5715878441351</v>
          </cell>
          <cell r="AY127">
            <v>7642.9955473019645</v>
          </cell>
          <cell r="AZ127">
            <v>9370.5950551100541</v>
          </cell>
          <cell r="BA127">
            <v>6148.5211402163377</v>
          </cell>
          <cell r="BB127">
            <v>5646.163868004558</v>
          </cell>
          <cell r="BC127">
            <v>9356.6533685899794</v>
          </cell>
          <cell r="BD127">
            <v>4752.2</v>
          </cell>
          <cell r="BE127">
            <v>4449.4293274061238</v>
          </cell>
          <cell r="BF127">
            <v>0</v>
          </cell>
          <cell r="BG127">
            <v>0</v>
          </cell>
          <cell r="BH127">
            <v>0</v>
          </cell>
          <cell r="BJ127">
            <v>0</v>
          </cell>
          <cell r="BK127">
            <v>0</v>
          </cell>
        </row>
        <row r="128">
          <cell r="T128" t="str">
            <v>PRE DOWNTIME</v>
          </cell>
          <cell r="V128">
            <v>0</v>
          </cell>
          <cell r="W128">
            <v>60000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J128">
            <v>0</v>
          </cell>
          <cell r="BK128">
            <v>0</v>
          </cell>
        </row>
        <row r="129">
          <cell r="T129" t="str">
            <v>BACKGROUNDS</v>
          </cell>
          <cell r="V129">
            <v>44274.066319164602</v>
          </cell>
          <cell r="W129">
            <v>60000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2168.5116182725365</v>
          </cell>
          <cell r="AV129">
            <v>4029.8235921001065</v>
          </cell>
          <cell r="AW129">
            <v>2928.7536192926427</v>
          </cell>
          <cell r="AX129">
            <v>3228.8156868971791</v>
          </cell>
          <cell r="AY129">
            <v>3195.1259861679241</v>
          </cell>
          <cell r="AZ129">
            <v>2118.903449655686</v>
          </cell>
          <cell r="BA129">
            <v>11760.823760630472</v>
          </cell>
          <cell r="BB129">
            <v>2853.6236495778326</v>
          </cell>
          <cell r="BC129">
            <v>3389.8502404685496</v>
          </cell>
          <cell r="BD129">
            <v>4416.6223200000004</v>
          </cell>
          <cell r="BE129">
            <v>4183.2123961016732</v>
          </cell>
          <cell r="BF129">
            <v>0</v>
          </cell>
          <cell r="BG129">
            <v>0</v>
          </cell>
          <cell r="BH129">
            <v>0</v>
          </cell>
          <cell r="BJ129">
            <v>0</v>
          </cell>
          <cell r="BK129">
            <v>0</v>
          </cell>
        </row>
        <row r="130">
          <cell r="T130" t="str">
            <v>LAYOUTS</v>
          </cell>
          <cell r="U130">
            <v>9.9009759709437734E-2</v>
          </cell>
          <cell r="V130">
            <v>80208.475269764909</v>
          </cell>
          <cell r="W130">
            <v>1130400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1732.0178636821199</v>
          </cell>
          <cell r="AS130">
            <v>1875.9564301131923</v>
          </cell>
          <cell r="AT130">
            <v>5843.2364341781531</v>
          </cell>
          <cell r="AU130">
            <v>7583.6296806897026</v>
          </cell>
          <cell r="AV130">
            <v>5923.5718655284209</v>
          </cell>
          <cell r="AW130">
            <v>4518.7292942670792</v>
          </cell>
          <cell r="AX130">
            <v>5840.3874759042837</v>
          </cell>
          <cell r="AY130">
            <v>5645.4544799682171</v>
          </cell>
          <cell r="AZ130">
            <v>6719.7171195349429</v>
          </cell>
          <cell r="BA130">
            <v>6979.9810585183259</v>
          </cell>
          <cell r="BB130">
            <v>6557.5817166642018</v>
          </cell>
          <cell r="BC130">
            <v>6364.3577685364307</v>
          </cell>
          <cell r="BD130">
            <v>6253.8630000000003</v>
          </cell>
          <cell r="BE130">
            <v>8369.9910821798203</v>
          </cell>
          <cell r="BF130">
            <v>0</v>
          </cell>
          <cell r="BG130">
            <v>0</v>
          </cell>
          <cell r="BH130">
            <v>0</v>
          </cell>
          <cell r="BJ130">
            <v>0</v>
          </cell>
          <cell r="BK130">
            <v>0</v>
          </cell>
        </row>
        <row r="131">
          <cell r="T131" t="str">
            <v>PRODUCTION</v>
          </cell>
          <cell r="U131">
            <v>0.22292725679671649</v>
          </cell>
          <cell r="V131">
            <v>211870.06485959934</v>
          </cell>
          <cell r="W131">
            <v>950400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3518.3407847338499</v>
          </cell>
          <cell r="AW131">
            <v>7515.9846155627492</v>
          </cell>
          <cell r="AX131">
            <v>7704.9188252708136</v>
          </cell>
          <cell r="AY131">
            <v>21635.664197121168</v>
          </cell>
          <cell r="AZ131">
            <v>11261.879070113606</v>
          </cell>
          <cell r="BA131">
            <v>23127.379132341266</v>
          </cell>
          <cell r="BB131">
            <v>14543.835027283996</v>
          </cell>
          <cell r="BC131">
            <v>26073.366907773368</v>
          </cell>
          <cell r="BD131">
            <v>35523.176160000003</v>
          </cell>
          <cell r="BE131">
            <v>60965.520139398541</v>
          </cell>
          <cell r="BF131">
            <v>0</v>
          </cell>
          <cell r="BG131">
            <v>0</v>
          </cell>
          <cell r="BH131">
            <v>0</v>
          </cell>
          <cell r="BJ131">
            <v>0</v>
          </cell>
          <cell r="BK131">
            <v>0</v>
          </cell>
        </row>
        <row r="132">
          <cell r="T132" t="str">
            <v>INK &amp; PAINT</v>
          </cell>
          <cell r="V132">
            <v>0</v>
          </cell>
          <cell r="W132">
            <v>72000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556</v>
          </cell>
          <cell r="AF132">
            <v>0</v>
          </cell>
          <cell r="AG132">
            <v>0</v>
          </cell>
          <cell r="AH132">
            <v>225.55794045076053</v>
          </cell>
          <cell r="AI132">
            <v>0</v>
          </cell>
          <cell r="AJ132">
            <v>225.55628575430856</v>
          </cell>
          <cell r="AK132">
            <v>0</v>
          </cell>
          <cell r="AL132">
            <v>74.922477898637339</v>
          </cell>
          <cell r="AM132">
            <v>0</v>
          </cell>
          <cell r="AN132">
            <v>614.32809706842977</v>
          </cell>
          <cell r="AO132">
            <v>0</v>
          </cell>
          <cell r="AP132">
            <v>2915.9174162648774</v>
          </cell>
          <cell r="AQ132">
            <v>7867.1733779534479</v>
          </cell>
          <cell r="AR132">
            <v>5796.0630090061804</v>
          </cell>
          <cell r="AS132">
            <v>10917.317218452634</v>
          </cell>
          <cell r="AT132">
            <v>16850.030870536859</v>
          </cell>
          <cell r="AU132">
            <v>21323.60492802423</v>
          </cell>
          <cell r="AV132">
            <v>22660.759311022095</v>
          </cell>
          <cell r="AW132">
            <v>23097.534056273085</v>
          </cell>
          <cell r="AX132">
            <v>25784.693575916412</v>
          </cell>
          <cell r="AY132">
            <v>38119.240210559277</v>
          </cell>
          <cell r="AZ132">
            <v>29471.094694414289</v>
          </cell>
          <cell r="BA132">
            <v>48016.705091706404</v>
          </cell>
          <cell r="BB132">
            <v>8165.0692360868397</v>
          </cell>
          <cell r="BC132">
            <v>20644.313154318137</v>
          </cell>
          <cell r="BF132">
            <v>0</v>
          </cell>
          <cell r="BG132">
            <v>0</v>
          </cell>
          <cell r="BH132">
            <v>0</v>
          </cell>
          <cell r="BJ132">
            <v>0</v>
          </cell>
          <cell r="BK132">
            <v>0</v>
          </cell>
        </row>
        <row r="133">
          <cell r="T133" t="str">
            <v>TOTAL DIRECT</v>
          </cell>
          <cell r="V133">
            <v>458215.94553328701</v>
          </cell>
          <cell r="X133" t="str">
            <v>DIRECT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556</v>
          </cell>
          <cell r="AF133">
            <v>0</v>
          </cell>
          <cell r="AG133">
            <v>0</v>
          </cell>
          <cell r="AH133">
            <v>225.55794045076053</v>
          </cell>
          <cell r="AI133">
            <v>0</v>
          </cell>
          <cell r="AJ133">
            <v>225.55628575430856</v>
          </cell>
          <cell r="AK133">
            <v>0</v>
          </cell>
          <cell r="AL133">
            <v>74.922477898637339</v>
          </cell>
          <cell r="AM133">
            <v>0</v>
          </cell>
          <cell r="AN133">
            <v>614.32809706842977</v>
          </cell>
          <cell r="AO133">
            <v>0</v>
          </cell>
          <cell r="AP133">
            <v>2915.9174162648774</v>
          </cell>
          <cell r="AQ133">
            <v>7867.1733779534479</v>
          </cell>
          <cell r="AR133">
            <v>5796.0630090061804</v>
          </cell>
          <cell r="AS133">
            <v>10917.317218452634</v>
          </cell>
          <cell r="AT133">
            <v>16850.030870536859</v>
          </cell>
          <cell r="AU133">
            <v>21323.60492802423</v>
          </cell>
          <cell r="AV133">
            <v>22660.759311022095</v>
          </cell>
          <cell r="AW133">
            <v>23097.534056273085</v>
          </cell>
          <cell r="AX133">
            <v>25784.693575916412</v>
          </cell>
          <cell r="AY133">
            <v>38119.240210559277</v>
          </cell>
          <cell r="AZ133">
            <v>29471.094694414289</v>
          </cell>
          <cell r="BA133">
            <v>48016.705091706404</v>
          </cell>
          <cell r="BB133">
            <v>29601.204261530587</v>
          </cell>
          <cell r="BC133">
            <v>45184.228285368328</v>
          </cell>
          <cell r="BD133">
            <v>50945.861480000007</v>
          </cell>
          <cell r="BE133">
            <v>77968.152945086156</v>
          </cell>
        </row>
        <row r="134">
          <cell r="T134" t="str">
            <v>"L"TOTAL TO DATE</v>
          </cell>
          <cell r="V134">
            <v>397899.75224877341</v>
          </cell>
          <cell r="W134">
            <v>1519900</v>
          </cell>
          <cell r="X134" t="str">
            <v>DIRECT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556</v>
          </cell>
          <cell r="AF134">
            <v>556</v>
          </cell>
          <cell r="AG134">
            <v>556</v>
          </cell>
          <cell r="AH134">
            <v>781.5579404507605</v>
          </cell>
          <cell r="AI134">
            <v>781.5579404507605</v>
          </cell>
          <cell r="AJ134">
            <v>1007.114226205069</v>
          </cell>
          <cell r="AK134">
            <v>1007.114226205069</v>
          </cell>
          <cell r="AL134">
            <v>1082.0367041037064</v>
          </cell>
          <cell r="AM134">
            <v>1082.0367041037064</v>
          </cell>
          <cell r="AN134">
            <v>1696.3648011721361</v>
          </cell>
          <cell r="AO134">
            <v>1696.3648011721361</v>
          </cell>
          <cell r="AP134">
            <v>4612.282217437014</v>
          </cell>
          <cell r="AQ134">
            <v>12479.455595390462</v>
          </cell>
          <cell r="AR134">
            <v>18275.518604396642</v>
          </cell>
          <cell r="AS134">
            <v>29192.835822849276</v>
          </cell>
          <cell r="AT134">
            <v>46042.866693386139</v>
          </cell>
          <cell r="AU134">
            <v>67366.471621410368</v>
          </cell>
          <cell r="AV134">
            <v>90027.23093243246</v>
          </cell>
          <cell r="AW134">
            <v>113124.76498870554</v>
          </cell>
          <cell r="AX134">
            <v>138909.45856462195</v>
          </cell>
          <cell r="AY134">
            <v>177028.69877518123</v>
          </cell>
          <cell r="AZ134">
            <v>206499.79346959552</v>
          </cell>
          <cell r="BA134">
            <v>254516.49856130191</v>
          </cell>
          <cell r="BB134">
            <v>284117.70282283251</v>
          </cell>
          <cell r="BC134">
            <v>329301.93110820081</v>
          </cell>
          <cell r="BD134">
            <v>380247.79258820083</v>
          </cell>
          <cell r="BE134">
            <v>458215.94553328701</v>
          </cell>
        </row>
        <row r="135">
          <cell r="T135" t="str">
            <v>"L"TOTAL TO DATE</v>
          </cell>
          <cell r="V135">
            <v>595680.72919327312</v>
          </cell>
          <cell r="W135">
            <v>1262400</v>
          </cell>
          <cell r="X135" t="str">
            <v>cumulative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722.8</v>
          </cell>
          <cell r="AF135">
            <v>722.8</v>
          </cell>
          <cell r="AG135">
            <v>722.8</v>
          </cell>
          <cell r="AH135">
            <v>1016.0253225859886</v>
          </cell>
          <cell r="AI135">
            <v>1016.0253225859886</v>
          </cell>
          <cell r="AJ135">
            <v>1309.2484940665897</v>
          </cell>
          <cell r="AK135">
            <v>1309.2484940665897</v>
          </cell>
          <cell r="AL135">
            <v>1406.6477153348183</v>
          </cell>
          <cell r="AM135">
            <v>1406.6477153348183</v>
          </cell>
          <cell r="AN135">
            <v>2205.2742415237772</v>
          </cell>
          <cell r="AO135">
            <v>2205.2742415237772</v>
          </cell>
          <cell r="AP135">
            <v>5995.9668826681182</v>
          </cell>
          <cell r="AQ135">
            <v>16223.292274007599</v>
          </cell>
          <cell r="AR135">
            <v>23758.174185715634</v>
          </cell>
          <cell r="AS135">
            <v>37950.686569704063</v>
          </cell>
          <cell r="AT135">
            <v>59855.726701401982</v>
          </cell>
          <cell r="AU135">
            <v>87576.413107833476</v>
          </cell>
          <cell r="AV135">
            <v>117035.4002121622</v>
          </cell>
          <cell r="AW135">
            <v>147062.19448531722</v>
          </cell>
          <cell r="AX135">
            <v>180582.29613400853</v>
          </cell>
          <cell r="AY135">
            <v>230137.3084077356</v>
          </cell>
          <cell r="AZ135">
            <v>268449.73151047417</v>
          </cell>
          <cell r="BA135">
            <v>330871.44812969246</v>
          </cell>
          <cell r="BB135">
            <v>369353.01366968226</v>
          </cell>
          <cell r="BC135">
            <v>428092.51044066105</v>
          </cell>
          <cell r="BD135">
            <v>494322.1303646611</v>
          </cell>
          <cell r="BE135">
            <v>595680.72919327312</v>
          </cell>
        </row>
        <row r="136">
          <cell r="V136" t="str">
            <v>PROJECTED RTM</v>
          </cell>
          <cell r="X136">
            <v>35907</v>
          </cell>
          <cell r="Y136">
            <v>119</v>
          </cell>
          <cell r="Z136">
            <v>44.722222222222229</v>
          </cell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</row>
        <row r="137">
          <cell r="V137" t="str">
            <v>PROJECTED RTM</v>
          </cell>
          <cell r="X137">
            <v>35907</v>
          </cell>
          <cell r="Y137">
            <v>119</v>
          </cell>
          <cell r="Z137">
            <v>39.666666666666671</v>
          </cell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P137"/>
          <cell r="AQ137"/>
          <cell r="AR137"/>
          <cell r="AS137"/>
          <cell r="BA137"/>
          <cell r="BB137"/>
          <cell r="BC137"/>
          <cell r="BD137"/>
          <cell r="BE137"/>
          <cell r="BF137"/>
          <cell r="BG137"/>
          <cell r="BH137"/>
          <cell r="BJ137"/>
          <cell r="BK137"/>
          <cell r="BL137"/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</row>
        <row r="138">
          <cell r="V138" t="str">
            <v>PROJECTED STREET</v>
          </cell>
          <cell r="X138">
            <v>35936</v>
          </cell>
        </row>
        <row r="139">
          <cell r="V139" t="str">
            <v>+ or - Scheduled Date</v>
          </cell>
          <cell r="X139">
            <v>25</v>
          </cell>
        </row>
        <row r="141">
          <cell r="N141" t="str">
            <v>ENGINEERING</v>
          </cell>
          <cell r="R141" t="str">
            <v>MAGOO FEATURE FILM</v>
          </cell>
          <cell r="W141" t="str">
            <v>FRAMES</v>
          </cell>
          <cell r="X141">
            <v>3000</v>
          </cell>
          <cell r="Y141" t="str">
            <v>WK Count</v>
          </cell>
          <cell r="Z141" t="str">
            <v>Total Days</v>
          </cell>
        </row>
        <row r="142">
          <cell r="N142" t="str">
            <v>ENGINEERING</v>
          </cell>
          <cell r="R142" t="str">
            <v>MAGOO FEATURE FILM</v>
          </cell>
          <cell r="V142" t="str">
            <v xml:space="preserve">START </v>
          </cell>
          <cell r="W142" t="str">
            <v>FRAMES</v>
          </cell>
          <cell r="X142">
            <v>3000</v>
          </cell>
          <cell r="Y142" t="str">
            <v>WK Count</v>
          </cell>
          <cell r="Z142" t="str">
            <v>Total Days</v>
          </cell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K142"/>
          <cell r="DL142"/>
          <cell r="DM142"/>
          <cell r="DN142"/>
          <cell r="DO142"/>
          <cell r="DP142"/>
          <cell r="DQ142"/>
          <cell r="DR142"/>
          <cell r="DS142"/>
          <cell r="DT142"/>
          <cell r="DU142"/>
          <cell r="DV142"/>
          <cell r="DW142"/>
          <cell r="DX142"/>
          <cell r="DY142"/>
          <cell r="DZ142"/>
          <cell r="EA142"/>
          <cell r="EB142"/>
          <cell r="EC142"/>
          <cell r="ED142"/>
          <cell r="EE142"/>
          <cell r="EF142"/>
          <cell r="EG142"/>
          <cell r="EH142"/>
          <cell r="EI142"/>
          <cell r="EJ142"/>
          <cell r="EK142"/>
          <cell r="EL142"/>
          <cell r="EM142"/>
          <cell r="EN142"/>
          <cell r="EO142"/>
          <cell r="EP142"/>
          <cell r="EQ142"/>
          <cell r="ER142"/>
          <cell r="ES142"/>
          <cell r="ET142"/>
          <cell r="EU142"/>
          <cell r="EV142"/>
        </row>
        <row r="143">
          <cell r="A143" t="str">
            <v>PREP</v>
          </cell>
          <cell r="F143" t="str">
            <v>ANIMATION</v>
          </cell>
          <cell r="I143" t="str">
            <v>INK &amp; PAINT</v>
          </cell>
          <cell r="L143" t="str">
            <v>ALPHA</v>
          </cell>
          <cell r="N143" t="str">
            <v>BETA</v>
          </cell>
          <cell r="P143" t="str">
            <v>RTM</v>
          </cell>
          <cell r="R143" t="str">
            <v>STREET</v>
          </cell>
          <cell r="T143" t="str">
            <v>Story Boards</v>
          </cell>
          <cell r="V143" t="str">
            <v xml:space="preserve">START </v>
          </cell>
          <cell r="W143" t="str">
            <v>END</v>
          </cell>
          <cell r="X143" t="str">
            <v>Billed As</v>
          </cell>
          <cell r="Y143">
            <v>0</v>
          </cell>
          <cell r="Z143" t="e">
            <v>#REF!</v>
          </cell>
          <cell r="CE143"/>
          <cell r="CF143"/>
          <cell r="CG143"/>
          <cell r="CH143"/>
          <cell r="CI143"/>
          <cell r="CJ143"/>
          <cell r="CK143"/>
          <cell r="CL143"/>
          <cell r="CM143"/>
          <cell r="CN143"/>
          <cell r="CO143"/>
          <cell r="CP143"/>
          <cell r="CQ143"/>
          <cell r="CR143"/>
          <cell r="CS143"/>
          <cell r="CT143"/>
          <cell r="CU143"/>
          <cell r="CV143"/>
          <cell r="CW143"/>
          <cell r="CX143"/>
          <cell r="CY143"/>
          <cell r="CZ143"/>
          <cell r="DA143"/>
          <cell r="DB143"/>
          <cell r="DC143"/>
          <cell r="DD143"/>
          <cell r="DE143"/>
          <cell r="DF143"/>
          <cell r="DG143"/>
          <cell r="DH143"/>
          <cell r="DI143"/>
          <cell r="DJ143"/>
          <cell r="DK143"/>
          <cell r="DL143"/>
          <cell r="DM143"/>
          <cell r="DN143"/>
          <cell r="DO143"/>
          <cell r="DP143"/>
          <cell r="DQ143"/>
          <cell r="DR143"/>
          <cell r="DS143"/>
          <cell r="DT143"/>
          <cell r="DU143"/>
          <cell r="DV143"/>
          <cell r="DW143"/>
          <cell r="DX143"/>
          <cell r="DY143"/>
          <cell r="DZ143"/>
          <cell r="EA143"/>
          <cell r="EB143"/>
          <cell r="EC143"/>
          <cell r="ED143"/>
          <cell r="EE143"/>
          <cell r="EF143"/>
          <cell r="EG143"/>
          <cell r="EH143"/>
          <cell r="EI143"/>
          <cell r="EJ143"/>
          <cell r="EK143"/>
          <cell r="EL143"/>
          <cell r="EM143"/>
          <cell r="EN143"/>
          <cell r="EO143"/>
          <cell r="EP143"/>
          <cell r="EQ143"/>
          <cell r="ER143"/>
          <cell r="ES143"/>
          <cell r="ET143"/>
          <cell r="EU143"/>
          <cell r="EV143"/>
        </row>
        <row r="144">
          <cell r="A144" t="str">
            <v>PREP</v>
          </cell>
          <cell r="F144" t="str">
            <v>ANIMATION</v>
          </cell>
          <cell r="I144" t="str">
            <v>INK &amp; PAINT</v>
          </cell>
          <cell r="L144" t="str">
            <v>ALPHA</v>
          </cell>
          <cell r="N144" t="str">
            <v>BETA</v>
          </cell>
          <cell r="P144" t="str">
            <v>RTM</v>
          </cell>
          <cell r="R144" t="str">
            <v>STREET</v>
          </cell>
          <cell r="S144" t="str">
            <v>PRODUCTION TO DATE</v>
          </cell>
          <cell r="T144" t="str">
            <v>Story Boards</v>
          </cell>
          <cell r="W144">
            <v>35697</v>
          </cell>
          <cell r="X144" t="str">
            <v>TEST</v>
          </cell>
          <cell r="Y144">
            <v>0</v>
          </cell>
          <cell r="Z144" t="e">
            <v>#REF!</v>
          </cell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  <cell r="CR144"/>
          <cell r="CS144"/>
          <cell r="CT144"/>
          <cell r="CU144"/>
          <cell r="CV144"/>
          <cell r="CW144"/>
          <cell r="CX144"/>
          <cell r="CY144"/>
          <cell r="CZ144"/>
          <cell r="DA144"/>
          <cell r="DB144"/>
          <cell r="DC144"/>
          <cell r="DD144"/>
          <cell r="DE144"/>
          <cell r="DF144"/>
          <cell r="DG144"/>
          <cell r="DH144"/>
          <cell r="DI144"/>
          <cell r="DJ144"/>
          <cell r="DK144"/>
          <cell r="DL144"/>
          <cell r="DM144"/>
          <cell r="DN144"/>
          <cell r="DO144"/>
          <cell r="DP144"/>
          <cell r="DQ144"/>
          <cell r="DR144"/>
          <cell r="DS144"/>
          <cell r="DT144"/>
          <cell r="DU144"/>
          <cell r="DV144"/>
          <cell r="DW144"/>
          <cell r="DX144"/>
          <cell r="DY144"/>
          <cell r="DZ144"/>
          <cell r="EA144"/>
          <cell r="EB144"/>
          <cell r="EC144"/>
          <cell r="ED144"/>
          <cell r="EE144"/>
          <cell r="EF144"/>
          <cell r="EG144"/>
          <cell r="EH144"/>
          <cell r="EI144"/>
          <cell r="EJ144"/>
          <cell r="EK144"/>
          <cell r="EL144"/>
          <cell r="EM144"/>
          <cell r="EN144"/>
          <cell r="EO144"/>
          <cell r="EP144"/>
          <cell r="EQ144"/>
          <cell r="ER144"/>
          <cell r="ES144"/>
          <cell r="ET144"/>
          <cell r="EU144"/>
          <cell r="EV144"/>
        </row>
        <row r="145">
          <cell r="S145" t="str">
            <v>PRODUCTION TO DATE</v>
          </cell>
          <cell r="T145" t="str">
            <v>Film &amp; Animatic</v>
          </cell>
          <cell r="V145">
            <v>35702</v>
          </cell>
          <cell r="W145">
            <v>35699</v>
          </cell>
          <cell r="X145" t="str">
            <v>TEST</v>
          </cell>
        </row>
        <row r="146">
          <cell r="T146" t="str">
            <v>Finalize StoryBoards</v>
          </cell>
          <cell r="V146">
            <v>35702</v>
          </cell>
          <cell r="W146">
            <v>35706</v>
          </cell>
          <cell r="X146" t="str">
            <v>TEST</v>
          </cell>
        </row>
        <row r="147">
          <cell r="T147" t="str">
            <v>LAYOUTS</v>
          </cell>
          <cell r="V147">
            <v>35709</v>
          </cell>
          <cell r="W147">
            <v>35727</v>
          </cell>
          <cell r="X147" t="str">
            <v>LAYOUT</v>
          </cell>
        </row>
        <row r="148">
          <cell r="T148" t="str">
            <v>2D ANIMATION</v>
          </cell>
          <cell r="V148">
            <v>35716</v>
          </cell>
          <cell r="W148">
            <v>35741</v>
          </cell>
          <cell r="X148" t="str">
            <v>2D</v>
          </cell>
        </row>
        <row r="149">
          <cell r="T149" t="str">
            <v>3D ANIMATION</v>
          </cell>
          <cell r="V149">
            <v>35716</v>
          </cell>
          <cell r="W149">
            <v>35746</v>
          </cell>
          <cell r="X149" t="str">
            <v>3D</v>
          </cell>
        </row>
        <row r="150">
          <cell r="T150" t="str">
            <v>CLEANUP</v>
          </cell>
          <cell r="V150">
            <v>35723</v>
          </cell>
          <cell r="W150">
            <v>35746</v>
          </cell>
          <cell r="X150" t="str">
            <v>2D</v>
          </cell>
        </row>
        <row r="151">
          <cell r="T151" t="str">
            <v>CHECKING</v>
          </cell>
          <cell r="V151">
            <v>35737</v>
          </cell>
          <cell r="W151">
            <v>35750</v>
          </cell>
          <cell r="X151" t="str">
            <v>2D</v>
          </cell>
        </row>
        <row r="152">
          <cell r="T152" t="str">
            <v>DIP &amp; COMPOSITE</v>
          </cell>
          <cell r="V152">
            <v>35744</v>
          </cell>
          <cell r="W152">
            <v>35760</v>
          </cell>
          <cell r="X152" t="str">
            <v>POST</v>
          </cell>
        </row>
        <row r="153">
          <cell r="T153" t="str">
            <v>FINAL LAB</v>
          </cell>
          <cell r="V153">
            <v>35760</v>
          </cell>
          <cell r="W153">
            <v>35765</v>
          </cell>
          <cell r="X153" t="str">
            <v>FINAL LAB</v>
          </cell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  <cell r="CQ153"/>
          <cell r="CR153"/>
          <cell r="CS153"/>
          <cell r="CT153"/>
          <cell r="CU153"/>
          <cell r="CV153"/>
          <cell r="CW153"/>
          <cell r="CX153"/>
          <cell r="CY153"/>
          <cell r="CZ153"/>
          <cell r="DA153"/>
          <cell r="DB153"/>
          <cell r="DC153"/>
          <cell r="DD153"/>
          <cell r="DE153"/>
          <cell r="DF153"/>
          <cell r="DG153"/>
          <cell r="DH153"/>
          <cell r="DI153"/>
          <cell r="DJ153"/>
          <cell r="DK153"/>
          <cell r="DL153"/>
          <cell r="DM153"/>
          <cell r="DN153"/>
          <cell r="DO153"/>
          <cell r="DP153"/>
          <cell r="DQ153"/>
          <cell r="DR153"/>
          <cell r="DS153"/>
          <cell r="DT153"/>
          <cell r="DU153"/>
          <cell r="DV153"/>
          <cell r="DW153"/>
          <cell r="DX153"/>
          <cell r="DY153"/>
          <cell r="DZ153"/>
          <cell r="EA153"/>
          <cell r="EB153"/>
          <cell r="EC153"/>
          <cell r="ED153"/>
          <cell r="EE153"/>
          <cell r="EF153"/>
          <cell r="EG153"/>
          <cell r="EH153"/>
          <cell r="EI153"/>
          <cell r="EJ153"/>
          <cell r="EK153"/>
          <cell r="EL153"/>
          <cell r="EM153"/>
          <cell r="EN153"/>
          <cell r="EO153"/>
          <cell r="EP153"/>
          <cell r="EQ153"/>
          <cell r="ER153"/>
          <cell r="ES153"/>
          <cell r="ET153"/>
          <cell r="EU153"/>
          <cell r="EV153"/>
        </row>
        <row r="154">
          <cell r="S154" t="str">
            <v>COST TO DATE</v>
          </cell>
          <cell r="V154" t="str">
            <v>DIRECT TO DATE</v>
          </cell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/>
          <cell r="DH154"/>
          <cell r="DI154"/>
          <cell r="DJ154"/>
          <cell r="DK154"/>
          <cell r="DL154"/>
          <cell r="DM154"/>
          <cell r="DN154"/>
          <cell r="DO154"/>
          <cell r="DP154"/>
          <cell r="DQ154"/>
          <cell r="DR154"/>
          <cell r="DS154"/>
          <cell r="DT154"/>
          <cell r="DU154"/>
          <cell r="DV154"/>
          <cell r="DW154"/>
          <cell r="DX154"/>
          <cell r="DY154"/>
          <cell r="DZ154"/>
          <cell r="EA154"/>
          <cell r="EB154"/>
          <cell r="EC154"/>
          <cell r="ED154"/>
          <cell r="EE154"/>
          <cell r="EF154"/>
          <cell r="EG154"/>
          <cell r="EH154"/>
          <cell r="EI154"/>
          <cell r="EJ154"/>
          <cell r="EK154"/>
          <cell r="EL154"/>
          <cell r="EM154"/>
          <cell r="EN154"/>
          <cell r="EO154"/>
          <cell r="EP154"/>
          <cell r="EQ154"/>
          <cell r="ER154"/>
          <cell r="ES154"/>
          <cell r="ET154"/>
          <cell r="EU154"/>
          <cell r="EV154"/>
        </row>
        <row r="155">
          <cell r="S155" t="str">
            <v>COST TO DATE</v>
          </cell>
          <cell r="T155" t="str">
            <v>TEST</v>
          </cell>
          <cell r="V155" t="str">
            <v>DIRECT TO DATE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21030.803483748608</v>
          </cell>
          <cell r="AW155">
            <v>14839.647470976515</v>
          </cell>
          <cell r="AX155">
            <v>22.73</v>
          </cell>
          <cell r="AY155">
            <v>718.75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</row>
        <row r="156">
          <cell r="T156" t="str">
            <v>TEST</v>
          </cell>
          <cell r="V156">
            <v>36611.930954725125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21030.803483748608</v>
          </cell>
          <cell r="AW156">
            <v>14839.647470976515</v>
          </cell>
          <cell r="AX156">
            <v>22.73</v>
          </cell>
          <cell r="AY156">
            <v>718.75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</row>
        <row r="157">
          <cell r="T157" t="str">
            <v>LAYOUTS</v>
          </cell>
          <cell r="V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</row>
        <row r="158">
          <cell r="T158" t="str">
            <v>2D ANIMATION</v>
          </cell>
          <cell r="V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</row>
        <row r="159">
          <cell r="T159" t="str">
            <v>3D ANIMATION</v>
          </cell>
          <cell r="V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</row>
        <row r="160">
          <cell r="T160" t="str">
            <v>POST</v>
          </cell>
          <cell r="V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</row>
        <row r="161">
          <cell r="T161" t="str">
            <v>FINAL LAB</v>
          </cell>
          <cell r="V161">
            <v>14978.465132694124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4724.5948103852506</v>
          </cell>
          <cell r="AY161">
            <v>4955.8712437185713</v>
          </cell>
          <cell r="AZ161">
            <v>2629.7578282211111</v>
          </cell>
          <cell r="BA161">
            <v>2519.2112503691919</v>
          </cell>
          <cell r="BB161">
            <v>0</v>
          </cell>
          <cell r="BC161">
            <v>0</v>
          </cell>
          <cell r="BD161">
            <v>0</v>
          </cell>
          <cell r="BE161">
            <v>149.03</v>
          </cell>
          <cell r="BF161">
            <v>0</v>
          </cell>
          <cell r="BG161">
            <v>0</v>
          </cell>
          <cell r="BH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</row>
        <row r="162">
          <cell r="T162" t="str">
            <v>TOTAL COST</v>
          </cell>
          <cell r="V162">
            <v>14978.465132694124</v>
          </cell>
          <cell r="X162" t="str">
            <v>WEEKLY COST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4724.5948103852506</v>
          </cell>
          <cell r="AY162">
            <v>4955.8712437185713</v>
          </cell>
          <cell r="AZ162">
            <v>2629.7578282211111</v>
          </cell>
          <cell r="BA162">
            <v>2519.2112503691919</v>
          </cell>
          <cell r="BB162">
            <v>0</v>
          </cell>
          <cell r="BC162">
            <v>0</v>
          </cell>
          <cell r="BD162">
            <v>0</v>
          </cell>
          <cell r="BE162">
            <v>149.03</v>
          </cell>
          <cell r="BF162">
            <v>0</v>
          </cell>
          <cell r="BG162">
            <v>0</v>
          </cell>
          <cell r="BH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</row>
        <row r="163">
          <cell r="V163">
            <v>20761.209185771775</v>
          </cell>
          <cell r="X163" t="str">
            <v>WEEKLY COST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4724.5948103852506</v>
          </cell>
          <cell r="AY163">
            <v>4955.8712437185713</v>
          </cell>
          <cell r="AZ163">
            <v>2629.7578282211111</v>
          </cell>
          <cell r="BA163">
            <v>2519.2112503691919</v>
          </cell>
          <cell r="BB163">
            <v>0</v>
          </cell>
          <cell r="BC163">
            <v>0</v>
          </cell>
          <cell r="BD163">
            <v>0</v>
          </cell>
          <cell r="BE163">
            <v>149.03</v>
          </cell>
          <cell r="BF163">
            <v>0</v>
          </cell>
          <cell r="BG163">
            <v>0</v>
          </cell>
          <cell r="BH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</row>
        <row r="164">
          <cell r="V164">
            <v>20969.851185771775</v>
          </cell>
          <cell r="X164" t="str">
            <v>CUMULATIVE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6614.4327345393513</v>
          </cell>
          <cell r="AY164">
            <v>6938.2197412059995</v>
          </cell>
          <cell r="AZ164">
            <v>3681.6609595095556</v>
          </cell>
          <cell r="BA164">
            <v>3526.8957505168687</v>
          </cell>
          <cell r="BB164">
            <v>0</v>
          </cell>
          <cell r="BC164">
            <v>0</v>
          </cell>
          <cell r="BD164">
            <v>0</v>
          </cell>
          <cell r="BE164">
            <v>208.642</v>
          </cell>
          <cell r="BF164">
            <v>0</v>
          </cell>
          <cell r="BG164">
            <v>0</v>
          </cell>
          <cell r="BH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</row>
        <row r="165">
          <cell r="V165" t="str">
            <v>PROJECTED RTM</v>
          </cell>
          <cell r="Y165" t="e">
            <v>#REF!</v>
          </cell>
          <cell r="Z165" t="e">
            <v>#REF!</v>
          </cell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>
            <v>428.57142857142856</v>
          </cell>
          <cell r="AZ165">
            <v>428.57142857142856</v>
          </cell>
          <cell r="BA165">
            <v>428.57142857142856</v>
          </cell>
          <cell r="BB165">
            <v>428.57142857142856</v>
          </cell>
          <cell r="BC165">
            <v>428.57142857142856</v>
          </cell>
          <cell r="BD165"/>
          <cell r="BE165"/>
          <cell r="BF165"/>
          <cell r="BG165"/>
          <cell r="BH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</row>
        <row r="166">
          <cell r="V166" t="str">
            <v>PROJECTED RTM</v>
          </cell>
          <cell r="Y166" t="e">
            <v>#REF!</v>
          </cell>
          <cell r="Z166" t="e">
            <v>#REF!</v>
          </cell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BD166"/>
          <cell r="BE166"/>
          <cell r="BF166"/>
          <cell r="BG166"/>
          <cell r="BH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</row>
        <row r="167">
          <cell r="V167" t="str">
            <v>PROJECTED STREET</v>
          </cell>
        </row>
        <row r="168">
          <cell r="V168" t="str">
            <v>+ or - Scheduled Date</v>
          </cell>
        </row>
        <row r="169">
          <cell r="N169" t="str">
            <v>ENGINEERING</v>
          </cell>
          <cell r="R169" t="str">
            <v>ALADDIN READING</v>
          </cell>
          <cell r="W169" t="str">
            <v>FRAMES</v>
          </cell>
          <cell r="X169">
            <v>2956.22</v>
          </cell>
          <cell r="Y169" t="str">
            <v>WK Count</v>
          </cell>
          <cell r="Z169" t="str">
            <v>Total Days</v>
          </cell>
        </row>
        <row r="170">
          <cell r="N170" t="str">
            <v>ENGINEERING</v>
          </cell>
          <cell r="R170" t="str">
            <v>ALADDIN READING</v>
          </cell>
          <cell r="V170" t="str">
            <v xml:space="preserve">START </v>
          </cell>
          <cell r="W170" t="str">
            <v>FRAMES</v>
          </cell>
          <cell r="X170">
            <v>2956.22</v>
          </cell>
          <cell r="Y170" t="str">
            <v>WK Count</v>
          </cell>
          <cell r="Z170" t="str">
            <v>Total Days</v>
          </cell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>
            <v>35730</v>
          </cell>
          <cell r="BA170">
            <v>35737</v>
          </cell>
          <cell r="BB170">
            <v>35744</v>
          </cell>
          <cell r="BC170">
            <v>35751</v>
          </cell>
          <cell r="BD170">
            <v>35758</v>
          </cell>
          <cell r="BE170">
            <v>35765</v>
          </cell>
          <cell r="BF170">
            <v>35772</v>
          </cell>
          <cell r="BG170">
            <v>35779</v>
          </cell>
          <cell r="BH170">
            <v>35786</v>
          </cell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K170"/>
          <cell r="DL170"/>
          <cell r="DM170"/>
          <cell r="DN170"/>
          <cell r="DO170"/>
          <cell r="DP170"/>
          <cell r="DQ170"/>
          <cell r="DR170"/>
          <cell r="DS170"/>
          <cell r="DT170"/>
          <cell r="DU170"/>
          <cell r="DV170"/>
          <cell r="DW170"/>
          <cell r="DX170"/>
          <cell r="DY170"/>
          <cell r="DZ170"/>
          <cell r="EA170"/>
          <cell r="EB170"/>
          <cell r="EC170"/>
          <cell r="ED170"/>
          <cell r="EE170"/>
          <cell r="EF170"/>
          <cell r="EG170"/>
          <cell r="EH170"/>
          <cell r="EI170"/>
          <cell r="EJ170"/>
          <cell r="EK170"/>
          <cell r="EL170"/>
          <cell r="EM170"/>
          <cell r="EN170"/>
          <cell r="EO170"/>
          <cell r="EP170"/>
          <cell r="EQ170"/>
          <cell r="ER170"/>
          <cell r="ES170"/>
          <cell r="ET170"/>
          <cell r="EU170"/>
          <cell r="EV170"/>
        </row>
        <row r="171">
          <cell r="A171" t="str">
            <v>PREP</v>
          </cell>
          <cell r="F171" t="str">
            <v>ANIMATION</v>
          </cell>
          <cell r="I171" t="str">
            <v>INK &amp; PAINT</v>
          </cell>
          <cell r="L171" t="str">
            <v>ALPHA</v>
          </cell>
          <cell r="N171" t="str">
            <v>BETA</v>
          </cell>
          <cell r="P171" t="str">
            <v>RTM</v>
          </cell>
          <cell r="R171" t="str">
            <v>STREET</v>
          </cell>
          <cell r="T171" t="str">
            <v>Prep Projection</v>
          </cell>
          <cell r="V171" t="str">
            <v xml:space="preserve">START </v>
          </cell>
          <cell r="W171" t="str">
            <v>END</v>
          </cell>
          <cell r="X171">
            <v>400</v>
          </cell>
          <cell r="Y171">
            <v>9</v>
          </cell>
          <cell r="Z171">
            <v>65.73384999999999</v>
          </cell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>
            <v>35730</v>
          </cell>
          <cell r="BA171">
            <v>35737</v>
          </cell>
          <cell r="BB171">
            <v>35744</v>
          </cell>
          <cell r="BC171">
            <v>35751</v>
          </cell>
          <cell r="BD171">
            <v>35758</v>
          </cell>
          <cell r="BE171">
            <v>35765</v>
          </cell>
          <cell r="BF171">
            <v>35772</v>
          </cell>
          <cell r="BG171">
            <v>35779</v>
          </cell>
          <cell r="BH171">
            <v>35786</v>
          </cell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K171"/>
          <cell r="DL171"/>
          <cell r="DM171"/>
          <cell r="DN171"/>
          <cell r="DO171"/>
          <cell r="DP171"/>
          <cell r="DQ171"/>
          <cell r="DR171"/>
          <cell r="DS171"/>
          <cell r="DT171"/>
          <cell r="DU171"/>
          <cell r="DV171"/>
          <cell r="DW171"/>
          <cell r="DX171"/>
          <cell r="DY171"/>
          <cell r="DZ171"/>
          <cell r="EA171"/>
          <cell r="EB171"/>
          <cell r="EC171"/>
          <cell r="ED171"/>
          <cell r="EE171"/>
          <cell r="EF171"/>
          <cell r="EG171"/>
          <cell r="EH171"/>
          <cell r="EI171"/>
          <cell r="EJ171"/>
          <cell r="EK171"/>
          <cell r="EL171"/>
          <cell r="EM171"/>
          <cell r="EN171"/>
          <cell r="EO171"/>
          <cell r="EP171"/>
          <cell r="EQ171"/>
          <cell r="ER171"/>
          <cell r="ES171"/>
          <cell r="ET171"/>
          <cell r="EU171"/>
          <cell r="EV171"/>
          <cell r="EW171"/>
        </row>
        <row r="172">
          <cell r="A172" t="str">
            <v>PREP</v>
          </cell>
          <cell r="F172" t="str">
            <v>ANIMATION</v>
          </cell>
          <cell r="I172" t="str">
            <v>INK &amp; PAINT</v>
          </cell>
          <cell r="L172" t="str">
            <v>ALPHA</v>
          </cell>
          <cell r="N172" t="str">
            <v>BETA</v>
          </cell>
          <cell r="P172" t="str">
            <v>RTM</v>
          </cell>
          <cell r="R172" t="str">
            <v>STREET</v>
          </cell>
          <cell r="S172" t="str">
            <v>PRODUCTION TO DATE</v>
          </cell>
          <cell r="T172" t="str">
            <v>Prep Projection</v>
          </cell>
          <cell r="V172">
            <v>35727</v>
          </cell>
          <cell r="W172">
            <v>35811</v>
          </cell>
          <cell r="X172">
            <v>400</v>
          </cell>
          <cell r="Y172">
            <v>9</v>
          </cell>
          <cell r="Z172">
            <v>65.73384999999999</v>
          </cell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>
            <v>100</v>
          </cell>
          <cell r="BA172">
            <v>200</v>
          </cell>
          <cell r="BB172">
            <v>300</v>
          </cell>
          <cell r="BC172">
            <v>400</v>
          </cell>
          <cell r="BD172">
            <v>400</v>
          </cell>
          <cell r="BE172">
            <v>400</v>
          </cell>
          <cell r="BF172">
            <v>400</v>
          </cell>
          <cell r="BG172">
            <v>400</v>
          </cell>
          <cell r="BH172">
            <v>400</v>
          </cell>
          <cell r="BI172"/>
          <cell r="BJ172"/>
          <cell r="BK172"/>
          <cell r="BL172"/>
          <cell r="BM172"/>
          <cell r="BN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  <cell r="CL172"/>
          <cell r="CM172"/>
          <cell r="CN172"/>
          <cell r="CO172"/>
          <cell r="CP172"/>
          <cell r="CQ172"/>
          <cell r="CR172"/>
          <cell r="CS172"/>
          <cell r="CT172"/>
          <cell r="CU172"/>
          <cell r="CV172"/>
          <cell r="CW172"/>
          <cell r="CX172"/>
          <cell r="CY172"/>
          <cell r="CZ172"/>
          <cell r="DA172"/>
          <cell r="DB172"/>
          <cell r="DC172"/>
          <cell r="DD172"/>
          <cell r="DE172"/>
          <cell r="DF172"/>
          <cell r="DG172"/>
          <cell r="DH172"/>
          <cell r="DI172"/>
          <cell r="DJ172"/>
          <cell r="DK172"/>
          <cell r="DL172"/>
          <cell r="DM172"/>
          <cell r="DN172"/>
          <cell r="DO172"/>
          <cell r="DP172"/>
          <cell r="DQ172"/>
          <cell r="DR172"/>
          <cell r="DS172"/>
          <cell r="DT172"/>
          <cell r="DU172"/>
          <cell r="DV172"/>
          <cell r="DW172"/>
          <cell r="DX172"/>
          <cell r="DY172"/>
          <cell r="DZ172"/>
          <cell r="EA172"/>
          <cell r="EB172"/>
          <cell r="EC172"/>
          <cell r="ED172"/>
          <cell r="EE172"/>
          <cell r="EF172"/>
          <cell r="EG172"/>
          <cell r="EH172"/>
          <cell r="EI172"/>
          <cell r="EJ172"/>
          <cell r="EK172"/>
          <cell r="EL172"/>
          <cell r="EM172"/>
          <cell r="EN172"/>
          <cell r="EO172"/>
          <cell r="EP172"/>
          <cell r="EQ172"/>
          <cell r="ER172"/>
          <cell r="ES172"/>
          <cell r="ET172"/>
          <cell r="EU172"/>
          <cell r="EV172"/>
          <cell r="EW172"/>
        </row>
        <row r="173">
          <cell r="S173" t="str">
            <v>PRODUCTION TO DATE</v>
          </cell>
        </row>
        <row r="174">
          <cell r="T174" t="str">
            <v>Scenes Issued</v>
          </cell>
          <cell r="V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</row>
        <row r="175">
          <cell r="T175" t="str">
            <v>Scenes Issued</v>
          </cell>
          <cell r="V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</row>
        <row r="176">
          <cell r="T176" t="str">
            <v>Into Rough</v>
          </cell>
          <cell r="V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</row>
        <row r="177">
          <cell r="T177" t="str">
            <v>Rough Complete</v>
          </cell>
          <cell r="V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</row>
        <row r="178">
          <cell r="T178" t="str">
            <v>Ruff Approved</v>
          </cell>
          <cell r="V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</row>
        <row r="179">
          <cell r="T179" t="str">
            <v>Clean Complete</v>
          </cell>
          <cell r="V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</row>
        <row r="180">
          <cell r="T180" t="str">
            <v>Approved</v>
          </cell>
          <cell r="V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</row>
        <row r="181">
          <cell r="T181" t="str">
            <v>Turned In</v>
          </cell>
          <cell r="V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</row>
        <row r="182">
          <cell r="A182" t="str">
            <v>Wks</v>
          </cell>
          <cell r="B182" t="str">
            <v>Days</v>
          </cell>
          <cell r="F182" t="str">
            <v>Wks</v>
          </cell>
          <cell r="G182" t="str">
            <v>Days</v>
          </cell>
          <cell r="H182" t="str">
            <v>Frames</v>
          </cell>
          <cell r="I182" t="str">
            <v>Wks</v>
          </cell>
          <cell r="J182" t="str">
            <v>Days</v>
          </cell>
          <cell r="T182" t="str">
            <v>Animation Projection</v>
          </cell>
          <cell r="V182">
            <v>35786</v>
          </cell>
          <cell r="W182">
            <v>35853</v>
          </cell>
          <cell r="X182">
            <v>750</v>
          </cell>
          <cell r="Y182">
            <v>12</v>
          </cell>
          <cell r="Z182">
            <v>57.591386666666665</v>
          </cell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375</v>
          </cell>
          <cell r="BM182">
            <v>425</v>
          </cell>
          <cell r="BN182">
            <v>425</v>
          </cell>
          <cell r="BO182">
            <v>425</v>
          </cell>
          <cell r="BP182">
            <v>425</v>
          </cell>
          <cell r="BQ182">
            <v>425</v>
          </cell>
          <cell r="BR182">
            <v>425</v>
          </cell>
          <cell r="BS182">
            <v>425</v>
          </cell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  <cell r="CK182"/>
          <cell r="CL182"/>
          <cell r="CM182"/>
          <cell r="CN182"/>
          <cell r="CO182"/>
          <cell r="CP182"/>
          <cell r="CQ182"/>
          <cell r="CR182"/>
          <cell r="CS182"/>
          <cell r="CT182"/>
          <cell r="CU182"/>
          <cell r="CV182"/>
          <cell r="CW182"/>
          <cell r="CX182"/>
          <cell r="CY182"/>
          <cell r="CZ182"/>
          <cell r="DA182"/>
          <cell r="DB182"/>
          <cell r="DC182"/>
          <cell r="DD182"/>
          <cell r="DE182"/>
          <cell r="DF182"/>
          <cell r="DG182"/>
          <cell r="DH182"/>
          <cell r="DI182"/>
          <cell r="DJ182"/>
          <cell r="DK182"/>
          <cell r="DL182"/>
          <cell r="DM182"/>
          <cell r="DN182"/>
          <cell r="DO182"/>
          <cell r="DP182"/>
          <cell r="DQ182"/>
          <cell r="DR182"/>
          <cell r="DS182"/>
          <cell r="DT182"/>
          <cell r="DU182"/>
          <cell r="DV182"/>
          <cell r="DW182"/>
          <cell r="DX182"/>
          <cell r="DY182"/>
          <cell r="DZ182"/>
          <cell r="EA182"/>
          <cell r="EB182"/>
          <cell r="EC182"/>
          <cell r="ED182"/>
          <cell r="EE182"/>
          <cell r="EF182"/>
          <cell r="EG182"/>
          <cell r="EH182"/>
          <cell r="EI182"/>
          <cell r="EJ182"/>
          <cell r="EK182"/>
          <cell r="EL182"/>
          <cell r="EM182"/>
          <cell r="EN182"/>
          <cell r="EO182"/>
          <cell r="EP182"/>
          <cell r="EQ182"/>
          <cell r="ER182"/>
          <cell r="ES182"/>
          <cell r="ET182"/>
          <cell r="EU182"/>
          <cell r="EV182"/>
          <cell r="EW182"/>
        </row>
        <row r="183">
          <cell r="A183" t="str">
            <v>Wks</v>
          </cell>
          <cell r="B183" t="str">
            <v>Days</v>
          </cell>
          <cell r="F183" t="str">
            <v>Wks</v>
          </cell>
          <cell r="G183" t="str">
            <v>Days</v>
          </cell>
          <cell r="H183" t="str">
            <v>Frames</v>
          </cell>
          <cell r="I183" t="str">
            <v>Wks</v>
          </cell>
          <cell r="J183" t="str">
            <v>Days</v>
          </cell>
          <cell r="K183">
            <v>21</v>
          </cell>
          <cell r="M183">
            <v>29</v>
          </cell>
          <cell r="O183">
            <v>29</v>
          </cell>
          <cell r="Q183">
            <v>29</v>
          </cell>
          <cell r="R183">
            <v>36008</v>
          </cell>
          <cell r="T183" t="str">
            <v>Animation Projection</v>
          </cell>
          <cell r="V183">
            <v>35786</v>
          </cell>
          <cell r="W183">
            <v>35863</v>
          </cell>
          <cell r="X183">
            <v>750</v>
          </cell>
          <cell r="Y183">
            <v>12</v>
          </cell>
          <cell r="Z183">
            <v>57.591386666666665</v>
          </cell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/>
          <cell r="AR183"/>
          <cell r="AS183"/>
          <cell r="AT183"/>
          <cell r="AU183"/>
          <cell r="AV183"/>
          <cell r="AW183"/>
          <cell r="AX183"/>
          <cell r="AY183"/>
          <cell r="AZ183"/>
          <cell r="BA183"/>
          <cell r="BB183"/>
          <cell r="BC183"/>
          <cell r="BD183"/>
          <cell r="BE183"/>
          <cell r="BF183"/>
          <cell r="BG183"/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375</v>
          </cell>
          <cell r="BM183">
            <v>425</v>
          </cell>
          <cell r="BN183">
            <v>425</v>
          </cell>
          <cell r="BO183">
            <v>425</v>
          </cell>
          <cell r="BP183">
            <v>425</v>
          </cell>
          <cell r="BQ183">
            <v>425</v>
          </cell>
          <cell r="BR183">
            <v>425</v>
          </cell>
          <cell r="BS183">
            <v>425</v>
          </cell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  <cell r="CK183"/>
          <cell r="CL183"/>
          <cell r="CM183"/>
          <cell r="CN183"/>
          <cell r="CO183"/>
          <cell r="CP183"/>
          <cell r="CQ183"/>
          <cell r="CR183"/>
          <cell r="CS183"/>
          <cell r="CT183"/>
          <cell r="CU183"/>
          <cell r="CV183"/>
          <cell r="CW183"/>
          <cell r="CX183"/>
          <cell r="CY183"/>
          <cell r="CZ183"/>
          <cell r="DA183"/>
          <cell r="DB183"/>
          <cell r="DC183"/>
          <cell r="DD183"/>
          <cell r="DE183"/>
          <cell r="DF183"/>
          <cell r="DG183"/>
          <cell r="DH183"/>
          <cell r="DI183"/>
          <cell r="DJ183"/>
          <cell r="DK183"/>
          <cell r="DL183"/>
          <cell r="DM183"/>
          <cell r="DN183"/>
          <cell r="DO183"/>
          <cell r="DP183"/>
          <cell r="DQ183"/>
          <cell r="DR183"/>
          <cell r="DS183"/>
          <cell r="DT183"/>
          <cell r="DU183"/>
          <cell r="DV183"/>
          <cell r="DW183"/>
          <cell r="DX183"/>
          <cell r="DY183"/>
          <cell r="DZ183"/>
          <cell r="EA183"/>
          <cell r="EB183"/>
          <cell r="EC183"/>
          <cell r="ED183"/>
          <cell r="EE183"/>
          <cell r="EF183"/>
          <cell r="EG183"/>
          <cell r="EH183"/>
          <cell r="EI183"/>
          <cell r="EJ183"/>
          <cell r="EK183"/>
          <cell r="EL183"/>
          <cell r="EM183"/>
          <cell r="EN183"/>
          <cell r="EO183"/>
          <cell r="EP183"/>
          <cell r="EQ183"/>
          <cell r="ER183"/>
          <cell r="ES183"/>
          <cell r="ET183"/>
          <cell r="EU183"/>
          <cell r="EV183"/>
          <cell r="EW183"/>
        </row>
        <row r="184">
          <cell r="A184">
            <v>7.3905499999999993</v>
          </cell>
          <cell r="B184">
            <v>65.73384999999999</v>
          </cell>
          <cell r="F184">
            <v>3.9416266666666666</v>
          </cell>
          <cell r="G184">
            <v>57.591386666666665</v>
          </cell>
          <cell r="H184">
            <v>2956.22</v>
          </cell>
          <cell r="I184">
            <v>3.2846888888888888</v>
          </cell>
          <cell r="J184">
            <v>36.992822222222223</v>
          </cell>
          <cell r="K184">
            <v>21</v>
          </cell>
          <cell r="M184">
            <v>29</v>
          </cell>
          <cell r="O184">
            <v>29</v>
          </cell>
          <cell r="Q184">
            <v>29</v>
          </cell>
          <cell r="R184">
            <v>36008</v>
          </cell>
          <cell r="T184" t="str">
            <v>Ink &amp; Paint Projection</v>
          </cell>
          <cell r="V184">
            <v>35822</v>
          </cell>
          <cell r="W184">
            <v>35858.992822222222</v>
          </cell>
          <cell r="X184">
            <v>900</v>
          </cell>
          <cell r="Y184">
            <v>8</v>
          </cell>
          <cell r="Z184">
            <v>36.992822222222223</v>
          </cell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>
            <v>225</v>
          </cell>
          <cell r="BO184">
            <v>450</v>
          </cell>
          <cell r="BP184">
            <v>450</v>
          </cell>
          <cell r="BQ184">
            <v>675</v>
          </cell>
          <cell r="BR184">
            <v>450</v>
          </cell>
          <cell r="BS184">
            <v>675</v>
          </cell>
          <cell r="BT184">
            <v>900</v>
          </cell>
          <cell r="BU184">
            <v>900</v>
          </cell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K184"/>
          <cell r="DL184"/>
          <cell r="DM184"/>
          <cell r="DN184"/>
          <cell r="DO184"/>
          <cell r="DP184"/>
          <cell r="DQ184"/>
          <cell r="DR184"/>
          <cell r="DS184"/>
          <cell r="DT184"/>
          <cell r="DU184"/>
          <cell r="DV184"/>
          <cell r="DW184"/>
          <cell r="DX184"/>
          <cell r="DY184"/>
          <cell r="DZ184"/>
          <cell r="EA184"/>
          <cell r="EB184"/>
          <cell r="EC184"/>
          <cell r="ED184"/>
          <cell r="EE184"/>
          <cell r="EF184"/>
          <cell r="EG184"/>
          <cell r="EH184"/>
          <cell r="EI184"/>
          <cell r="EJ184"/>
          <cell r="EK184"/>
          <cell r="EL184"/>
          <cell r="EM184"/>
          <cell r="EN184"/>
          <cell r="EO184"/>
          <cell r="EP184"/>
          <cell r="EQ184"/>
          <cell r="ER184"/>
          <cell r="ES184"/>
          <cell r="ET184"/>
          <cell r="EU184"/>
          <cell r="EV184"/>
          <cell r="EW184"/>
        </row>
        <row r="186">
          <cell r="T186" t="str">
            <v>BUDGET FORECAST</v>
          </cell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>
            <v>35730</v>
          </cell>
          <cell r="BA186">
            <v>35737</v>
          </cell>
          <cell r="BB186">
            <v>35744</v>
          </cell>
          <cell r="BC186">
            <v>35751</v>
          </cell>
          <cell r="BD186">
            <v>35758</v>
          </cell>
          <cell r="BE186">
            <v>35765</v>
          </cell>
          <cell r="BF186">
            <v>35772</v>
          </cell>
          <cell r="BG186">
            <v>35779</v>
          </cell>
          <cell r="BH186">
            <v>35786</v>
          </cell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K186"/>
          <cell r="DL186"/>
          <cell r="DM186"/>
          <cell r="DN186"/>
          <cell r="DO186"/>
          <cell r="DP186"/>
          <cell r="DQ186"/>
          <cell r="DR186"/>
          <cell r="DS186"/>
          <cell r="DT186"/>
          <cell r="DU186"/>
          <cell r="DV186"/>
          <cell r="DW186"/>
          <cell r="DX186"/>
          <cell r="DY186"/>
          <cell r="DZ186"/>
          <cell r="EA186"/>
          <cell r="EB186"/>
          <cell r="EC186"/>
          <cell r="ED186"/>
          <cell r="EE186"/>
          <cell r="EF186"/>
          <cell r="EG186"/>
          <cell r="EH186"/>
          <cell r="EI186"/>
          <cell r="EJ186"/>
          <cell r="EK186"/>
          <cell r="EL186"/>
          <cell r="EM186"/>
          <cell r="EN186"/>
          <cell r="EO186"/>
          <cell r="EP186"/>
          <cell r="EQ186"/>
          <cell r="ER186"/>
          <cell r="ES186"/>
          <cell r="ET186"/>
          <cell r="EU186"/>
          <cell r="EV186"/>
          <cell r="EW186"/>
          <cell r="EX186"/>
          <cell r="EY186"/>
          <cell r="EZ186"/>
          <cell r="FA186"/>
          <cell r="FB186"/>
          <cell r="FC186"/>
          <cell r="FD186"/>
          <cell r="FE186"/>
          <cell r="FF186"/>
          <cell r="FG186"/>
          <cell r="FH186"/>
          <cell r="FI186"/>
        </row>
        <row r="187">
          <cell r="T187" t="str">
            <v>BUDGET FORECAST</v>
          </cell>
          <cell r="V187" t="str">
            <v>PRE PROD</v>
          </cell>
          <cell r="W187">
            <v>30</v>
          </cell>
          <cell r="X187">
            <v>90000</v>
          </cell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>
            <v>3000</v>
          </cell>
          <cell r="BA187">
            <v>6000</v>
          </cell>
          <cell r="BB187">
            <v>9000</v>
          </cell>
          <cell r="BC187">
            <v>12000</v>
          </cell>
          <cell r="BD187">
            <v>12000</v>
          </cell>
          <cell r="BE187">
            <v>12000</v>
          </cell>
          <cell r="BF187">
            <v>12000</v>
          </cell>
          <cell r="BG187">
            <v>12000</v>
          </cell>
          <cell r="BH187">
            <v>12000</v>
          </cell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K187"/>
          <cell r="DL187"/>
          <cell r="DM187"/>
          <cell r="DN187"/>
          <cell r="DO187"/>
          <cell r="DP187"/>
          <cell r="DQ187"/>
          <cell r="DR187"/>
          <cell r="DS187"/>
          <cell r="DT187"/>
          <cell r="DU187"/>
          <cell r="DV187"/>
          <cell r="DW187"/>
          <cell r="DX187"/>
          <cell r="DY187"/>
          <cell r="DZ187"/>
          <cell r="EA187"/>
          <cell r="EB187"/>
          <cell r="EC187"/>
          <cell r="ED187"/>
          <cell r="EE187"/>
          <cell r="EF187"/>
          <cell r="EG187"/>
          <cell r="EH187"/>
          <cell r="EI187"/>
          <cell r="EJ187"/>
          <cell r="EK187"/>
          <cell r="EL187"/>
          <cell r="EM187"/>
          <cell r="EN187"/>
          <cell r="EO187"/>
          <cell r="EP187"/>
          <cell r="EQ187"/>
          <cell r="ER187"/>
          <cell r="ES187"/>
          <cell r="ET187"/>
          <cell r="EU187"/>
          <cell r="EV187"/>
          <cell r="EW187"/>
          <cell r="EX187"/>
          <cell r="EY187"/>
          <cell r="EZ187"/>
          <cell r="FA187"/>
          <cell r="FB187"/>
          <cell r="FC187"/>
          <cell r="FD187"/>
          <cell r="FE187"/>
          <cell r="FF187"/>
          <cell r="FG187"/>
          <cell r="FH187"/>
          <cell r="FI187"/>
        </row>
        <row r="188">
          <cell r="V188" t="str">
            <v>PRE PROD</v>
          </cell>
          <cell r="W188">
            <v>30</v>
          </cell>
          <cell r="X188">
            <v>97000</v>
          </cell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>
            <v>3000</v>
          </cell>
          <cell r="BA188">
            <v>6000</v>
          </cell>
          <cell r="BB188">
            <v>9000</v>
          </cell>
          <cell r="BC188">
            <v>12000</v>
          </cell>
          <cell r="BD188">
            <v>12000</v>
          </cell>
          <cell r="BE188">
            <v>12000</v>
          </cell>
          <cell r="BF188">
            <v>13000</v>
          </cell>
          <cell r="BG188">
            <v>18000</v>
          </cell>
          <cell r="BH188">
            <v>12000</v>
          </cell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K188"/>
          <cell r="DL188"/>
          <cell r="DM188"/>
          <cell r="DN188"/>
          <cell r="DO188"/>
          <cell r="DP188"/>
          <cell r="DQ188"/>
          <cell r="DR188"/>
          <cell r="DS188"/>
          <cell r="DT188"/>
          <cell r="DU188"/>
          <cell r="DV188"/>
          <cell r="DW188"/>
          <cell r="DX188"/>
          <cell r="DY188"/>
          <cell r="DZ188"/>
          <cell r="EA188"/>
          <cell r="EB188"/>
          <cell r="EC188"/>
          <cell r="ED188"/>
          <cell r="EE188"/>
          <cell r="EF188"/>
          <cell r="EG188"/>
          <cell r="EH188"/>
          <cell r="EI188"/>
          <cell r="EJ188"/>
          <cell r="EK188"/>
          <cell r="EL188"/>
          <cell r="EM188"/>
          <cell r="EN188"/>
          <cell r="EO188"/>
          <cell r="EP188"/>
          <cell r="EQ188"/>
          <cell r="ER188"/>
          <cell r="ES188"/>
          <cell r="ET188"/>
          <cell r="EU188"/>
          <cell r="EV188"/>
          <cell r="EW188"/>
          <cell r="EX188"/>
          <cell r="EY188"/>
          <cell r="EZ188"/>
          <cell r="FA188"/>
          <cell r="FB188"/>
          <cell r="FC188"/>
          <cell r="FD188"/>
          <cell r="FE188"/>
          <cell r="FF188"/>
          <cell r="FG188"/>
          <cell r="FH188"/>
          <cell r="FI188"/>
        </row>
        <row r="189">
          <cell r="V189" t="str">
            <v>PRODUCTION</v>
          </cell>
          <cell r="W189">
            <v>150</v>
          </cell>
          <cell r="X189">
            <v>438750</v>
          </cell>
          <cell r="AA189">
            <v>0</v>
          </cell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56250</v>
          </cell>
          <cell r="BM189">
            <v>63750</v>
          </cell>
          <cell r="BN189">
            <v>63750</v>
          </cell>
          <cell r="BO189">
            <v>63750</v>
          </cell>
          <cell r="BP189">
            <v>63750</v>
          </cell>
          <cell r="BQ189">
            <v>63750</v>
          </cell>
          <cell r="BR189">
            <v>63750</v>
          </cell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K189"/>
          <cell r="DL189"/>
          <cell r="DM189"/>
          <cell r="DN189"/>
          <cell r="DO189"/>
          <cell r="DP189"/>
          <cell r="DQ189"/>
          <cell r="DR189"/>
          <cell r="DS189"/>
          <cell r="DT189"/>
          <cell r="DU189"/>
          <cell r="DV189"/>
          <cell r="DW189"/>
          <cell r="DX189"/>
          <cell r="DY189"/>
          <cell r="DZ189"/>
          <cell r="EA189"/>
          <cell r="EB189"/>
          <cell r="EC189"/>
          <cell r="ED189"/>
          <cell r="EE189"/>
          <cell r="EF189"/>
          <cell r="EG189"/>
          <cell r="EH189"/>
          <cell r="EI189"/>
          <cell r="EJ189"/>
          <cell r="EK189"/>
          <cell r="EL189"/>
          <cell r="EM189"/>
          <cell r="EN189"/>
          <cell r="EO189"/>
          <cell r="EP189"/>
          <cell r="EQ189"/>
          <cell r="ER189"/>
          <cell r="ES189"/>
          <cell r="ET189"/>
          <cell r="EU189"/>
          <cell r="EV189"/>
          <cell r="EW189"/>
          <cell r="EX189"/>
          <cell r="EY189"/>
          <cell r="EZ189"/>
          <cell r="FA189"/>
          <cell r="FB189"/>
          <cell r="FC189"/>
          <cell r="FD189"/>
          <cell r="FE189"/>
          <cell r="FF189"/>
          <cell r="FG189"/>
          <cell r="FH189"/>
          <cell r="FI189"/>
        </row>
        <row r="190">
          <cell r="V190" t="str">
            <v>PRODUCTION</v>
          </cell>
          <cell r="W190">
            <v>150</v>
          </cell>
          <cell r="X190">
            <v>531400</v>
          </cell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>
            <v>15150</v>
          </cell>
          <cell r="BI190">
            <v>22000</v>
          </cell>
          <cell r="BJ190">
            <v>28000</v>
          </cell>
          <cell r="BK190">
            <v>34000</v>
          </cell>
          <cell r="BL190">
            <v>40000</v>
          </cell>
          <cell r="BM190">
            <v>63750</v>
          </cell>
          <cell r="BN190">
            <v>63750</v>
          </cell>
          <cell r="BO190">
            <v>63750</v>
          </cell>
          <cell r="BP190">
            <v>67000</v>
          </cell>
          <cell r="BQ190">
            <v>67000</v>
          </cell>
          <cell r="BR190">
            <v>67000</v>
          </cell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K190"/>
          <cell r="DL190"/>
          <cell r="DM190"/>
          <cell r="DN190"/>
          <cell r="DO190"/>
          <cell r="DP190"/>
          <cell r="DQ190"/>
          <cell r="DR190"/>
          <cell r="DS190"/>
          <cell r="DT190"/>
          <cell r="DU190"/>
          <cell r="DV190"/>
          <cell r="DW190"/>
          <cell r="DX190"/>
          <cell r="DY190"/>
          <cell r="DZ190"/>
          <cell r="EA190"/>
          <cell r="EB190"/>
          <cell r="EC190"/>
          <cell r="ED190"/>
          <cell r="EE190"/>
          <cell r="EF190"/>
          <cell r="EG190"/>
          <cell r="EH190"/>
          <cell r="EI190"/>
          <cell r="EJ190"/>
          <cell r="EK190"/>
          <cell r="EL190"/>
          <cell r="EM190"/>
          <cell r="EN190"/>
          <cell r="EO190"/>
          <cell r="EP190"/>
          <cell r="EQ190"/>
          <cell r="ER190"/>
          <cell r="ES190"/>
          <cell r="ET190"/>
          <cell r="EU190"/>
          <cell r="EV190"/>
          <cell r="EW190"/>
          <cell r="EX190"/>
          <cell r="EY190"/>
          <cell r="EZ190"/>
          <cell r="FA190"/>
          <cell r="FB190"/>
          <cell r="FC190"/>
          <cell r="FD190"/>
          <cell r="FE190"/>
          <cell r="FF190"/>
          <cell r="FG190"/>
          <cell r="FH190"/>
          <cell r="FI190"/>
        </row>
        <row r="191">
          <cell r="V191" t="str">
            <v>INK &amp; PAINT</v>
          </cell>
          <cell r="W191">
            <v>8</v>
          </cell>
          <cell r="X191">
            <v>34200</v>
          </cell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>
            <v>1800</v>
          </cell>
          <cell r="BO191">
            <v>3600</v>
          </cell>
          <cell r="BP191">
            <v>5400</v>
          </cell>
          <cell r="BQ191">
            <v>3600</v>
          </cell>
          <cell r="BR191">
            <v>5400</v>
          </cell>
          <cell r="BS191">
            <v>7200</v>
          </cell>
          <cell r="BT191">
            <v>7200</v>
          </cell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K191"/>
          <cell r="DL191"/>
          <cell r="DM191"/>
          <cell r="DN191"/>
          <cell r="DO191"/>
          <cell r="DP191"/>
          <cell r="DQ191"/>
          <cell r="DR191"/>
          <cell r="DS191"/>
          <cell r="DT191"/>
          <cell r="DU191"/>
          <cell r="DV191"/>
          <cell r="DW191"/>
          <cell r="DX191"/>
          <cell r="DY191"/>
          <cell r="DZ191"/>
          <cell r="EA191"/>
          <cell r="EB191"/>
          <cell r="EC191"/>
          <cell r="ED191"/>
          <cell r="EE191"/>
          <cell r="EF191"/>
          <cell r="EG191"/>
          <cell r="EH191"/>
          <cell r="EI191"/>
          <cell r="EJ191"/>
          <cell r="EK191"/>
          <cell r="EL191"/>
          <cell r="EM191"/>
          <cell r="EN191"/>
          <cell r="EO191"/>
          <cell r="EP191"/>
          <cell r="EQ191"/>
          <cell r="ER191"/>
          <cell r="ES191"/>
          <cell r="ET191"/>
          <cell r="EU191"/>
          <cell r="EV191"/>
          <cell r="EW191"/>
          <cell r="EX191"/>
          <cell r="EY191"/>
          <cell r="EZ191"/>
          <cell r="FA191"/>
          <cell r="FB191"/>
          <cell r="FC191"/>
          <cell r="FD191"/>
          <cell r="FE191"/>
          <cell r="FF191"/>
          <cell r="FG191"/>
          <cell r="FH191"/>
          <cell r="FI191"/>
        </row>
        <row r="192">
          <cell r="V192" t="str">
            <v>INK &amp; PAINT</v>
          </cell>
          <cell r="W192">
            <v>8</v>
          </cell>
          <cell r="X192">
            <v>39600</v>
          </cell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>
            <v>1800</v>
          </cell>
          <cell r="BO192">
            <v>3600</v>
          </cell>
          <cell r="BP192">
            <v>5400</v>
          </cell>
          <cell r="BQ192">
            <v>7200</v>
          </cell>
          <cell r="BR192">
            <v>7200</v>
          </cell>
          <cell r="BS192">
            <v>7200</v>
          </cell>
          <cell r="BT192">
            <v>7200</v>
          </cell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K192"/>
          <cell r="DL192"/>
          <cell r="DM192"/>
          <cell r="DN192"/>
          <cell r="DO192"/>
          <cell r="DP192"/>
          <cell r="DQ192"/>
          <cell r="DR192"/>
          <cell r="DS192"/>
          <cell r="DT192"/>
          <cell r="DU192"/>
          <cell r="DV192"/>
          <cell r="DW192"/>
          <cell r="DX192"/>
          <cell r="DY192"/>
          <cell r="DZ192"/>
          <cell r="EA192"/>
          <cell r="EB192"/>
          <cell r="EC192"/>
          <cell r="ED192"/>
          <cell r="EE192"/>
          <cell r="EF192"/>
          <cell r="EG192"/>
          <cell r="EH192"/>
          <cell r="EI192"/>
          <cell r="EJ192"/>
          <cell r="EK192"/>
          <cell r="EL192"/>
          <cell r="EM192"/>
          <cell r="EN192"/>
          <cell r="EO192"/>
          <cell r="EP192"/>
          <cell r="EQ192"/>
          <cell r="ER192"/>
          <cell r="ES192"/>
          <cell r="ET192"/>
          <cell r="EU192"/>
          <cell r="EV192"/>
          <cell r="EW192"/>
          <cell r="EX192"/>
          <cell r="EY192"/>
          <cell r="EZ192"/>
          <cell r="FA192"/>
          <cell r="FB192"/>
          <cell r="FC192"/>
          <cell r="FD192"/>
          <cell r="FE192"/>
          <cell r="FF192"/>
          <cell r="FG192"/>
          <cell r="FH192"/>
          <cell r="FI192"/>
        </row>
        <row r="193">
          <cell r="X193" t="str">
            <v>DIRECT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3000</v>
          </cell>
          <cell r="BA193">
            <v>6000</v>
          </cell>
          <cell r="BB193">
            <v>9000</v>
          </cell>
          <cell r="BC193">
            <v>12000</v>
          </cell>
          <cell r="BD193">
            <v>12000</v>
          </cell>
          <cell r="BE193">
            <v>12000</v>
          </cell>
          <cell r="BF193">
            <v>12000</v>
          </cell>
          <cell r="BG193">
            <v>12000</v>
          </cell>
          <cell r="BH193">
            <v>12000</v>
          </cell>
          <cell r="BI193">
            <v>0</v>
          </cell>
          <cell r="BJ193">
            <v>0</v>
          </cell>
          <cell r="BK193">
            <v>0</v>
          </cell>
          <cell r="BL193">
            <v>56250</v>
          </cell>
          <cell r="BM193">
            <v>63750</v>
          </cell>
          <cell r="BN193">
            <v>65550</v>
          </cell>
          <cell r="BO193">
            <v>67350</v>
          </cell>
          <cell r="BP193">
            <v>69150</v>
          </cell>
          <cell r="BQ193">
            <v>67350</v>
          </cell>
          <cell r="BR193">
            <v>69150</v>
          </cell>
          <cell r="BS193">
            <v>43063</v>
          </cell>
          <cell r="BT193">
            <v>43070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</row>
        <row r="194">
          <cell r="W194">
            <v>668000</v>
          </cell>
          <cell r="X194" t="str">
            <v>DIRECT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3000</v>
          </cell>
          <cell r="BA194">
            <v>4000</v>
          </cell>
          <cell r="BB194">
            <v>4000</v>
          </cell>
          <cell r="BC194">
            <v>4000</v>
          </cell>
          <cell r="BD194">
            <v>4000</v>
          </cell>
          <cell r="BE194">
            <v>4000</v>
          </cell>
          <cell r="BF194">
            <v>8000</v>
          </cell>
          <cell r="BG194">
            <v>12000</v>
          </cell>
          <cell r="BH194">
            <v>27150</v>
          </cell>
          <cell r="BI194">
            <v>22000</v>
          </cell>
          <cell r="BJ194">
            <v>28000</v>
          </cell>
          <cell r="BK194">
            <v>34000</v>
          </cell>
          <cell r="BL194">
            <v>40000</v>
          </cell>
          <cell r="BM194">
            <v>63750</v>
          </cell>
          <cell r="BN194">
            <v>65550</v>
          </cell>
          <cell r="BO194">
            <v>67350</v>
          </cell>
          <cell r="BP194">
            <v>72400</v>
          </cell>
          <cell r="BQ194">
            <v>74200</v>
          </cell>
          <cell r="BR194">
            <v>74200</v>
          </cell>
          <cell r="BS194">
            <v>50000</v>
          </cell>
          <cell r="BT194">
            <v>6400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</row>
        <row r="195">
          <cell r="X195" t="str">
            <v>LOADED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3000</v>
          </cell>
          <cell r="BA195">
            <v>7000</v>
          </cell>
          <cell r="BB195">
            <v>11000</v>
          </cell>
          <cell r="BC195">
            <v>15000</v>
          </cell>
          <cell r="BD195">
            <v>19000</v>
          </cell>
          <cell r="BE195">
            <v>23000</v>
          </cell>
          <cell r="BF195">
            <v>31000</v>
          </cell>
          <cell r="BG195">
            <v>43000</v>
          </cell>
          <cell r="BH195">
            <v>70150</v>
          </cell>
          <cell r="BI195">
            <v>92150</v>
          </cell>
          <cell r="BJ195">
            <v>120150</v>
          </cell>
          <cell r="BK195">
            <v>154150</v>
          </cell>
          <cell r="BL195">
            <v>194150</v>
          </cell>
          <cell r="BM195">
            <v>257900</v>
          </cell>
          <cell r="BN195">
            <v>323450</v>
          </cell>
          <cell r="BO195">
            <v>390800</v>
          </cell>
          <cell r="BP195">
            <v>463200</v>
          </cell>
          <cell r="BQ195">
            <v>537400</v>
          </cell>
          <cell r="BR195">
            <v>611600</v>
          </cell>
          <cell r="BS195">
            <v>661600</v>
          </cell>
          <cell r="BT195">
            <v>668000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</row>
        <row r="196">
          <cell r="T196" t="str">
            <v>ACTUAL COST TO DATE</v>
          </cell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  <cell r="AU196"/>
          <cell r="AV196"/>
          <cell r="AW196"/>
          <cell r="AX196"/>
          <cell r="AY196"/>
          <cell r="AZ196"/>
          <cell r="BA196"/>
          <cell r="BB196"/>
          <cell r="BC196"/>
          <cell r="BD196"/>
          <cell r="BE196"/>
          <cell r="BF196"/>
          <cell r="BG196"/>
          <cell r="BH196"/>
          <cell r="BJ196"/>
          <cell r="BK196"/>
          <cell r="BT196">
            <v>35870</v>
          </cell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  <cell r="CL196"/>
          <cell r="CM196"/>
          <cell r="CN196"/>
          <cell r="CO196"/>
          <cell r="CP196"/>
          <cell r="CQ196"/>
          <cell r="CR196"/>
          <cell r="CS196"/>
          <cell r="CT196"/>
          <cell r="CU196"/>
          <cell r="CV196"/>
          <cell r="CW196"/>
          <cell r="CX196"/>
          <cell r="CY196"/>
          <cell r="CZ196"/>
          <cell r="DA196"/>
          <cell r="DB196"/>
          <cell r="DC196"/>
          <cell r="DD196"/>
          <cell r="DE196"/>
          <cell r="DF196"/>
          <cell r="DG196"/>
          <cell r="DH196"/>
          <cell r="DI196"/>
          <cell r="DJ196"/>
          <cell r="DK196"/>
          <cell r="DL196"/>
          <cell r="DM196"/>
          <cell r="DN196"/>
          <cell r="DO196"/>
          <cell r="DP196"/>
          <cell r="DQ196"/>
          <cell r="DR196"/>
          <cell r="DS196"/>
          <cell r="DT196"/>
          <cell r="DU196"/>
          <cell r="DV196"/>
          <cell r="DW196"/>
          <cell r="DX196"/>
          <cell r="DY196"/>
          <cell r="DZ196"/>
          <cell r="EA196"/>
          <cell r="EB196"/>
          <cell r="EC196"/>
          <cell r="ED196"/>
          <cell r="EE196"/>
          <cell r="EF196"/>
          <cell r="EG196"/>
          <cell r="EH196"/>
          <cell r="EI196"/>
          <cell r="EJ196"/>
          <cell r="EK196"/>
          <cell r="EL196"/>
          <cell r="EM196"/>
          <cell r="EN196"/>
          <cell r="EO196"/>
          <cell r="EP196"/>
          <cell r="EQ196"/>
          <cell r="ER196"/>
          <cell r="ES196"/>
          <cell r="ET196"/>
          <cell r="EU196"/>
          <cell r="EV196"/>
        </row>
        <row r="197">
          <cell r="S197" t="str">
            <v>COST TO DATE</v>
          </cell>
          <cell r="T197" t="str">
            <v>ACTUAL COST TO DATE</v>
          </cell>
          <cell r="V197" t="str">
            <v>DIRECT TO DATE</v>
          </cell>
          <cell r="W197" t="str">
            <v>BUDGET</v>
          </cell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J197"/>
          <cell r="BK197"/>
          <cell r="BU197"/>
          <cell r="BV197"/>
          <cell r="BW197"/>
          <cell r="BX197"/>
          <cell r="BY197"/>
          <cell r="BZ197"/>
          <cell r="CA197"/>
          <cell r="CB197"/>
          <cell r="CC197"/>
          <cell r="CD197"/>
          <cell r="CE197"/>
          <cell r="CF197"/>
          <cell r="CG197"/>
          <cell r="CH197"/>
          <cell r="CI197"/>
          <cell r="CJ197"/>
          <cell r="CK197"/>
          <cell r="CL197"/>
          <cell r="CM197"/>
          <cell r="CN197"/>
          <cell r="CO197"/>
          <cell r="CP197"/>
          <cell r="CQ197"/>
          <cell r="CR197"/>
          <cell r="CS197"/>
          <cell r="CT197"/>
          <cell r="CU197"/>
          <cell r="CV197"/>
          <cell r="CW197"/>
          <cell r="CX197"/>
          <cell r="CY197"/>
          <cell r="CZ197"/>
          <cell r="DA197"/>
          <cell r="DB197"/>
          <cell r="DC197"/>
          <cell r="DD197"/>
          <cell r="DE197"/>
          <cell r="DF197"/>
          <cell r="DG197"/>
          <cell r="DH197"/>
          <cell r="DI197"/>
          <cell r="DJ197"/>
          <cell r="DK197"/>
          <cell r="DL197"/>
          <cell r="DM197"/>
          <cell r="DN197"/>
          <cell r="DO197"/>
          <cell r="DP197"/>
          <cell r="DQ197"/>
          <cell r="DR197"/>
          <cell r="DS197"/>
          <cell r="DT197"/>
          <cell r="DU197"/>
          <cell r="DV197"/>
          <cell r="DW197"/>
          <cell r="DX197"/>
          <cell r="DY197"/>
          <cell r="DZ197"/>
          <cell r="EA197"/>
          <cell r="EB197"/>
          <cell r="EC197"/>
          <cell r="ED197"/>
          <cell r="EE197"/>
          <cell r="EF197"/>
          <cell r="EG197"/>
          <cell r="EH197"/>
          <cell r="EI197"/>
          <cell r="EJ197"/>
          <cell r="EK197"/>
          <cell r="EL197"/>
          <cell r="EM197"/>
          <cell r="EN197"/>
          <cell r="EO197"/>
          <cell r="EP197"/>
          <cell r="EQ197"/>
          <cell r="ER197"/>
          <cell r="ES197"/>
          <cell r="ET197"/>
          <cell r="EU197"/>
          <cell r="EV197"/>
        </row>
        <row r="198">
          <cell r="S198" t="str">
            <v>COST TO DATE</v>
          </cell>
          <cell r="T198" t="str">
            <v>DEVELOPMENT</v>
          </cell>
          <cell r="V198" t="str">
            <v>DIRECT TO DATE</v>
          </cell>
          <cell r="W198" t="str">
            <v>BUDGET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</row>
        <row r="199">
          <cell r="T199" t="str">
            <v>DEVELOPMENT</v>
          </cell>
          <cell r="U199">
            <v>2.6577205773952221E-2</v>
          </cell>
          <cell r="V199">
            <v>0</v>
          </cell>
          <cell r="W199">
            <v>136000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</row>
        <row r="200">
          <cell r="T200" t="str">
            <v>PRE PRODUCTION</v>
          </cell>
          <cell r="U200">
            <v>5.5194045738399006E-2</v>
          </cell>
          <cell r="V200">
            <v>7506.390220422265</v>
          </cell>
          <cell r="W200">
            <v>136000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73.249909107150017</v>
          </cell>
          <cell r="AV200">
            <v>0</v>
          </cell>
          <cell r="AW200">
            <v>0</v>
          </cell>
          <cell r="AX200">
            <v>211.84885891174685</v>
          </cell>
          <cell r="AY200">
            <v>131.4440248158169</v>
          </cell>
          <cell r="AZ200">
            <v>538.99606500616505</v>
          </cell>
          <cell r="BA200">
            <v>832.02093803214586</v>
          </cell>
          <cell r="BB200">
            <v>997.95049164271302</v>
          </cell>
          <cell r="BC200">
            <v>290.56169774176448</v>
          </cell>
          <cell r="BD200">
            <v>538.428</v>
          </cell>
          <cell r="BE200">
            <v>3891.8902351647635</v>
          </cell>
          <cell r="BF200">
            <v>0</v>
          </cell>
          <cell r="BG200">
            <v>0</v>
          </cell>
          <cell r="BH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</row>
        <row r="201">
          <cell r="T201" t="str">
            <v>PRODUCTION</v>
          </cell>
          <cell r="V201">
            <v>0</v>
          </cell>
          <cell r="W201">
            <v>480000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</row>
        <row r="202">
          <cell r="T202" t="str">
            <v>INK &amp; PAINT</v>
          </cell>
          <cell r="V202">
            <v>0</v>
          </cell>
          <cell r="W202">
            <v>52000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</row>
        <row r="203">
          <cell r="T203" t="str">
            <v>TOTAL DIRECT</v>
          </cell>
          <cell r="V203">
            <v>7506.390220422265</v>
          </cell>
          <cell r="X203" t="str">
            <v>DIRECT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73.249909107150017</v>
          </cell>
          <cell r="AV203">
            <v>0</v>
          </cell>
          <cell r="AW203">
            <v>0</v>
          </cell>
          <cell r="AX203">
            <v>211.84885891174685</v>
          </cell>
          <cell r="AY203">
            <v>131.4440248158169</v>
          </cell>
          <cell r="AZ203">
            <v>538.99606500616505</v>
          </cell>
          <cell r="BA203">
            <v>832.02093803214586</v>
          </cell>
          <cell r="BB203">
            <v>997.95049164271302</v>
          </cell>
          <cell r="BC203">
            <v>290.56169774176448</v>
          </cell>
          <cell r="BD203">
            <v>538.428</v>
          </cell>
          <cell r="BE203">
            <v>3891.8902351647635</v>
          </cell>
          <cell r="BF203">
            <v>0</v>
          </cell>
          <cell r="BG203">
            <v>0</v>
          </cell>
          <cell r="BH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</row>
        <row r="204">
          <cell r="T204" t="str">
            <v>TOTAL TO DATE</v>
          </cell>
          <cell r="V204">
            <v>5060.2999793605031</v>
          </cell>
          <cell r="W204">
            <v>668000</v>
          </cell>
          <cell r="X204" t="str">
            <v>DIRECT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73.249909107150017</v>
          </cell>
          <cell r="AV204">
            <v>0</v>
          </cell>
          <cell r="AW204">
            <v>0</v>
          </cell>
          <cell r="AX204">
            <v>211.84885891174685</v>
          </cell>
          <cell r="AY204">
            <v>131.4440248158169</v>
          </cell>
          <cell r="AZ204">
            <v>538.99606500616505</v>
          </cell>
          <cell r="BA204">
            <v>832.02093803214586</v>
          </cell>
          <cell r="BB204">
            <v>997.95049164271302</v>
          </cell>
          <cell r="BC204">
            <v>290.56169774176448</v>
          </cell>
          <cell r="BD204">
            <v>538.428</v>
          </cell>
          <cell r="BE204">
            <v>3891.8902351647635</v>
          </cell>
          <cell r="BF204">
            <v>0</v>
          </cell>
          <cell r="BG204">
            <v>0</v>
          </cell>
          <cell r="BH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EF204">
            <v>0</v>
          </cell>
          <cell r="EG204">
            <v>0</v>
          </cell>
          <cell r="EH204">
            <v>0</v>
          </cell>
          <cell r="EI204">
            <v>0</v>
          </cell>
          <cell r="EJ204">
            <v>0</v>
          </cell>
          <cell r="EK204">
            <v>0</v>
          </cell>
          <cell r="EL204">
            <v>0</v>
          </cell>
          <cell r="EM204">
            <v>0</v>
          </cell>
          <cell r="EN204">
            <v>0</v>
          </cell>
          <cell r="EO204">
            <v>0</v>
          </cell>
          <cell r="EP204">
            <v>0</v>
          </cell>
          <cell r="EQ204">
            <v>0</v>
          </cell>
          <cell r="ER204">
            <v>0</v>
          </cell>
          <cell r="ES204">
            <v>0</v>
          </cell>
          <cell r="ET204">
            <v>0</v>
          </cell>
          <cell r="EU204">
            <v>0</v>
          </cell>
          <cell r="EV204">
            <v>0</v>
          </cell>
        </row>
        <row r="205">
          <cell r="T205" t="str">
            <v>TOTAL TO DATE</v>
          </cell>
          <cell r="V205">
            <v>10508.94630859117</v>
          </cell>
          <cell r="W205">
            <v>668000</v>
          </cell>
          <cell r="X205" t="str">
            <v>LOADED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102.54987275001002</v>
          </cell>
          <cell r="AV205">
            <v>0</v>
          </cell>
          <cell r="AW205">
            <v>0</v>
          </cell>
          <cell r="AX205">
            <v>296.58840247644559</v>
          </cell>
          <cell r="AY205">
            <v>184.02163474214368</v>
          </cell>
          <cell r="AZ205">
            <v>754.59449100863105</v>
          </cell>
          <cell r="BA205">
            <v>1164.8293132450042</v>
          </cell>
          <cell r="BB205">
            <v>1397.1306882997983</v>
          </cell>
          <cell r="BC205">
            <v>406.78637683847029</v>
          </cell>
          <cell r="BD205">
            <v>753.79920000000004</v>
          </cell>
          <cell r="BE205">
            <v>5448.6463292306689</v>
          </cell>
          <cell r="BF205">
            <v>0</v>
          </cell>
          <cell r="BG205">
            <v>0</v>
          </cell>
          <cell r="BH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</row>
        <row r="206">
          <cell r="V206" t="str">
            <v>PROJECTED RTM</v>
          </cell>
          <cell r="X206" t="str">
            <v>CUMULATIVE</v>
          </cell>
          <cell r="Y206">
            <v>126</v>
          </cell>
          <cell r="Z206">
            <v>22.992822222222223</v>
          </cell>
          <cell r="AU206">
            <v>102.54987275001002</v>
          </cell>
          <cell r="AV206">
            <v>102.54987275001002</v>
          </cell>
          <cell r="AW206">
            <v>102.54987275001002</v>
          </cell>
          <cell r="AX206">
            <v>399.13827522645562</v>
          </cell>
          <cell r="AY206">
            <v>583.15990996859932</v>
          </cell>
          <cell r="AZ206">
            <v>1337.7544009772305</v>
          </cell>
          <cell r="BA206">
            <v>2502.5837142222344</v>
          </cell>
          <cell r="BB206">
            <v>3899.7144025220327</v>
          </cell>
          <cell r="BC206">
            <v>4306.5007793605027</v>
          </cell>
          <cell r="BD206">
            <v>5060.2999793605031</v>
          </cell>
          <cell r="BE206">
            <v>10508.946308591172</v>
          </cell>
        </row>
        <row r="207">
          <cell r="V207" t="str">
            <v>PROJECTED RTM</v>
          </cell>
          <cell r="X207">
            <v>35937.992822222222</v>
          </cell>
          <cell r="Y207">
            <v>126</v>
          </cell>
          <cell r="Z207">
            <v>22.992822222222223</v>
          </cell>
          <cell r="BT207" t="str">
            <v xml:space="preserve"> </v>
          </cell>
        </row>
        <row r="208">
          <cell r="V208" t="str">
            <v>PROJECTED STREET</v>
          </cell>
          <cell r="X208">
            <v>35966.992822222222</v>
          </cell>
          <cell r="BT208" t="str">
            <v xml:space="preserve"> </v>
          </cell>
        </row>
        <row r="209">
          <cell r="V209" t="str">
            <v>+ or - Scheduled Date</v>
          </cell>
          <cell r="X209">
            <v>41.007177777777542</v>
          </cell>
        </row>
        <row r="210">
          <cell r="N210" t="str">
            <v>ENGINEERING</v>
          </cell>
          <cell r="R210" t="str">
            <v>CREATIVITY 2</v>
          </cell>
          <cell r="V210" t="str">
            <v>START DATE</v>
          </cell>
          <cell r="W210" t="str">
            <v>END     DATE</v>
          </cell>
          <cell r="X210">
            <v>3087.1529999999998</v>
          </cell>
          <cell r="Y210" t="str">
            <v>WK Count</v>
          </cell>
          <cell r="Z210" t="str">
            <v>Total Days</v>
          </cell>
        </row>
        <row r="211">
          <cell r="N211" t="str">
            <v>ENGINEERING</v>
          </cell>
          <cell r="R211" t="str">
            <v>CREATIVITY 2</v>
          </cell>
          <cell r="T211" t="str">
            <v>ANIMATION PRODUCTION</v>
          </cell>
          <cell r="V211" t="str">
            <v>START DATE</v>
          </cell>
          <cell r="W211" t="str">
            <v>END     DATE</v>
          </cell>
          <cell r="X211">
            <v>3087.1529999999998</v>
          </cell>
          <cell r="Y211" t="str">
            <v>WK Count</v>
          </cell>
          <cell r="Z211" t="str">
            <v>Total Days</v>
          </cell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>
            <v>35898</v>
          </cell>
          <cell r="BY211">
            <v>35905</v>
          </cell>
          <cell r="BZ211">
            <v>35912</v>
          </cell>
          <cell r="CA211">
            <v>35919</v>
          </cell>
          <cell r="CB211">
            <v>35926</v>
          </cell>
          <cell r="CC211">
            <v>35933</v>
          </cell>
          <cell r="CD211">
            <v>35940</v>
          </cell>
          <cell r="CE211">
            <v>35947</v>
          </cell>
          <cell r="CF211">
            <v>35954</v>
          </cell>
          <cell r="CG211"/>
          <cell r="CH211"/>
          <cell r="CI211"/>
          <cell r="CJ211"/>
          <cell r="CK211"/>
          <cell r="CL211"/>
          <cell r="CM211"/>
          <cell r="CN211"/>
          <cell r="CO211"/>
          <cell r="CP211"/>
          <cell r="CQ211"/>
          <cell r="CR211"/>
          <cell r="CS211"/>
          <cell r="CT211"/>
          <cell r="CU211"/>
          <cell r="CV211"/>
          <cell r="CW211"/>
          <cell r="CX211"/>
          <cell r="CY211"/>
          <cell r="CZ211"/>
          <cell r="DA211"/>
          <cell r="DB211"/>
          <cell r="DC211"/>
          <cell r="DD211"/>
          <cell r="DE211"/>
          <cell r="DF211"/>
          <cell r="DG211"/>
          <cell r="DH211"/>
          <cell r="DI211"/>
          <cell r="DJ211"/>
          <cell r="DK211"/>
          <cell r="DL211"/>
          <cell r="DM211"/>
          <cell r="DN211"/>
          <cell r="DO211"/>
          <cell r="DP211"/>
          <cell r="DQ211"/>
          <cell r="DR211"/>
          <cell r="DS211"/>
          <cell r="DT211"/>
          <cell r="DU211"/>
          <cell r="DV211"/>
          <cell r="DW211"/>
          <cell r="DX211"/>
          <cell r="DY211"/>
          <cell r="DZ211"/>
          <cell r="EA211"/>
          <cell r="EB211"/>
          <cell r="EC211"/>
          <cell r="ED211"/>
          <cell r="EE211"/>
          <cell r="EF211"/>
          <cell r="EG211"/>
          <cell r="EH211"/>
          <cell r="EI211"/>
          <cell r="EJ211"/>
          <cell r="EK211"/>
          <cell r="EL211"/>
          <cell r="EM211"/>
          <cell r="EN211"/>
          <cell r="EO211"/>
          <cell r="EP211"/>
          <cell r="EQ211"/>
          <cell r="ER211"/>
          <cell r="ES211"/>
          <cell r="ET211"/>
          <cell r="EU211"/>
          <cell r="EV211"/>
        </row>
        <row r="212">
          <cell r="A212" t="str">
            <v>PREP</v>
          </cell>
          <cell r="F212" t="str">
            <v>ANIMATION</v>
          </cell>
          <cell r="I212" t="str">
            <v>INK &amp; PAINT</v>
          </cell>
          <cell r="L212" t="str">
            <v>ALPHA</v>
          </cell>
          <cell r="N212" t="str">
            <v>BETA</v>
          </cell>
          <cell r="P212" t="str">
            <v>RTM</v>
          </cell>
          <cell r="R212" t="str">
            <v>STREET</v>
          </cell>
          <cell r="T212" t="str">
            <v>ANIMATION PRODUCTION</v>
          </cell>
          <cell r="V212">
            <v>35898</v>
          </cell>
          <cell r="W212">
            <v>35955.220141999998</v>
          </cell>
          <cell r="X212">
            <v>500</v>
          </cell>
          <cell r="Y212">
            <v>9</v>
          </cell>
          <cell r="Z212">
            <v>57.220141999999996</v>
          </cell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>
            <v>35898</v>
          </cell>
          <cell r="BY212">
            <v>35905</v>
          </cell>
          <cell r="BZ212">
            <v>35912</v>
          </cell>
          <cell r="CA212">
            <v>35919</v>
          </cell>
          <cell r="CB212">
            <v>35926</v>
          </cell>
          <cell r="CC212">
            <v>35933</v>
          </cell>
          <cell r="CD212">
            <v>35940</v>
          </cell>
          <cell r="CE212">
            <v>35947</v>
          </cell>
          <cell r="CF212">
            <v>35954</v>
          </cell>
          <cell r="CG212"/>
          <cell r="CH212"/>
          <cell r="CI212"/>
          <cell r="CJ212"/>
          <cell r="CK212"/>
          <cell r="CL212"/>
          <cell r="CM212"/>
          <cell r="CN212"/>
          <cell r="CO212"/>
          <cell r="CP212"/>
          <cell r="CQ212"/>
          <cell r="CR212"/>
          <cell r="CS212"/>
          <cell r="CT212"/>
          <cell r="CU212"/>
          <cell r="CV212"/>
          <cell r="CW212"/>
          <cell r="CX212"/>
          <cell r="CY212"/>
          <cell r="CZ212"/>
          <cell r="DA212"/>
          <cell r="DB212"/>
          <cell r="DC212"/>
          <cell r="DD212"/>
          <cell r="DE212"/>
          <cell r="DF212"/>
          <cell r="DG212"/>
          <cell r="DH212"/>
          <cell r="DI212"/>
          <cell r="DJ212"/>
          <cell r="DK212"/>
          <cell r="DL212"/>
          <cell r="DM212"/>
          <cell r="DN212"/>
          <cell r="DO212"/>
          <cell r="DP212"/>
          <cell r="DQ212"/>
          <cell r="DR212"/>
          <cell r="DS212"/>
          <cell r="DT212"/>
          <cell r="DU212"/>
          <cell r="DV212"/>
          <cell r="DW212"/>
          <cell r="DX212"/>
          <cell r="DY212"/>
          <cell r="DZ212"/>
          <cell r="EA212"/>
          <cell r="EB212"/>
          <cell r="EC212"/>
          <cell r="ED212"/>
          <cell r="EE212"/>
          <cell r="EF212"/>
          <cell r="EG212"/>
          <cell r="EH212"/>
          <cell r="EI212"/>
          <cell r="EJ212"/>
          <cell r="EK212"/>
          <cell r="EL212"/>
          <cell r="EM212"/>
          <cell r="EN212"/>
          <cell r="EO212"/>
          <cell r="EP212"/>
          <cell r="EQ212"/>
          <cell r="ER212"/>
          <cell r="ES212"/>
          <cell r="ET212"/>
          <cell r="EU212"/>
          <cell r="EV212"/>
        </row>
        <row r="213">
          <cell r="A213" t="str">
            <v>PREP</v>
          </cell>
          <cell r="B213" t="str">
            <v>Days</v>
          </cell>
          <cell r="F213" t="str">
            <v>ANIMATION</v>
          </cell>
          <cell r="G213" t="str">
            <v>Days</v>
          </cell>
          <cell r="H213" t="str">
            <v>Frames</v>
          </cell>
          <cell r="I213" t="str">
            <v>INK &amp; PAINT</v>
          </cell>
          <cell r="J213" t="str">
            <v>Days</v>
          </cell>
          <cell r="L213" t="str">
            <v>ALPHA</v>
          </cell>
          <cell r="N213" t="str">
            <v>BETA</v>
          </cell>
          <cell r="P213" t="str">
            <v>RTM</v>
          </cell>
          <cell r="R213" t="str">
            <v>STREET</v>
          </cell>
          <cell r="T213" t="str">
            <v>Prep Projection</v>
          </cell>
          <cell r="V213">
            <v>35898</v>
          </cell>
          <cell r="W213">
            <v>35955.220141999998</v>
          </cell>
          <cell r="X213">
            <v>500</v>
          </cell>
          <cell r="Y213">
            <v>9</v>
          </cell>
          <cell r="Z213">
            <v>57.220141999999996</v>
          </cell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  <cell r="AP213"/>
          <cell r="AQ213"/>
          <cell r="AR213"/>
          <cell r="AS213"/>
          <cell r="AT213"/>
          <cell r="AU213"/>
          <cell r="AV213"/>
          <cell r="AW213"/>
          <cell r="AX213"/>
          <cell r="AY213"/>
          <cell r="AZ213"/>
          <cell r="BA213"/>
          <cell r="BB213"/>
          <cell r="BC213"/>
          <cell r="BD213"/>
          <cell r="BE213"/>
          <cell r="BF213"/>
          <cell r="BG213"/>
          <cell r="BH213"/>
          <cell r="BI213"/>
          <cell r="BJ213"/>
          <cell r="BK213"/>
          <cell r="BL213"/>
          <cell r="BM213"/>
          <cell r="BN213"/>
          <cell r="BO213"/>
          <cell r="BP213"/>
          <cell r="BQ213"/>
          <cell r="BR213"/>
          <cell r="BS213"/>
          <cell r="BT213"/>
          <cell r="BU213"/>
          <cell r="BV213"/>
          <cell r="BW213"/>
          <cell r="BX213">
            <v>125</v>
          </cell>
          <cell r="BY213">
            <v>250</v>
          </cell>
          <cell r="BZ213">
            <v>375</v>
          </cell>
          <cell r="CA213">
            <v>500</v>
          </cell>
          <cell r="CB213">
            <v>500</v>
          </cell>
          <cell r="CC213">
            <v>500</v>
          </cell>
          <cell r="CD213">
            <v>500</v>
          </cell>
          <cell r="CE213">
            <v>500</v>
          </cell>
          <cell r="CF213">
            <v>500</v>
          </cell>
          <cell r="CG213"/>
          <cell r="CH213"/>
          <cell r="CI213"/>
          <cell r="CJ213"/>
          <cell r="CK213"/>
          <cell r="CL213"/>
          <cell r="CM213"/>
          <cell r="CN213"/>
          <cell r="CO213"/>
          <cell r="CP213"/>
          <cell r="CQ213"/>
          <cell r="CR213"/>
          <cell r="CS213"/>
          <cell r="CT213"/>
          <cell r="CU213"/>
          <cell r="CV213"/>
          <cell r="CW213"/>
          <cell r="CX213"/>
          <cell r="CY213"/>
          <cell r="CZ213"/>
          <cell r="DA213"/>
          <cell r="DB213"/>
          <cell r="DC213"/>
          <cell r="DD213"/>
          <cell r="DE213"/>
          <cell r="DF213"/>
          <cell r="DG213"/>
          <cell r="DH213"/>
          <cell r="DI213"/>
          <cell r="DJ213"/>
          <cell r="DK213"/>
          <cell r="DL213"/>
          <cell r="DM213"/>
          <cell r="DN213"/>
          <cell r="DO213"/>
          <cell r="DP213"/>
          <cell r="DQ213"/>
          <cell r="DR213"/>
          <cell r="DS213"/>
          <cell r="DT213"/>
          <cell r="DU213"/>
          <cell r="DV213"/>
          <cell r="DW213"/>
          <cell r="DX213"/>
          <cell r="DY213"/>
          <cell r="DZ213"/>
          <cell r="EA213"/>
          <cell r="EB213"/>
          <cell r="EC213"/>
          <cell r="ED213"/>
          <cell r="EE213"/>
          <cell r="EF213"/>
          <cell r="EG213"/>
          <cell r="EH213"/>
          <cell r="EI213"/>
          <cell r="EJ213"/>
          <cell r="EK213"/>
          <cell r="EL213"/>
          <cell r="EM213"/>
          <cell r="EN213"/>
          <cell r="EO213"/>
          <cell r="EP213"/>
          <cell r="EQ213"/>
          <cell r="ER213"/>
          <cell r="ES213"/>
          <cell r="ET213"/>
          <cell r="EU213"/>
          <cell r="EV213"/>
        </row>
        <row r="214">
          <cell r="A214" t="str">
            <v>Wks</v>
          </cell>
          <cell r="B214" t="str">
            <v>Days</v>
          </cell>
          <cell r="F214" t="str">
            <v>Wks</v>
          </cell>
          <cell r="G214" t="str">
            <v>Days</v>
          </cell>
          <cell r="H214" t="str">
            <v>Frames</v>
          </cell>
          <cell r="I214" t="str">
            <v>Wks</v>
          </cell>
          <cell r="J214" t="str">
            <v>Days</v>
          </cell>
          <cell r="K214">
            <v>21</v>
          </cell>
          <cell r="M214">
            <v>29</v>
          </cell>
          <cell r="O214">
            <v>29</v>
          </cell>
          <cell r="Q214">
            <v>29</v>
          </cell>
          <cell r="R214">
            <v>36100</v>
          </cell>
          <cell r="T214" t="str">
            <v>Animation Projection</v>
          </cell>
          <cell r="V214">
            <v>35926</v>
          </cell>
          <cell r="W214">
            <v>35999.220141999998</v>
          </cell>
          <cell r="X214">
            <v>500</v>
          </cell>
          <cell r="Y214">
            <v>11</v>
          </cell>
          <cell r="Z214">
            <v>73.220141999999996</v>
          </cell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>
            <v>0</v>
          </cell>
          <cell r="CC214">
            <v>0</v>
          </cell>
          <cell r="CD214">
            <v>0</v>
          </cell>
          <cell r="CE214">
            <v>125</v>
          </cell>
          <cell r="CF214">
            <v>250</v>
          </cell>
          <cell r="CG214">
            <v>375</v>
          </cell>
          <cell r="CH214">
            <v>500</v>
          </cell>
          <cell r="CI214">
            <v>500</v>
          </cell>
          <cell r="CJ214">
            <v>500</v>
          </cell>
          <cell r="CK214">
            <v>500</v>
          </cell>
          <cell r="CL214">
            <v>500</v>
          </cell>
          <cell r="CM214"/>
          <cell r="CN214"/>
          <cell r="CO214"/>
          <cell r="CP214"/>
          <cell r="CQ214"/>
          <cell r="CR214"/>
          <cell r="CS214"/>
          <cell r="CT214"/>
          <cell r="CU214"/>
          <cell r="CV214"/>
          <cell r="CW214"/>
          <cell r="CX214"/>
          <cell r="CY214"/>
          <cell r="CZ214"/>
          <cell r="DA214"/>
          <cell r="DB214"/>
          <cell r="DC214"/>
          <cell r="DD214"/>
          <cell r="DE214"/>
          <cell r="DF214"/>
          <cell r="DG214"/>
          <cell r="DH214"/>
          <cell r="DI214"/>
          <cell r="DJ214"/>
          <cell r="DK214"/>
          <cell r="DL214"/>
          <cell r="DM214"/>
          <cell r="DN214"/>
          <cell r="DO214"/>
          <cell r="DP214"/>
          <cell r="DQ214"/>
          <cell r="DR214"/>
          <cell r="DS214"/>
          <cell r="DT214"/>
          <cell r="DU214"/>
          <cell r="DV214"/>
          <cell r="DW214"/>
          <cell r="DX214"/>
          <cell r="DY214"/>
          <cell r="DZ214"/>
          <cell r="EA214"/>
          <cell r="EB214"/>
          <cell r="EC214"/>
          <cell r="ED214"/>
          <cell r="EE214"/>
          <cell r="EF214"/>
          <cell r="EG214"/>
          <cell r="EH214"/>
          <cell r="EI214"/>
          <cell r="EJ214"/>
          <cell r="EK214"/>
          <cell r="EL214"/>
          <cell r="EM214"/>
          <cell r="EN214"/>
          <cell r="EO214"/>
          <cell r="EP214"/>
          <cell r="EQ214"/>
          <cell r="ER214"/>
          <cell r="ES214"/>
          <cell r="ET214"/>
          <cell r="EU214"/>
          <cell r="EV214"/>
        </row>
        <row r="215">
          <cell r="A215">
            <v>6.1743059999999996</v>
          </cell>
          <cell r="B215">
            <v>57.220141999999996</v>
          </cell>
          <cell r="F215">
            <v>6.1743059999999996</v>
          </cell>
          <cell r="G215">
            <v>73.220141999999996</v>
          </cell>
          <cell r="H215">
            <v>3087.1529999999998</v>
          </cell>
          <cell r="I215">
            <v>6.1743059999999996</v>
          </cell>
          <cell r="J215">
            <v>57.220141999999996</v>
          </cell>
          <cell r="K215">
            <v>21</v>
          </cell>
          <cell r="M215">
            <v>29</v>
          </cell>
          <cell r="O215">
            <v>29</v>
          </cell>
          <cell r="Q215">
            <v>29</v>
          </cell>
          <cell r="R215">
            <v>36100</v>
          </cell>
          <cell r="T215" t="str">
            <v>Ink &amp; Paint Projection</v>
          </cell>
          <cell r="V215">
            <v>35956</v>
          </cell>
          <cell r="W215">
            <v>36013.220141999998</v>
          </cell>
          <cell r="X215">
            <v>500</v>
          </cell>
          <cell r="Y215">
            <v>8</v>
          </cell>
          <cell r="Z215">
            <v>57.220141999999996</v>
          </cell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>
            <v>125</v>
          </cell>
          <cell r="CH215">
            <v>250</v>
          </cell>
          <cell r="CI215">
            <v>375</v>
          </cell>
          <cell r="CJ215">
            <v>500</v>
          </cell>
          <cell r="CK215">
            <v>500</v>
          </cell>
          <cell r="CL215">
            <v>500</v>
          </cell>
          <cell r="CM215">
            <v>500</v>
          </cell>
          <cell r="CN215">
            <v>500</v>
          </cell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K215"/>
          <cell r="DL215"/>
          <cell r="DM215"/>
          <cell r="DN215"/>
          <cell r="DO215"/>
          <cell r="DP215"/>
          <cell r="DQ215"/>
          <cell r="DR215"/>
          <cell r="DS215"/>
          <cell r="DT215"/>
          <cell r="DU215"/>
          <cell r="DV215"/>
          <cell r="DW215"/>
          <cell r="DX215"/>
          <cell r="DY215"/>
          <cell r="DZ215"/>
          <cell r="EA215"/>
          <cell r="EB215"/>
          <cell r="EC215"/>
          <cell r="ED215"/>
          <cell r="EE215"/>
          <cell r="EF215"/>
          <cell r="EG215"/>
          <cell r="EH215"/>
          <cell r="EI215"/>
          <cell r="EJ215"/>
          <cell r="EK215"/>
          <cell r="EL215"/>
          <cell r="EM215"/>
          <cell r="EN215"/>
          <cell r="EO215"/>
          <cell r="EP215"/>
          <cell r="EQ215"/>
          <cell r="ER215"/>
          <cell r="ES215"/>
          <cell r="ET215"/>
          <cell r="EU215"/>
          <cell r="EV215"/>
        </row>
        <row r="217">
          <cell r="T217" t="str">
            <v>BUDGET FORECAST</v>
          </cell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>
            <v>35898</v>
          </cell>
          <cell r="BY217">
            <v>35905</v>
          </cell>
          <cell r="BZ217">
            <v>35912</v>
          </cell>
          <cell r="CA217">
            <v>35919</v>
          </cell>
          <cell r="CB217">
            <v>35926</v>
          </cell>
          <cell r="CC217">
            <v>35933</v>
          </cell>
          <cell r="CD217">
            <v>35940</v>
          </cell>
          <cell r="CE217">
            <v>35947</v>
          </cell>
          <cell r="CF217">
            <v>35954</v>
          </cell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K217"/>
          <cell r="DL217"/>
          <cell r="DM217"/>
          <cell r="DN217"/>
          <cell r="DO217"/>
          <cell r="DP217"/>
          <cell r="DQ217"/>
          <cell r="DR217"/>
          <cell r="DS217"/>
          <cell r="DT217"/>
          <cell r="DU217"/>
          <cell r="DV217"/>
          <cell r="DW217"/>
          <cell r="DX217"/>
          <cell r="DY217"/>
          <cell r="DZ217"/>
          <cell r="EA217"/>
          <cell r="EB217"/>
          <cell r="EC217"/>
          <cell r="ED217"/>
          <cell r="EE217"/>
          <cell r="EF217"/>
          <cell r="EG217"/>
          <cell r="EH217"/>
          <cell r="EI217"/>
          <cell r="EJ217"/>
          <cell r="EK217"/>
          <cell r="EL217"/>
          <cell r="EM217"/>
          <cell r="EN217"/>
          <cell r="EO217"/>
          <cell r="EP217"/>
          <cell r="EQ217"/>
          <cell r="ER217"/>
          <cell r="ES217"/>
          <cell r="ET217"/>
          <cell r="EU217"/>
          <cell r="EV217"/>
          <cell r="EW217"/>
          <cell r="EX217"/>
          <cell r="EY217"/>
          <cell r="EZ217"/>
          <cell r="FA217"/>
          <cell r="FB217"/>
          <cell r="FC217"/>
          <cell r="FD217"/>
          <cell r="FE217"/>
          <cell r="FF217"/>
          <cell r="FG217"/>
          <cell r="FH217"/>
          <cell r="FI217"/>
        </row>
        <row r="218">
          <cell r="T218" t="str">
            <v>BUDGET FORECAST</v>
          </cell>
          <cell r="V218" t="str">
            <v>PRE PROD</v>
          </cell>
          <cell r="W218">
            <v>30</v>
          </cell>
          <cell r="X218">
            <v>112500</v>
          </cell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>
            <v>35898</v>
          </cell>
          <cell r="BY218">
            <v>35905</v>
          </cell>
          <cell r="BZ218">
            <v>35912</v>
          </cell>
          <cell r="CA218">
            <v>35919</v>
          </cell>
          <cell r="CB218">
            <v>35926</v>
          </cell>
          <cell r="CC218">
            <v>35933</v>
          </cell>
          <cell r="CD218">
            <v>35940</v>
          </cell>
          <cell r="CE218">
            <v>35947</v>
          </cell>
          <cell r="CF218">
            <v>35954</v>
          </cell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K218"/>
          <cell r="DL218"/>
          <cell r="DM218"/>
          <cell r="DN218"/>
          <cell r="DO218"/>
          <cell r="DP218"/>
          <cell r="DQ218"/>
          <cell r="DR218"/>
          <cell r="DS218"/>
          <cell r="DT218"/>
          <cell r="DU218"/>
          <cell r="DV218"/>
          <cell r="DW218"/>
          <cell r="DX218"/>
          <cell r="DY218"/>
          <cell r="DZ218"/>
          <cell r="EA218"/>
          <cell r="EB218"/>
          <cell r="EC218"/>
          <cell r="ED218"/>
          <cell r="EE218"/>
          <cell r="EF218"/>
          <cell r="EG218"/>
          <cell r="EH218"/>
          <cell r="EI218"/>
          <cell r="EJ218"/>
          <cell r="EK218"/>
          <cell r="EL218"/>
          <cell r="EM218"/>
          <cell r="EN218"/>
          <cell r="EO218"/>
          <cell r="EP218"/>
          <cell r="EQ218"/>
          <cell r="ER218"/>
          <cell r="ES218"/>
          <cell r="ET218"/>
          <cell r="EU218"/>
          <cell r="EV218"/>
          <cell r="EW218"/>
          <cell r="EX218"/>
          <cell r="EY218"/>
          <cell r="EZ218"/>
          <cell r="FA218"/>
          <cell r="FB218"/>
          <cell r="FC218"/>
          <cell r="FD218"/>
          <cell r="FE218"/>
          <cell r="FF218"/>
          <cell r="FG218"/>
          <cell r="FH218"/>
          <cell r="FI218"/>
        </row>
        <row r="219">
          <cell r="V219" t="str">
            <v>PRE PROD</v>
          </cell>
          <cell r="W219">
            <v>30</v>
          </cell>
          <cell r="X219">
            <v>112500</v>
          </cell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>
            <v>3750</v>
          </cell>
          <cell r="BY219">
            <v>7500</v>
          </cell>
          <cell r="BZ219">
            <v>11250</v>
          </cell>
          <cell r="CA219">
            <v>15000</v>
          </cell>
          <cell r="CB219">
            <v>15000</v>
          </cell>
          <cell r="CC219">
            <v>15000</v>
          </cell>
          <cell r="CD219">
            <v>15000</v>
          </cell>
          <cell r="CE219">
            <v>15000</v>
          </cell>
          <cell r="CF219">
            <v>15000</v>
          </cell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K219"/>
          <cell r="DL219"/>
          <cell r="DM219"/>
          <cell r="DN219"/>
          <cell r="DO219"/>
          <cell r="DP219"/>
          <cell r="DQ219"/>
          <cell r="DR219"/>
          <cell r="DS219"/>
          <cell r="DT219"/>
          <cell r="DU219"/>
          <cell r="DV219"/>
          <cell r="DW219"/>
          <cell r="DX219"/>
          <cell r="DY219"/>
          <cell r="DZ219"/>
          <cell r="EA219"/>
          <cell r="EB219"/>
          <cell r="EC219"/>
          <cell r="ED219"/>
          <cell r="EE219"/>
          <cell r="EF219"/>
          <cell r="EG219"/>
          <cell r="EH219"/>
          <cell r="EI219"/>
          <cell r="EJ219"/>
          <cell r="EK219"/>
          <cell r="EL219"/>
          <cell r="EM219"/>
          <cell r="EN219"/>
          <cell r="EO219"/>
          <cell r="EP219"/>
          <cell r="EQ219"/>
          <cell r="ER219"/>
          <cell r="ES219"/>
          <cell r="ET219"/>
          <cell r="EU219"/>
          <cell r="EV219"/>
          <cell r="EW219"/>
          <cell r="EX219"/>
          <cell r="EY219"/>
          <cell r="EZ219"/>
          <cell r="FA219"/>
          <cell r="FB219"/>
          <cell r="FC219"/>
          <cell r="FD219"/>
          <cell r="FE219"/>
          <cell r="FF219"/>
          <cell r="FG219"/>
          <cell r="FH219"/>
          <cell r="FI219"/>
        </row>
        <row r="220">
          <cell r="V220" t="str">
            <v>PRODUCTION</v>
          </cell>
          <cell r="W220">
            <v>150</v>
          </cell>
          <cell r="X220">
            <v>487500</v>
          </cell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>
            <v>35926</v>
          </cell>
          <cell r="CC220">
            <v>35933</v>
          </cell>
          <cell r="CD220">
            <v>35940</v>
          </cell>
          <cell r="CE220">
            <v>35947</v>
          </cell>
          <cell r="CF220">
            <v>35954</v>
          </cell>
          <cell r="CG220">
            <v>35961</v>
          </cell>
          <cell r="CH220">
            <v>35968</v>
          </cell>
          <cell r="CI220">
            <v>35975</v>
          </cell>
          <cell r="CJ220">
            <v>35982</v>
          </cell>
          <cell r="CK220">
            <v>35989</v>
          </cell>
          <cell r="CL220">
            <v>35996</v>
          </cell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K220"/>
          <cell r="DL220"/>
          <cell r="DM220"/>
          <cell r="DN220"/>
          <cell r="DO220"/>
          <cell r="DP220"/>
          <cell r="DQ220"/>
          <cell r="DR220"/>
          <cell r="DS220"/>
          <cell r="DT220"/>
          <cell r="DU220"/>
          <cell r="DV220"/>
          <cell r="DW220"/>
          <cell r="DX220"/>
          <cell r="DY220"/>
          <cell r="DZ220"/>
          <cell r="EA220"/>
          <cell r="EB220"/>
          <cell r="EC220"/>
          <cell r="ED220"/>
          <cell r="EE220"/>
          <cell r="EF220"/>
          <cell r="EG220"/>
          <cell r="EH220"/>
          <cell r="EI220"/>
          <cell r="EJ220"/>
          <cell r="EK220"/>
          <cell r="EL220"/>
          <cell r="EM220"/>
          <cell r="EN220"/>
          <cell r="EO220"/>
          <cell r="EP220"/>
          <cell r="EQ220"/>
          <cell r="ER220"/>
          <cell r="ES220"/>
          <cell r="ET220"/>
          <cell r="EU220"/>
          <cell r="EV220"/>
          <cell r="EW220"/>
          <cell r="EX220"/>
          <cell r="EY220"/>
          <cell r="EZ220"/>
          <cell r="FA220"/>
          <cell r="FB220"/>
          <cell r="FC220"/>
          <cell r="FD220"/>
          <cell r="FE220"/>
          <cell r="FF220"/>
          <cell r="FG220"/>
          <cell r="FH220"/>
          <cell r="FI220"/>
        </row>
        <row r="221">
          <cell r="V221" t="str">
            <v>PRODUCTION</v>
          </cell>
          <cell r="W221">
            <v>150</v>
          </cell>
          <cell r="X221">
            <v>487500</v>
          </cell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>
            <v>0</v>
          </cell>
          <cell r="CC221">
            <v>0</v>
          </cell>
          <cell r="CD221">
            <v>0</v>
          </cell>
          <cell r="CE221">
            <v>18750</v>
          </cell>
          <cell r="CF221">
            <v>37500</v>
          </cell>
          <cell r="CG221">
            <v>56250</v>
          </cell>
          <cell r="CH221">
            <v>75000</v>
          </cell>
          <cell r="CI221">
            <v>75000</v>
          </cell>
          <cell r="CJ221">
            <v>75000</v>
          </cell>
          <cell r="CK221">
            <v>75000</v>
          </cell>
          <cell r="CL221">
            <v>75000</v>
          </cell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K221"/>
          <cell r="DL221"/>
          <cell r="DM221"/>
          <cell r="DN221"/>
          <cell r="DO221"/>
          <cell r="DP221"/>
          <cell r="DQ221"/>
          <cell r="DR221"/>
          <cell r="DS221"/>
          <cell r="DT221"/>
          <cell r="DU221"/>
          <cell r="DV221"/>
          <cell r="DW221"/>
          <cell r="DX221"/>
          <cell r="DY221"/>
          <cell r="DZ221"/>
          <cell r="EA221"/>
          <cell r="EB221"/>
          <cell r="EC221"/>
          <cell r="ED221"/>
          <cell r="EE221"/>
          <cell r="EF221"/>
          <cell r="EG221"/>
          <cell r="EH221"/>
          <cell r="EI221"/>
          <cell r="EJ221"/>
          <cell r="EK221"/>
          <cell r="EL221"/>
          <cell r="EM221"/>
          <cell r="EN221"/>
          <cell r="EO221"/>
          <cell r="EP221"/>
          <cell r="EQ221"/>
          <cell r="ER221"/>
          <cell r="ES221"/>
          <cell r="ET221"/>
          <cell r="EU221"/>
          <cell r="EV221"/>
          <cell r="EW221"/>
          <cell r="EX221"/>
          <cell r="EY221"/>
          <cell r="EZ221"/>
          <cell r="FA221"/>
          <cell r="FB221"/>
          <cell r="FC221"/>
          <cell r="FD221"/>
          <cell r="FE221"/>
          <cell r="FF221"/>
          <cell r="FG221"/>
          <cell r="FH221"/>
          <cell r="FI221"/>
        </row>
        <row r="222">
          <cell r="V222" t="str">
            <v>INK &amp; PAINT</v>
          </cell>
          <cell r="W222">
            <v>8</v>
          </cell>
          <cell r="X222">
            <v>26000</v>
          </cell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>
            <v>35961</v>
          </cell>
          <cell r="CH222">
            <v>35968</v>
          </cell>
          <cell r="CI222">
            <v>35975</v>
          </cell>
          <cell r="CJ222">
            <v>35982</v>
          </cell>
          <cell r="CK222">
            <v>35989</v>
          </cell>
          <cell r="CL222">
            <v>35996</v>
          </cell>
          <cell r="CM222">
            <v>36003</v>
          </cell>
          <cell r="CN222">
            <v>36010</v>
          </cell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K222"/>
          <cell r="DL222"/>
          <cell r="DM222"/>
          <cell r="DN222"/>
          <cell r="DO222"/>
          <cell r="DP222"/>
          <cell r="DQ222"/>
          <cell r="DR222"/>
          <cell r="DS222"/>
          <cell r="DT222"/>
          <cell r="DU222"/>
          <cell r="DV222"/>
          <cell r="DW222"/>
          <cell r="DX222"/>
          <cell r="DY222"/>
          <cell r="DZ222"/>
          <cell r="EA222"/>
          <cell r="EB222"/>
          <cell r="EC222"/>
          <cell r="ED222"/>
          <cell r="EE222"/>
          <cell r="EF222"/>
          <cell r="EG222"/>
          <cell r="EH222"/>
          <cell r="EI222"/>
          <cell r="EJ222"/>
          <cell r="EK222"/>
          <cell r="EL222"/>
          <cell r="EM222"/>
          <cell r="EN222"/>
          <cell r="EO222"/>
          <cell r="EP222"/>
          <cell r="EQ222"/>
          <cell r="ER222"/>
          <cell r="ES222"/>
          <cell r="ET222"/>
          <cell r="EU222"/>
          <cell r="EV222"/>
          <cell r="EW222"/>
          <cell r="EX222"/>
          <cell r="EY222"/>
          <cell r="EZ222"/>
          <cell r="FA222"/>
          <cell r="FB222"/>
          <cell r="FC222"/>
          <cell r="FD222"/>
          <cell r="FE222"/>
          <cell r="FF222"/>
          <cell r="FG222"/>
          <cell r="FH222"/>
          <cell r="FI222"/>
        </row>
        <row r="223">
          <cell r="V223" t="str">
            <v>INK &amp; PAINT</v>
          </cell>
          <cell r="W223">
            <v>8</v>
          </cell>
          <cell r="X223">
            <v>26000</v>
          </cell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>
            <v>1000</v>
          </cell>
          <cell r="CH223">
            <v>2000</v>
          </cell>
          <cell r="CI223">
            <v>3000</v>
          </cell>
          <cell r="CJ223">
            <v>4000</v>
          </cell>
          <cell r="CK223">
            <v>4000</v>
          </cell>
          <cell r="CL223">
            <v>4000</v>
          </cell>
          <cell r="CM223">
            <v>4000</v>
          </cell>
          <cell r="CN223">
            <v>4000</v>
          </cell>
          <cell r="CO223"/>
          <cell r="CP223"/>
          <cell r="CQ223"/>
          <cell r="CR223"/>
          <cell r="CS223"/>
          <cell r="CT223"/>
          <cell r="CU223"/>
          <cell r="CV223"/>
          <cell r="CW223"/>
          <cell r="CX223"/>
          <cell r="CY223"/>
          <cell r="CZ223"/>
          <cell r="DA223"/>
          <cell r="DB223"/>
          <cell r="DC223"/>
          <cell r="DD223"/>
          <cell r="DE223"/>
          <cell r="DF223"/>
          <cell r="DG223"/>
          <cell r="DH223"/>
          <cell r="DI223"/>
          <cell r="DJ223"/>
          <cell r="DK223"/>
          <cell r="DL223"/>
          <cell r="DM223"/>
          <cell r="DN223"/>
          <cell r="DO223"/>
          <cell r="DP223"/>
          <cell r="DQ223"/>
          <cell r="DR223"/>
          <cell r="DS223"/>
          <cell r="DT223"/>
          <cell r="DU223"/>
          <cell r="DV223"/>
          <cell r="DW223"/>
          <cell r="DX223"/>
          <cell r="DY223"/>
          <cell r="DZ223"/>
          <cell r="EA223"/>
          <cell r="EB223"/>
          <cell r="EC223"/>
          <cell r="ED223"/>
          <cell r="EE223"/>
          <cell r="EF223"/>
          <cell r="EG223"/>
          <cell r="EH223"/>
          <cell r="EI223"/>
          <cell r="EJ223"/>
          <cell r="EK223"/>
          <cell r="EL223"/>
          <cell r="EM223"/>
          <cell r="EN223"/>
          <cell r="EO223"/>
          <cell r="EP223"/>
          <cell r="EQ223"/>
          <cell r="ER223"/>
          <cell r="ES223"/>
          <cell r="ET223"/>
          <cell r="EU223"/>
          <cell r="EV223"/>
          <cell r="EW223"/>
          <cell r="EX223"/>
          <cell r="EY223"/>
          <cell r="EZ223"/>
          <cell r="FA223"/>
          <cell r="FB223"/>
          <cell r="FC223"/>
          <cell r="FD223"/>
          <cell r="FE223"/>
          <cell r="FF223"/>
          <cell r="FG223"/>
          <cell r="FH223"/>
          <cell r="FI223"/>
        </row>
        <row r="224">
          <cell r="X224" t="str">
            <v>DIRECT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3750</v>
          </cell>
          <cell r="BY224">
            <v>7500</v>
          </cell>
          <cell r="BZ224">
            <v>11250</v>
          </cell>
          <cell r="CA224">
            <v>15000</v>
          </cell>
          <cell r="CB224">
            <v>50926</v>
          </cell>
          <cell r="CC224">
            <v>50933</v>
          </cell>
          <cell r="CD224">
            <v>50940</v>
          </cell>
          <cell r="CE224">
            <v>69697</v>
          </cell>
          <cell r="CF224">
            <v>88454</v>
          </cell>
          <cell r="CG224">
            <v>129172</v>
          </cell>
          <cell r="CH224">
            <v>148936</v>
          </cell>
          <cell r="CI224">
            <v>149950</v>
          </cell>
          <cell r="CJ224">
            <v>150964</v>
          </cell>
          <cell r="CK224">
            <v>150978</v>
          </cell>
          <cell r="CL224">
            <v>150992</v>
          </cell>
          <cell r="CM224">
            <v>40003</v>
          </cell>
          <cell r="CN224">
            <v>40010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</row>
        <row r="225">
          <cell r="X225" t="str">
            <v>DIRECT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3750</v>
          </cell>
          <cell r="BY225">
            <v>7500</v>
          </cell>
          <cell r="BZ225">
            <v>11250</v>
          </cell>
          <cell r="CA225">
            <v>15000</v>
          </cell>
          <cell r="CB225">
            <v>50926</v>
          </cell>
          <cell r="CC225">
            <v>50933</v>
          </cell>
          <cell r="CD225">
            <v>50940</v>
          </cell>
          <cell r="CE225">
            <v>69697</v>
          </cell>
          <cell r="CF225">
            <v>88454</v>
          </cell>
          <cell r="CG225">
            <v>129172</v>
          </cell>
          <cell r="CH225">
            <v>148936</v>
          </cell>
          <cell r="CI225">
            <v>149950</v>
          </cell>
          <cell r="CJ225">
            <v>150964</v>
          </cell>
          <cell r="CK225">
            <v>150978</v>
          </cell>
          <cell r="CL225">
            <v>150992</v>
          </cell>
          <cell r="CM225">
            <v>40003</v>
          </cell>
          <cell r="CN225">
            <v>40010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  <cell r="FC225">
            <v>0</v>
          </cell>
          <cell r="FD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</row>
        <row r="226">
          <cell r="X226" t="str">
            <v>LOADED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5062.5</v>
          </cell>
          <cell r="BY226">
            <v>10125</v>
          </cell>
          <cell r="BZ226">
            <v>15187.5</v>
          </cell>
          <cell r="CA226">
            <v>20250</v>
          </cell>
          <cell r="CB226">
            <v>68750.100000000006</v>
          </cell>
          <cell r="CC226">
            <v>68759.55</v>
          </cell>
          <cell r="CD226">
            <v>68769</v>
          </cell>
          <cell r="CE226">
            <v>94090.95</v>
          </cell>
          <cell r="CF226">
            <v>119412.9</v>
          </cell>
          <cell r="CG226">
            <v>174382.2</v>
          </cell>
          <cell r="CH226">
            <v>201063.6</v>
          </cell>
          <cell r="CI226">
            <v>202432.5</v>
          </cell>
          <cell r="CJ226">
            <v>203801.4</v>
          </cell>
          <cell r="CK226">
            <v>203820.3</v>
          </cell>
          <cell r="CL226">
            <v>203839.2</v>
          </cell>
          <cell r="CM226">
            <v>54004.05</v>
          </cell>
          <cell r="CN226">
            <v>54013.5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</row>
        <row r="227">
          <cell r="V227" t="str">
            <v>PROJECTED RTM</v>
          </cell>
          <cell r="X227" t="str">
            <v>CUMULATIVE TO DATE</v>
          </cell>
          <cell r="Y227">
            <v>119</v>
          </cell>
          <cell r="Z227">
            <v>43.220141999999996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5062.5</v>
          </cell>
          <cell r="BY227">
            <v>10125</v>
          </cell>
          <cell r="BZ227">
            <v>15187.5</v>
          </cell>
          <cell r="CA227">
            <v>20250</v>
          </cell>
          <cell r="CB227">
            <v>68750.100000000006</v>
          </cell>
          <cell r="CC227">
            <v>68759.55</v>
          </cell>
          <cell r="CD227">
            <v>68769</v>
          </cell>
          <cell r="CE227">
            <v>94090.95</v>
          </cell>
          <cell r="CF227">
            <v>119412.9</v>
          </cell>
          <cell r="CG227">
            <v>174382.2</v>
          </cell>
          <cell r="CH227">
            <v>201063.6</v>
          </cell>
          <cell r="CI227">
            <v>202432.5</v>
          </cell>
          <cell r="CJ227">
            <v>203801.4</v>
          </cell>
          <cell r="CK227">
            <v>203820.3</v>
          </cell>
          <cell r="CL227">
            <v>203839.2</v>
          </cell>
          <cell r="CM227">
            <v>54004.05</v>
          </cell>
          <cell r="CN227">
            <v>54013.5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</row>
        <row r="228">
          <cell r="V228" t="str">
            <v>PROJECTED RTM</v>
          </cell>
          <cell r="X228">
            <v>36092.220141999998</v>
          </cell>
          <cell r="Y228">
            <v>119</v>
          </cell>
          <cell r="Z228">
            <v>43.220141999999996</v>
          </cell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  <cell r="AP228"/>
          <cell r="AQ228"/>
          <cell r="AR228"/>
          <cell r="AS228"/>
          <cell r="AT228"/>
          <cell r="AU228"/>
          <cell r="AV228"/>
          <cell r="AW228"/>
          <cell r="AX228"/>
          <cell r="AY228"/>
          <cell r="AZ228"/>
          <cell r="BA228"/>
          <cell r="BB228"/>
          <cell r="BC228"/>
          <cell r="BD228"/>
          <cell r="BE228"/>
          <cell r="BF228"/>
          <cell r="BG228"/>
          <cell r="BH228"/>
          <cell r="BI228"/>
          <cell r="BJ228"/>
          <cell r="BK228"/>
          <cell r="BL228"/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  <cell r="CR228"/>
          <cell r="CS228"/>
          <cell r="CT228"/>
          <cell r="CU228"/>
          <cell r="CV228"/>
          <cell r="CW228"/>
          <cell r="CX228"/>
          <cell r="CY228"/>
          <cell r="CZ228"/>
          <cell r="DA228"/>
          <cell r="DB228"/>
          <cell r="DC228"/>
          <cell r="DD228"/>
          <cell r="DE228"/>
          <cell r="DF228"/>
          <cell r="DG228"/>
          <cell r="DH228"/>
          <cell r="DI228"/>
          <cell r="DJ228"/>
          <cell r="DK228"/>
          <cell r="DL228"/>
          <cell r="DM228"/>
          <cell r="DN228"/>
          <cell r="DO228"/>
          <cell r="DP228"/>
          <cell r="DQ228"/>
          <cell r="DR228"/>
          <cell r="DS228"/>
          <cell r="DT228"/>
          <cell r="DU228"/>
          <cell r="DV228"/>
          <cell r="DW228"/>
          <cell r="DX228"/>
          <cell r="DY228"/>
          <cell r="DZ228"/>
          <cell r="EA228"/>
          <cell r="EB228"/>
          <cell r="EC228"/>
          <cell r="ED228"/>
          <cell r="EE228"/>
          <cell r="EF228"/>
          <cell r="EG228"/>
          <cell r="EH228"/>
          <cell r="EI228"/>
          <cell r="EJ228"/>
          <cell r="EK228"/>
          <cell r="EL228"/>
          <cell r="EM228"/>
          <cell r="EN228"/>
          <cell r="EO228"/>
          <cell r="EP228"/>
          <cell r="EQ228"/>
          <cell r="ER228"/>
          <cell r="ES228"/>
          <cell r="ET228"/>
          <cell r="EU228"/>
          <cell r="EV228"/>
        </row>
        <row r="229">
          <cell r="V229" t="str">
            <v>PROJECTED STREET</v>
          </cell>
          <cell r="X229">
            <v>36122.220141999998</v>
          </cell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  <cell r="CQ229"/>
          <cell r="CR229"/>
          <cell r="CS229"/>
          <cell r="CT229"/>
          <cell r="CU229"/>
          <cell r="CV229"/>
          <cell r="CW229"/>
          <cell r="CX229"/>
          <cell r="CY229"/>
          <cell r="CZ229"/>
          <cell r="DA229"/>
          <cell r="DB229"/>
          <cell r="DC229"/>
          <cell r="DD229"/>
          <cell r="DE229"/>
          <cell r="DF229"/>
          <cell r="DG229"/>
          <cell r="DH229"/>
          <cell r="DI229"/>
          <cell r="DJ229"/>
          <cell r="DK229"/>
          <cell r="DL229"/>
          <cell r="DM229"/>
          <cell r="DN229"/>
          <cell r="DO229"/>
          <cell r="DP229"/>
          <cell r="DQ229"/>
          <cell r="DR229"/>
          <cell r="DS229"/>
          <cell r="DT229"/>
          <cell r="DU229"/>
          <cell r="DV229"/>
          <cell r="DW229"/>
          <cell r="DX229"/>
          <cell r="DY229"/>
          <cell r="DZ229"/>
          <cell r="EA229"/>
          <cell r="EB229"/>
          <cell r="EC229"/>
          <cell r="ED229"/>
          <cell r="EE229"/>
          <cell r="EF229"/>
          <cell r="EG229"/>
          <cell r="EH229"/>
          <cell r="EI229"/>
          <cell r="EJ229"/>
          <cell r="EK229"/>
          <cell r="EL229"/>
          <cell r="EM229"/>
          <cell r="EN229"/>
          <cell r="EO229"/>
          <cell r="EP229"/>
          <cell r="EQ229"/>
          <cell r="ER229"/>
          <cell r="ES229"/>
          <cell r="ET229"/>
          <cell r="EU229"/>
          <cell r="EV229"/>
        </row>
        <row r="230">
          <cell r="V230" t="str">
            <v>+ or - Scheduled Date</v>
          </cell>
          <cell r="X230">
            <v>-22.220141999998305</v>
          </cell>
        </row>
        <row r="231">
          <cell r="N231" t="str">
            <v>ENGINEERING</v>
          </cell>
          <cell r="R231" t="str">
            <v>LEARNING QUEST II</v>
          </cell>
          <cell r="V231" t="str">
            <v>START DATE</v>
          </cell>
          <cell r="W231" t="str">
            <v>END     DATE</v>
          </cell>
          <cell r="X231">
            <v>7000</v>
          </cell>
          <cell r="Y231" t="str">
            <v>WK Count</v>
          </cell>
          <cell r="Z231" t="str">
            <v>Total Days</v>
          </cell>
        </row>
        <row r="232">
          <cell r="N232" t="str">
            <v>ENGINEERING</v>
          </cell>
          <cell r="R232" t="str">
            <v>LEARNING QUEST II</v>
          </cell>
          <cell r="T232" t="str">
            <v>ANIMATION PRODUCTION</v>
          </cell>
          <cell r="V232" t="str">
            <v>START DATE</v>
          </cell>
          <cell r="W232" t="str">
            <v>END     DATE</v>
          </cell>
          <cell r="X232">
            <v>7000</v>
          </cell>
          <cell r="Y232" t="str">
            <v>WK Count</v>
          </cell>
          <cell r="Z232" t="str">
            <v>Total Days</v>
          </cell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>
            <v>35905</v>
          </cell>
          <cell r="BZ232">
            <v>35912</v>
          </cell>
          <cell r="CA232">
            <v>35919</v>
          </cell>
          <cell r="CB232">
            <v>35926</v>
          </cell>
          <cell r="CC232">
            <v>35933</v>
          </cell>
          <cell r="CD232">
            <v>35940</v>
          </cell>
          <cell r="CE232">
            <v>35947</v>
          </cell>
          <cell r="CF232">
            <v>35954</v>
          </cell>
          <cell r="CG232">
            <v>35961</v>
          </cell>
          <cell r="CH232">
            <v>35968</v>
          </cell>
          <cell r="CI232">
            <v>35975</v>
          </cell>
          <cell r="CJ232">
            <v>35982</v>
          </cell>
          <cell r="CK232">
            <v>35989</v>
          </cell>
          <cell r="CL232">
            <v>35996</v>
          </cell>
          <cell r="CM232">
            <v>36003</v>
          </cell>
          <cell r="CN232">
            <v>36010</v>
          </cell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K232"/>
          <cell r="DL232"/>
          <cell r="DM232"/>
          <cell r="DN232"/>
          <cell r="DO232"/>
          <cell r="DP232"/>
          <cell r="DQ232"/>
          <cell r="DR232"/>
          <cell r="DS232"/>
          <cell r="DT232"/>
          <cell r="DU232"/>
          <cell r="DV232"/>
          <cell r="DW232"/>
          <cell r="DX232"/>
          <cell r="DY232"/>
          <cell r="DZ232"/>
          <cell r="EA232"/>
          <cell r="EB232"/>
          <cell r="EC232"/>
          <cell r="ED232"/>
          <cell r="EE232"/>
          <cell r="EF232"/>
          <cell r="EG232"/>
          <cell r="EH232"/>
          <cell r="EI232"/>
          <cell r="EJ232"/>
          <cell r="EK232"/>
          <cell r="EL232"/>
          <cell r="EM232"/>
          <cell r="EN232"/>
          <cell r="EO232"/>
          <cell r="EP232"/>
          <cell r="EQ232"/>
          <cell r="ER232"/>
          <cell r="ES232"/>
          <cell r="ET232"/>
          <cell r="EU232"/>
          <cell r="EV232"/>
        </row>
        <row r="233">
          <cell r="A233" t="str">
            <v>PREP</v>
          </cell>
          <cell r="F233" t="str">
            <v>ANIMATION</v>
          </cell>
          <cell r="I233" t="str">
            <v>INK &amp; PAINT</v>
          </cell>
          <cell r="L233" t="str">
            <v>ALPHA</v>
          </cell>
          <cell r="N233" t="str">
            <v>BETA</v>
          </cell>
          <cell r="P233" t="str">
            <v>RTM</v>
          </cell>
          <cell r="R233" t="str">
            <v>STREET</v>
          </cell>
          <cell r="T233" t="str">
            <v>ANIMATION PRODUCTION</v>
          </cell>
          <cell r="V233">
            <v>35905</v>
          </cell>
          <cell r="W233">
            <v>36017</v>
          </cell>
          <cell r="X233">
            <v>500</v>
          </cell>
          <cell r="Y233">
            <v>16</v>
          </cell>
          <cell r="Z233">
            <v>112</v>
          </cell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  <cell r="AU233"/>
          <cell r="AV233"/>
          <cell r="AW233"/>
          <cell r="AX233"/>
          <cell r="AY233"/>
          <cell r="AZ233"/>
          <cell r="BA233"/>
          <cell r="BB233"/>
          <cell r="BC233"/>
          <cell r="BD233"/>
          <cell r="BE233"/>
          <cell r="BF233"/>
          <cell r="BG233"/>
          <cell r="BH233"/>
          <cell r="BI233"/>
          <cell r="BJ233"/>
          <cell r="BK233"/>
          <cell r="BL233"/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>
            <v>35905</v>
          </cell>
          <cell r="BZ233">
            <v>35912</v>
          </cell>
          <cell r="CA233">
            <v>35919</v>
          </cell>
          <cell r="CB233">
            <v>35926</v>
          </cell>
          <cell r="CC233">
            <v>35933</v>
          </cell>
          <cell r="CD233">
            <v>35940</v>
          </cell>
          <cell r="CE233">
            <v>35947</v>
          </cell>
          <cell r="CF233">
            <v>35954</v>
          </cell>
          <cell r="CG233">
            <v>35961</v>
          </cell>
          <cell r="CH233">
            <v>35968</v>
          </cell>
          <cell r="CI233">
            <v>35975</v>
          </cell>
          <cell r="CJ233">
            <v>35982</v>
          </cell>
          <cell r="CK233">
            <v>35989</v>
          </cell>
          <cell r="CL233">
            <v>35996</v>
          </cell>
          <cell r="CM233">
            <v>36003</v>
          </cell>
          <cell r="CN233">
            <v>36010</v>
          </cell>
          <cell r="CO233"/>
          <cell r="CP233"/>
          <cell r="CQ233"/>
          <cell r="CR233"/>
          <cell r="CS233"/>
          <cell r="CT233"/>
          <cell r="CU233"/>
          <cell r="CV233"/>
          <cell r="CW233"/>
          <cell r="CX233"/>
          <cell r="CY233"/>
          <cell r="CZ233"/>
          <cell r="DA233"/>
          <cell r="DB233"/>
          <cell r="DC233"/>
          <cell r="DD233"/>
          <cell r="DE233"/>
          <cell r="DF233"/>
          <cell r="DG233"/>
          <cell r="DH233"/>
          <cell r="DI233"/>
          <cell r="DJ233"/>
          <cell r="DK233"/>
          <cell r="DL233"/>
          <cell r="DM233"/>
          <cell r="DN233"/>
          <cell r="DO233"/>
          <cell r="DP233"/>
          <cell r="DQ233"/>
          <cell r="DR233"/>
          <cell r="DS233"/>
          <cell r="DT233"/>
          <cell r="DU233"/>
          <cell r="DV233"/>
          <cell r="DW233"/>
          <cell r="DX233"/>
          <cell r="DY233"/>
          <cell r="DZ233"/>
          <cell r="EA233"/>
          <cell r="EB233"/>
          <cell r="EC233"/>
          <cell r="ED233"/>
          <cell r="EE233"/>
          <cell r="EF233"/>
          <cell r="EG233"/>
          <cell r="EH233"/>
          <cell r="EI233"/>
          <cell r="EJ233"/>
          <cell r="EK233"/>
          <cell r="EL233"/>
          <cell r="EM233"/>
          <cell r="EN233"/>
          <cell r="EO233"/>
          <cell r="EP233"/>
          <cell r="EQ233"/>
          <cell r="ER233"/>
          <cell r="ES233"/>
          <cell r="ET233"/>
          <cell r="EU233"/>
          <cell r="EV233"/>
        </row>
        <row r="234">
          <cell r="A234" t="str">
            <v>PREP</v>
          </cell>
          <cell r="B234" t="str">
            <v>Days</v>
          </cell>
          <cell r="F234" t="str">
            <v>ANIMATION</v>
          </cell>
          <cell r="G234" t="str">
            <v>Days</v>
          </cell>
          <cell r="H234" t="str">
            <v>Frames</v>
          </cell>
          <cell r="I234" t="str">
            <v>INK &amp; PAINT</v>
          </cell>
          <cell r="J234" t="str">
            <v>Days</v>
          </cell>
          <cell r="L234" t="str">
            <v>ALPHA</v>
          </cell>
          <cell r="N234" t="str">
            <v>BETA</v>
          </cell>
          <cell r="P234" t="str">
            <v>RTM</v>
          </cell>
          <cell r="R234" t="str">
            <v>STREET</v>
          </cell>
          <cell r="T234" t="str">
            <v>Prep Projection</v>
          </cell>
          <cell r="V234">
            <v>35905</v>
          </cell>
          <cell r="W234">
            <v>36017</v>
          </cell>
          <cell r="X234">
            <v>500</v>
          </cell>
          <cell r="Y234">
            <v>16</v>
          </cell>
          <cell r="Z234">
            <v>112</v>
          </cell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  <cell r="AU234"/>
          <cell r="AV234"/>
          <cell r="AW234"/>
          <cell r="AX234"/>
          <cell r="AY234"/>
          <cell r="AZ234"/>
          <cell r="BA234"/>
          <cell r="BB234"/>
          <cell r="BC234"/>
          <cell r="BD234"/>
          <cell r="BE234"/>
          <cell r="BF234"/>
          <cell r="BG234"/>
          <cell r="BH234"/>
          <cell r="BI234"/>
          <cell r="BJ234"/>
          <cell r="BK234"/>
          <cell r="BL234"/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>
            <v>125</v>
          </cell>
          <cell r="BZ234">
            <v>250</v>
          </cell>
          <cell r="CA234">
            <v>375</v>
          </cell>
          <cell r="CB234">
            <v>500</v>
          </cell>
          <cell r="CC234">
            <v>500</v>
          </cell>
          <cell r="CD234">
            <v>500</v>
          </cell>
          <cell r="CE234">
            <v>500</v>
          </cell>
          <cell r="CF234">
            <v>500</v>
          </cell>
          <cell r="CG234">
            <v>500</v>
          </cell>
          <cell r="CH234">
            <v>500</v>
          </cell>
          <cell r="CI234">
            <v>500</v>
          </cell>
          <cell r="CJ234">
            <v>500</v>
          </cell>
          <cell r="CK234">
            <v>500</v>
          </cell>
          <cell r="CL234">
            <v>500</v>
          </cell>
          <cell r="CM234">
            <v>500</v>
          </cell>
          <cell r="CN234">
            <v>500</v>
          </cell>
          <cell r="CO234"/>
          <cell r="CP234"/>
          <cell r="CQ234"/>
          <cell r="CR234"/>
          <cell r="CS234"/>
          <cell r="CT234"/>
          <cell r="CU234"/>
          <cell r="CV234"/>
          <cell r="CW234"/>
          <cell r="CX234"/>
          <cell r="CY234"/>
          <cell r="CZ234"/>
          <cell r="DA234"/>
          <cell r="DB234"/>
          <cell r="DC234"/>
          <cell r="DD234"/>
          <cell r="DE234"/>
          <cell r="DF234"/>
          <cell r="DG234"/>
          <cell r="DH234"/>
          <cell r="DI234"/>
          <cell r="DJ234"/>
          <cell r="DK234"/>
          <cell r="DL234"/>
          <cell r="DM234"/>
          <cell r="DN234"/>
          <cell r="DO234"/>
          <cell r="DP234"/>
          <cell r="DQ234"/>
          <cell r="DR234"/>
          <cell r="DS234"/>
          <cell r="DT234"/>
          <cell r="DU234"/>
          <cell r="DV234"/>
          <cell r="DW234"/>
          <cell r="DX234"/>
          <cell r="DY234"/>
          <cell r="DZ234"/>
          <cell r="EA234"/>
          <cell r="EB234"/>
          <cell r="EC234"/>
          <cell r="ED234"/>
          <cell r="EE234"/>
          <cell r="EF234"/>
          <cell r="EG234"/>
          <cell r="EH234"/>
          <cell r="EI234"/>
          <cell r="EJ234"/>
          <cell r="EK234"/>
          <cell r="EL234"/>
          <cell r="EM234"/>
          <cell r="EN234"/>
          <cell r="EO234"/>
          <cell r="EP234"/>
          <cell r="EQ234"/>
          <cell r="ER234"/>
          <cell r="ES234"/>
          <cell r="ET234"/>
          <cell r="EU234"/>
          <cell r="EV234"/>
        </row>
        <row r="235">
          <cell r="A235" t="str">
            <v>Wks</v>
          </cell>
          <cell r="B235" t="str">
            <v>Days</v>
          </cell>
          <cell r="F235" t="str">
            <v>Wks</v>
          </cell>
          <cell r="G235" t="str">
            <v>Days</v>
          </cell>
          <cell r="H235" t="str">
            <v>Frames</v>
          </cell>
          <cell r="I235" t="str">
            <v>Wks</v>
          </cell>
          <cell r="J235" t="str">
            <v>Days</v>
          </cell>
          <cell r="K235">
            <v>21</v>
          </cell>
          <cell r="M235">
            <v>29</v>
          </cell>
          <cell r="O235">
            <v>29</v>
          </cell>
          <cell r="Q235">
            <v>29</v>
          </cell>
          <cell r="R235">
            <v>36312</v>
          </cell>
          <cell r="T235" t="str">
            <v>Animation Projection</v>
          </cell>
          <cell r="V235">
            <v>35933</v>
          </cell>
          <cell r="W235">
            <v>36061</v>
          </cell>
          <cell r="X235">
            <v>500</v>
          </cell>
          <cell r="Y235">
            <v>19</v>
          </cell>
          <cell r="Z235">
            <v>128</v>
          </cell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>
            <v>0</v>
          </cell>
          <cell r="CD235">
            <v>0</v>
          </cell>
          <cell r="CE235">
            <v>0</v>
          </cell>
          <cell r="CF235">
            <v>125</v>
          </cell>
          <cell r="CG235">
            <v>250</v>
          </cell>
          <cell r="CH235">
            <v>375</v>
          </cell>
          <cell r="CI235">
            <v>500</v>
          </cell>
          <cell r="CJ235">
            <v>500</v>
          </cell>
          <cell r="CK235">
            <v>500</v>
          </cell>
          <cell r="CL235">
            <v>500</v>
          </cell>
          <cell r="CM235">
            <v>500</v>
          </cell>
          <cell r="CN235">
            <v>500</v>
          </cell>
          <cell r="CO235">
            <v>500</v>
          </cell>
          <cell r="CP235">
            <v>500</v>
          </cell>
          <cell r="CQ235">
            <v>500</v>
          </cell>
          <cell r="CR235">
            <v>500</v>
          </cell>
          <cell r="CS235">
            <v>500</v>
          </cell>
          <cell r="CT235">
            <v>500</v>
          </cell>
          <cell r="CU235">
            <v>500</v>
          </cell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K235"/>
          <cell r="DL235"/>
          <cell r="DM235"/>
          <cell r="DN235"/>
          <cell r="DO235"/>
          <cell r="DP235"/>
          <cell r="DQ235"/>
          <cell r="DR235"/>
          <cell r="DS235"/>
          <cell r="DT235"/>
          <cell r="DU235"/>
          <cell r="DV235"/>
          <cell r="DW235"/>
          <cell r="DX235"/>
          <cell r="DY235"/>
          <cell r="DZ235"/>
          <cell r="EA235"/>
          <cell r="EB235"/>
          <cell r="EC235"/>
          <cell r="ED235"/>
          <cell r="EE235"/>
          <cell r="EF235"/>
          <cell r="EG235"/>
          <cell r="EH235"/>
          <cell r="EI235"/>
          <cell r="EJ235"/>
          <cell r="EK235"/>
          <cell r="EL235"/>
          <cell r="EM235"/>
          <cell r="EN235"/>
          <cell r="EO235"/>
          <cell r="EP235"/>
          <cell r="EQ235"/>
          <cell r="ER235"/>
          <cell r="ES235"/>
          <cell r="ET235"/>
          <cell r="EU235"/>
          <cell r="EV235"/>
        </row>
        <row r="236">
          <cell r="A236">
            <v>14</v>
          </cell>
          <cell r="B236">
            <v>112</v>
          </cell>
          <cell r="F236">
            <v>14</v>
          </cell>
          <cell r="G236">
            <v>128</v>
          </cell>
          <cell r="H236">
            <v>7000</v>
          </cell>
          <cell r="I236">
            <v>14</v>
          </cell>
          <cell r="J236">
            <v>112</v>
          </cell>
          <cell r="K236">
            <v>21</v>
          </cell>
          <cell r="M236">
            <v>29</v>
          </cell>
          <cell r="O236">
            <v>29</v>
          </cell>
          <cell r="Q236">
            <v>29</v>
          </cell>
          <cell r="R236">
            <v>36312</v>
          </cell>
          <cell r="T236" t="str">
            <v>Ink &amp; Paint Projection</v>
          </cell>
          <cell r="V236">
            <v>35963</v>
          </cell>
          <cell r="W236">
            <v>36075</v>
          </cell>
          <cell r="X236">
            <v>500</v>
          </cell>
          <cell r="Y236">
            <v>16</v>
          </cell>
          <cell r="Z236">
            <v>112</v>
          </cell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  <cell r="AU236"/>
          <cell r="AV236"/>
          <cell r="AW236"/>
          <cell r="AX236"/>
          <cell r="AY236"/>
          <cell r="AZ236"/>
          <cell r="BA236"/>
          <cell r="BB236"/>
          <cell r="BC236"/>
          <cell r="BD236"/>
          <cell r="BE236"/>
          <cell r="BF236"/>
          <cell r="BG236"/>
          <cell r="BH236"/>
          <cell r="BI236"/>
          <cell r="BJ236"/>
          <cell r="BK236"/>
          <cell r="BL236"/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>
            <v>125</v>
          </cell>
          <cell r="CI236">
            <v>250</v>
          </cell>
          <cell r="CJ236">
            <v>375</v>
          </cell>
          <cell r="CK236">
            <v>500</v>
          </cell>
          <cell r="CL236">
            <v>500</v>
          </cell>
          <cell r="CM236">
            <v>500</v>
          </cell>
          <cell r="CN236">
            <v>500</v>
          </cell>
          <cell r="CO236">
            <v>500</v>
          </cell>
          <cell r="CP236">
            <v>500</v>
          </cell>
          <cell r="CQ236">
            <v>500</v>
          </cell>
          <cell r="CR236">
            <v>500</v>
          </cell>
          <cell r="CS236">
            <v>500</v>
          </cell>
          <cell r="CT236">
            <v>500</v>
          </cell>
          <cell r="CU236">
            <v>500</v>
          </cell>
          <cell r="CV236">
            <v>500</v>
          </cell>
          <cell r="CW236">
            <v>500</v>
          </cell>
          <cell r="CX236"/>
          <cell r="CY236"/>
          <cell r="CZ236"/>
          <cell r="DA236"/>
          <cell r="DB236"/>
          <cell r="DC236"/>
          <cell r="DD236"/>
          <cell r="DE236"/>
          <cell r="DF236"/>
          <cell r="DG236"/>
          <cell r="DH236"/>
          <cell r="DI236"/>
          <cell r="DJ236"/>
          <cell r="DK236"/>
          <cell r="DL236"/>
          <cell r="DM236"/>
          <cell r="DN236"/>
          <cell r="DO236"/>
          <cell r="DP236"/>
          <cell r="DQ236"/>
          <cell r="DR236"/>
          <cell r="DS236"/>
          <cell r="DT236"/>
          <cell r="DU236"/>
          <cell r="DV236"/>
          <cell r="DW236"/>
          <cell r="DX236"/>
          <cell r="DY236"/>
          <cell r="DZ236"/>
          <cell r="EA236"/>
          <cell r="EB236"/>
          <cell r="EC236"/>
          <cell r="ED236"/>
          <cell r="EE236"/>
          <cell r="EF236"/>
          <cell r="EG236"/>
          <cell r="EH236"/>
          <cell r="EI236"/>
          <cell r="EJ236"/>
          <cell r="EK236"/>
          <cell r="EL236"/>
          <cell r="EM236"/>
          <cell r="EN236"/>
          <cell r="EO236"/>
          <cell r="EP236"/>
          <cell r="EQ236"/>
          <cell r="ER236"/>
          <cell r="ES236"/>
          <cell r="ET236"/>
          <cell r="EU236"/>
          <cell r="EV236"/>
        </row>
        <row r="238">
          <cell r="T238" t="str">
            <v>BUDGET FORECAST</v>
          </cell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>
            <v>35905</v>
          </cell>
          <cell r="BZ238">
            <v>35912</v>
          </cell>
          <cell r="CA238">
            <v>35919</v>
          </cell>
          <cell r="CB238">
            <v>35926</v>
          </cell>
          <cell r="CC238">
            <v>35933</v>
          </cell>
          <cell r="CD238">
            <v>35940</v>
          </cell>
          <cell r="CE238">
            <v>35947</v>
          </cell>
          <cell r="CF238">
            <v>35954</v>
          </cell>
          <cell r="CG238">
            <v>35961</v>
          </cell>
          <cell r="CH238">
            <v>35968</v>
          </cell>
          <cell r="CI238">
            <v>35975</v>
          </cell>
          <cell r="CJ238">
            <v>35982</v>
          </cell>
          <cell r="CK238">
            <v>35989</v>
          </cell>
          <cell r="CL238">
            <v>35996</v>
          </cell>
          <cell r="CM238">
            <v>36003</v>
          </cell>
          <cell r="CN238">
            <v>36010</v>
          </cell>
          <cell r="CO238"/>
          <cell r="CP238"/>
          <cell r="CQ238"/>
          <cell r="CR238"/>
          <cell r="CS238"/>
          <cell r="CT238"/>
          <cell r="CU238"/>
          <cell r="CV238"/>
          <cell r="CW238"/>
          <cell r="CX238"/>
          <cell r="CY238"/>
          <cell r="CZ238"/>
          <cell r="DA238"/>
          <cell r="DB238"/>
          <cell r="DC238"/>
          <cell r="DD238"/>
          <cell r="DE238"/>
          <cell r="DF238"/>
          <cell r="DG238"/>
          <cell r="DH238"/>
          <cell r="DI238"/>
          <cell r="DJ238"/>
          <cell r="DK238"/>
          <cell r="DL238"/>
          <cell r="DM238"/>
          <cell r="DN238"/>
          <cell r="DO238"/>
          <cell r="DP238"/>
          <cell r="DQ238"/>
          <cell r="DR238"/>
          <cell r="DS238"/>
          <cell r="DT238"/>
          <cell r="DU238"/>
          <cell r="DV238"/>
          <cell r="DW238"/>
          <cell r="DX238"/>
          <cell r="DY238"/>
          <cell r="DZ238"/>
          <cell r="EA238"/>
          <cell r="EB238"/>
          <cell r="EC238"/>
          <cell r="ED238"/>
          <cell r="EE238"/>
          <cell r="EF238"/>
          <cell r="EG238"/>
          <cell r="EH238"/>
          <cell r="EI238"/>
          <cell r="EJ238"/>
          <cell r="EK238"/>
          <cell r="EL238"/>
          <cell r="EM238"/>
          <cell r="EN238"/>
          <cell r="EO238"/>
          <cell r="EP238"/>
          <cell r="EQ238"/>
          <cell r="ER238"/>
          <cell r="ES238"/>
          <cell r="ET238"/>
          <cell r="EU238"/>
          <cell r="EV238"/>
          <cell r="EW238"/>
          <cell r="EX238"/>
          <cell r="EY238"/>
          <cell r="EZ238"/>
          <cell r="FA238"/>
          <cell r="FB238"/>
          <cell r="FC238"/>
          <cell r="FD238"/>
          <cell r="FE238"/>
          <cell r="FF238"/>
          <cell r="FG238"/>
          <cell r="FH238"/>
          <cell r="FI238"/>
        </row>
        <row r="239">
          <cell r="T239" t="str">
            <v>BUDGET FORECAST</v>
          </cell>
          <cell r="V239" t="str">
            <v>PRE PROD</v>
          </cell>
          <cell r="W239">
            <v>30</v>
          </cell>
          <cell r="X239">
            <v>217500</v>
          </cell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/>
          <cell r="AV239"/>
          <cell r="AW239"/>
          <cell r="AX239"/>
          <cell r="AY239"/>
          <cell r="AZ239"/>
          <cell r="BA239"/>
          <cell r="BB239"/>
          <cell r="BC239"/>
          <cell r="BD239"/>
          <cell r="BE239"/>
          <cell r="BF239"/>
          <cell r="BG239"/>
          <cell r="BH239"/>
          <cell r="BI239"/>
          <cell r="BJ239"/>
          <cell r="BK239"/>
          <cell r="BL239"/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>
            <v>35905</v>
          </cell>
          <cell r="BZ239">
            <v>35912</v>
          </cell>
          <cell r="CA239">
            <v>35919</v>
          </cell>
          <cell r="CB239">
            <v>35926</v>
          </cell>
          <cell r="CC239">
            <v>35933</v>
          </cell>
          <cell r="CD239">
            <v>35940</v>
          </cell>
          <cell r="CE239">
            <v>35947</v>
          </cell>
          <cell r="CF239">
            <v>35954</v>
          </cell>
          <cell r="CG239">
            <v>35961</v>
          </cell>
          <cell r="CH239">
            <v>35968</v>
          </cell>
          <cell r="CI239">
            <v>35975</v>
          </cell>
          <cell r="CJ239">
            <v>35982</v>
          </cell>
          <cell r="CK239">
            <v>35989</v>
          </cell>
          <cell r="CL239">
            <v>35996</v>
          </cell>
          <cell r="CM239">
            <v>36003</v>
          </cell>
          <cell r="CN239">
            <v>36010</v>
          </cell>
          <cell r="CO239"/>
          <cell r="CP239"/>
          <cell r="CQ239"/>
          <cell r="CR239"/>
          <cell r="CS239"/>
          <cell r="CT239"/>
          <cell r="CU239"/>
          <cell r="CV239"/>
          <cell r="CW239"/>
          <cell r="CX239"/>
          <cell r="CY239"/>
          <cell r="CZ239"/>
          <cell r="DA239"/>
          <cell r="DB239"/>
          <cell r="DC239"/>
          <cell r="DD239"/>
          <cell r="DE239"/>
          <cell r="DF239"/>
          <cell r="DG239"/>
          <cell r="DH239"/>
          <cell r="DI239"/>
          <cell r="DJ239"/>
          <cell r="DK239"/>
          <cell r="DL239"/>
          <cell r="DM239"/>
          <cell r="DN239"/>
          <cell r="DO239"/>
          <cell r="DP239"/>
          <cell r="DQ239"/>
          <cell r="DR239"/>
          <cell r="DS239"/>
          <cell r="DT239"/>
          <cell r="DU239"/>
          <cell r="DV239"/>
          <cell r="DW239"/>
          <cell r="DX239"/>
          <cell r="DY239"/>
          <cell r="DZ239"/>
          <cell r="EA239"/>
          <cell r="EB239"/>
          <cell r="EC239"/>
          <cell r="ED239"/>
          <cell r="EE239"/>
          <cell r="EF239"/>
          <cell r="EG239"/>
          <cell r="EH239"/>
          <cell r="EI239"/>
          <cell r="EJ239"/>
          <cell r="EK239"/>
          <cell r="EL239"/>
          <cell r="EM239"/>
          <cell r="EN239"/>
          <cell r="EO239"/>
          <cell r="EP239"/>
          <cell r="EQ239"/>
          <cell r="ER239"/>
          <cell r="ES239"/>
          <cell r="ET239"/>
          <cell r="EU239"/>
          <cell r="EV239"/>
          <cell r="EW239"/>
          <cell r="EX239"/>
          <cell r="EY239"/>
          <cell r="EZ239"/>
          <cell r="FA239"/>
          <cell r="FB239"/>
          <cell r="FC239"/>
          <cell r="FD239"/>
          <cell r="FE239"/>
          <cell r="FF239"/>
          <cell r="FG239"/>
          <cell r="FH239"/>
          <cell r="FI239"/>
        </row>
        <row r="240">
          <cell r="V240" t="str">
            <v>PRE PROD</v>
          </cell>
          <cell r="W240">
            <v>30</v>
          </cell>
          <cell r="X240">
            <v>217500</v>
          </cell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  <cell r="AU240"/>
          <cell r="AV240"/>
          <cell r="AW240"/>
          <cell r="AX240"/>
          <cell r="AY240"/>
          <cell r="AZ240"/>
          <cell r="BA240"/>
          <cell r="BB240"/>
          <cell r="BC240"/>
          <cell r="BD240"/>
          <cell r="BE240"/>
          <cell r="BF240"/>
          <cell r="BG240"/>
          <cell r="BH240"/>
          <cell r="BI240"/>
          <cell r="BJ240"/>
          <cell r="BK240"/>
          <cell r="BL240"/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>
            <v>3750</v>
          </cell>
          <cell r="BZ240">
            <v>7500</v>
          </cell>
          <cell r="CA240">
            <v>11250</v>
          </cell>
          <cell r="CB240">
            <v>15000</v>
          </cell>
          <cell r="CC240">
            <v>15000</v>
          </cell>
          <cell r="CD240">
            <v>15000</v>
          </cell>
          <cell r="CE240">
            <v>15000</v>
          </cell>
          <cell r="CF240">
            <v>15000</v>
          </cell>
          <cell r="CG240">
            <v>15000</v>
          </cell>
          <cell r="CH240">
            <v>15000</v>
          </cell>
          <cell r="CI240">
            <v>15000</v>
          </cell>
          <cell r="CJ240">
            <v>15000</v>
          </cell>
          <cell r="CK240">
            <v>15000</v>
          </cell>
          <cell r="CL240">
            <v>15000</v>
          </cell>
          <cell r="CM240">
            <v>15000</v>
          </cell>
          <cell r="CN240">
            <v>15000</v>
          </cell>
          <cell r="CO240"/>
          <cell r="CP240"/>
          <cell r="CQ240"/>
          <cell r="CR240"/>
          <cell r="CS240"/>
          <cell r="CT240"/>
          <cell r="CU240"/>
          <cell r="CV240"/>
          <cell r="CW240"/>
          <cell r="CX240"/>
          <cell r="CY240"/>
          <cell r="CZ240"/>
          <cell r="DA240"/>
          <cell r="DB240"/>
          <cell r="DC240"/>
          <cell r="DD240"/>
          <cell r="DE240"/>
          <cell r="DF240"/>
          <cell r="DG240"/>
          <cell r="DH240"/>
          <cell r="DI240"/>
          <cell r="DJ240"/>
          <cell r="DK240"/>
          <cell r="DL240"/>
          <cell r="DM240"/>
          <cell r="DN240"/>
          <cell r="DO240"/>
          <cell r="DP240"/>
          <cell r="DQ240"/>
          <cell r="DR240"/>
          <cell r="DS240"/>
          <cell r="DT240"/>
          <cell r="DU240"/>
          <cell r="DV240"/>
          <cell r="DW240"/>
          <cell r="DX240"/>
          <cell r="DY240"/>
          <cell r="DZ240"/>
          <cell r="EA240"/>
          <cell r="EB240"/>
          <cell r="EC240"/>
          <cell r="ED240"/>
          <cell r="EE240"/>
          <cell r="EF240"/>
          <cell r="EG240"/>
          <cell r="EH240"/>
          <cell r="EI240"/>
          <cell r="EJ240"/>
          <cell r="EK240"/>
          <cell r="EL240"/>
          <cell r="EM240"/>
          <cell r="EN240"/>
          <cell r="EO240"/>
          <cell r="EP240"/>
          <cell r="EQ240"/>
          <cell r="ER240"/>
          <cell r="ES240"/>
          <cell r="ET240"/>
          <cell r="EU240"/>
          <cell r="EV240"/>
          <cell r="EW240"/>
          <cell r="EX240"/>
          <cell r="EY240"/>
          <cell r="EZ240"/>
          <cell r="FA240"/>
          <cell r="FB240"/>
          <cell r="FC240"/>
          <cell r="FD240"/>
          <cell r="FE240"/>
          <cell r="FF240"/>
          <cell r="FG240"/>
          <cell r="FH240"/>
          <cell r="FI240"/>
        </row>
        <row r="241">
          <cell r="V241" t="str">
            <v>PRODUCTION</v>
          </cell>
          <cell r="W241">
            <v>150</v>
          </cell>
          <cell r="X241">
            <v>1087500</v>
          </cell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>
            <v>35933</v>
          </cell>
          <cell r="CD241">
            <v>35940</v>
          </cell>
          <cell r="CE241">
            <v>35947</v>
          </cell>
          <cell r="CF241">
            <v>35954</v>
          </cell>
          <cell r="CG241">
            <v>35961</v>
          </cell>
          <cell r="CH241">
            <v>35968</v>
          </cell>
          <cell r="CI241">
            <v>35975</v>
          </cell>
          <cell r="CJ241">
            <v>35982</v>
          </cell>
          <cell r="CK241">
            <v>35989</v>
          </cell>
          <cell r="CL241">
            <v>35996</v>
          </cell>
          <cell r="CM241">
            <v>36003</v>
          </cell>
          <cell r="CN241">
            <v>36010</v>
          </cell>
          <cell r="CO241">
            <v>36017</v>
          </cell>
          <cell r="CP241">
            <v>36024</v>
          </cell>
          <cell r="CQ241">
            <v>36031</v>
          </cell>
          <cell r="CR241">
            <v>36038</v>
          </cell>
          <cell r="CS241">
            <v>36045</v>
          </cell>
          <cell r="CT241">
            <v>36052</v>
          </cell>
          <cell r="CU241">
            <v>36059</v>
          </cell>
          <cell r="CV241"/>
          <cell r="CW241"/>
          <cell r="CX241"/>
          <cell r="CY241"/>
          <cell r="CZ241"/>
          <cell r="DA241"/>
          <cell r="DB241"/>
          <cell r="DC241"/>
          <cell r="DD241"/>
          <cell r="DE241"/>
          <cell r="DF241"/>
          <cell r="DG241"/>
          <cell r="DH241"/>
          <cell r="DI241"/>
          <cell r="DJ241"/>
          <cell r="DK241"/>
          <cell r="DL241"/>
          <cell r="DM241"/>
          <cell r="DN241"/>
          <cell r="DO241"/>
          <cell r="DP241"/>
          <cell r="DQ241"/>
          <cell r="DR241"/>
          <cell r="DS241"/>
          <cell r="DT241"/>
          <cell r="DU241"/>
          <cell r="DV241"/>
          <cell r="DW241"/>
          <cell r="DX241"/>
          <cell r="DY241"/>
          <cell r="DZ241"/>
          <cell r="EA241"/>
          <cell r="EB241"/>
          <cell r="EC241"/>
          <cell r="ED241"/>
          <cell r="EE241"/>
          <cell r="EF241"/>
          <cell r="EG241"/>
          <cell r="EH241"/>
          <cell r="EI241"/>
          <cell r="EJ241"/>
          <cell r="EK241"/>
          <cell r="EL241"/>
          <cell r="EM241"/>
          <cell r="EN241"/>
          <cell r="EO241"/>
          <cell r="EP241"/>
          <cell r="EQ241"/>
          <cell r="ER241"/>
          <cell r="ES241"/>
          <cell r="ET241"/>
          <cell r="EU241"/>
          <cell r="EV241"/>
          <cell r="EW241"/>
          <cell r="EX241"/>
          <cell r="EY241"/>
          <cell r="EZ241"/>
          <cell r="FA241"/>
          <cell r="FB241"/>
          <cell r="FC241"/>
          <cell r="FD241"/>
          <cell r="FE241"/>
          <cell r="FF241"/>
          <cell r="FG241"/>
          <cell r="FH241"/>
          <cell r="FI241"/>
        </row>
        <row r="242">
          <cell r="V242" t="str">
            <v>PRODUCTION</v>
          </cell>
          <cell r="W242">
            <v>150</v>
          </cell>
          <cell r="X242">
            <v>1087500</v>
          </cell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>
            <v>0</v>
          </cell>
          <cell r="CD242">
            <v>0</v>
          </cell>
          <cell r="CE242">
            <v>0</v>
          </cell>
          <cell r="CF242">
            <v>18750</v>
          </cell>
          <cell r="CG242">
            <v>37500</v>
          </cell>
          <cell r="CH242">
            <v>56250</v>
          </cell>
          <cell r="CI242">
            <v>75000</v>
          </cell>
          <cell r="CJ242">
            <v>75000</v>
          </cell>
          <cell r="CK242">
            <v>75000</v>
          </cell>
          <cell r="CL242">
            <v>75000</v>
          </cell>
          <cell r="CM242">
            <v>75000</v>
          </cell>
          <cell r="CN242">
            <v>75000</v>
          </cell>
          <cell r="CO242">
            <v>75000</v>
          </cell>
          <cell r="CP242">
            <v>75000</v>
          </cell>
          <cell r="CQ242">
            <v>75000</v>
          </cell>
          <cell r="CR242">
            <v>75000</v>
          </cell>
          <cell r="CS242">
            <v>75000</v>
          </cell>
          <cell r="CT242">
            <v>75000</v>
          </cell>
          <cell r="CU242">
            <v>75000</v>
          </cell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K242"/>
          <cell r="DL242"/>
          <cell r="DM242"/>
          <cell r="DN242"/>
          <cell r="DO242"/>
          <cell r="DP242"/>
          <cell r="DQ242"/>
          <cell r="DR242"/>
          <cell r="DS242"/>
          <cell r="DT242"/>
          <cell r="DU242"/>
          <cell r="DV242"/>
          <cell r="DW242"/>
          <cell r="DX242"/>
          <cell r="DY242"/>
          <cell r="DZ242"/>
          <cell r="EA242"/>
          <cell r="EB242"/>
          <cell r="EC242"/>
          <cell r="ED242"/>
          <cell r="EE242"/>
          <cell r="EF242"/>
          <cell r="EG242"/>
          <cell r="EH242"/>
          <cell r="EI242"/>
          <cell r="EJ242"/>
          <cell r="EK242"/>
          <cell r="EL242"/>
          <cell r="EM242"/>
          <cell r="EN242"/>
          <cell r="EO242"/>
          <cell r="EP242"/>
          <cell r="EQ242"/>
          <cell r="ER242"/>
          <cell r="ES242"/>
          <cell r="ET242"/>
          <cell r="EU242"/>
          <cell r="EV242"/>
          <cell r="EW242"/>
          <cell r="EX242"/>
          <cell r="EY242"/>
          <cell r="EZ242"/>
          <cell r="FA242"/>
          <cell r="FB242"/>
          <cell r="FC242"/>
          <cell r="FD242"/>
          <cell r="FE242"/>
          <cell r="FF242"/>
          <cell r="FG242"/>
          <cell r="FH242"/>
          <cell r="FI242"/>
        </row>
        <row r="243">
          <cell r="V243" t="str">
            <v>INK &amp; PAINT</v>
          </cell>
          <cell r="W243">
            <v>8</v>
          </cell>
          <cell r="X243">
            <v>58000</v>
          </cell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>
            <v>35968</v>
          </cell>
          <cell r="CI243">
            <v>35975</v>
          </cell>
          <cell r="CJ243">
            <v>35982</v>
          </cell>
          <cell r="CK243">
            <v>35989</v>
          </cell>
          <cell r="CL243">
            <v>35996</v>
          </cell>
          <cell r="CM243">
            <v>36003</v>
          </cell>
          <cell r="CN243">
            <v>36010</v>
          </cell>
          <cell r="CO243">
            <v>36017</v>
          </cell>
          <cell r="CP243">
            <v>36024</v>
          </cell>
          <cell r="CQ243">
            <v>36031</v>
          </cell>
          <cell r="CR243">
            <v>36038</v>
          </cell>
          <cell r="CS243">
            <v>36045</v>
          </cell>
          <cell r="CT243">
            <v>36052</v>
          </cell>
          <cell r="CU243">
            <v>36059</v>
          </cell>
          <cell r="CV243">
            <v>36066</v>
          </cell>
          <cell r="CW243">
            <v>36073</v>
          </cell>
          <cell r="CX243"/>
          <cell r="CY243"/>
          <cell r="CZ243"/>
          <cell r="DA243"/>
          <cell r="DB243"/>
          <cell r="DC243"/>
          <cell r="DD243"/>
          <cell r="DE243"/>
          <cell r="DF243"/>
          <cell r="DG243"/>
          <cell r="DH243"/>
          <cell r="DI243"/>
          <cell r="DJ243"/>
          <cell r="DK243"/>
          <cell r="DL243"/>
          <cell r="DM243"/>
          <cell r="DN243"/>
          <cell r="DO243"/>
          <cell r="DP243"/>
          <cell r="DQ243"/>
          <cell r="DR243"/>
          <cell r="DS243"/>
          <cell r="DT243"/>
          <cell r="DU243"/>
          <cell r="DV243"/>
          <cell r="DW243"/>
          <cell r="DX243"/>
          <cell r="DY243"/>
          <cell r="DZ243"/>
          <cell r="EA243"/>
          <cell r="EB243"/>
          <cell r="EC243"/>
          <cell r="ED243"/>
          <cell r="EE243"/>
          <cell r="EF243"/>
          <cell r="EG243"/>
          <cell r="EH243"/>
          <cell r="EI243"/>
          <cell r="EJ243"/>
          <cell r="EK243"/>
          <cell r="EL243"/>
          <cell r="EM243"/>
          <cell r="EN243"/>
          <cell r="EO243"/>
          <cell r="EP243"/>
          <cell r="EQ243"/>
          <cell r="ER243"/>
          <cell r="ES243"/>
          <cell r="ET243"/>
          <cell r="EU243"/>
          <cell r="EV243"/>
          <cell r="EW243"/>
          <cell r="EX243"/>
          <cell r="EY243"/>
          <cell r="EZ243"/>
          <cell r="FA243"/>
          <cell r="FB243"/>
          <cell r="FC243"/>
          <cell r="FD243"/>
          <cell r="FE243"/>
          <cell r="FF243"/>
          <cell r="FG243"/>
          <cell r="FH243"/>
          <cell r="FI243"/>
        </row>
        <row r="244">
          <cell r="V244" t="str">
            <v>INK &amp; PAINT</v>
          </cell>
          <cell r="W244">
            <v>8</v>
          </cell>
          <cell r="X244">
            <v>58000</v>
          </cell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>
            <v>1000</v>
          </cell>
          <cell r="CI244">
            <v>2000</v>
          </cell>
          <cell r="CJ244">
            <v>3000</v>
          </cell>
          <cell r="CK244">
            <v>4000</v>
          </cell>
          <cell r="CL244">
            <v>4000</v>
          </cell>
          <cell r="CM244">
            <v>4000</v>
          </cell>
          <cell r="CN244">
            <v>4000</v>
          </cell>
          <cell r="CO244">
            <v>4000</v>
          </cell>
          <cell r="CP244">
            <v>4000</v>
          </cell>
          <cell r="CQ244">
            <v>4000</v>
          </cell>
          <cell r="CR244">
            <v>4000</v>
          </cell>
          <cell r="CS244">
            <v>4000</v>
          </cell>
          <cell r="CT244">
            <v>4000</v>
          </cell>
          <cell r="CU244">
            <v>4000</v>
          </cell>
          <cell r="CV244">
            <v>4000</v>
          </cell>
          <cell r="CW244">
            <v>4000</v>
          </cell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K244"/>
          <cell r="DL244"/>
          <cell r="DM244"/>
          <cell r="DN244"/>
          <cell r="DO244"/>
          <cell r="DP244"/>
          <cell r="DQ244"/>
          <cell r="DR244"/>
          <cell r="DS244"/>
          <cell r="DT244"/>
          <cell r="DU244"/>
          <cell r="DV244"/>
          <cell r="DW244"/>
          <cell r="DX244"/>
          <cell r="DY244"/>
          <cell r="DZ244"/>
          <cell r="EA244"/>
          <cell r="EB244"/>
          <cell r="EC244"/>
          <cell r="ED244"/>
          <cell r="EE244"/>
          <cell r="EF244"/>
          <cell r="EG244"/>
          <cell r="EH244"/>
          <cell r="EI244"/>
          <cell r="EJ244"/>
          <cell r="EK244"/>
          <cell r="EL244"/>
          <cell r="EM244"/>
          <cell r="EN244"/>
          <cell r="EO244"/>
          <cell r="EP244"/>
          <cell r="EQ244"/>
          <cell r="ER244"/>
          <cell r="ES244"/>
          <cell r="ET244"/>
          <cell r="EU244"/>
          <cell r="EV244"/>
          <cell r="EW244"/>
          <cell r="EX244"/>
          <cell r="EY244"/>
          <cell r="EZ244"/>
          <cell r="FA244"/>
          <cell r="FB244"/>
          <cell r="FC244"/>
          <cell r="FD244"/>
          <cell r="FE244"/>
          <cell r="FF244"/>
          <cell r="FG244"/>
          <cell r="FH244"/>
          <cell r="FI244"/>
        </row>
        <row r="245">
          <cell r="X245" t="str">
            <v>DIRECT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3750</v>
          </cell>
          <cell r="BZ245">
            <v>7500</v>
          </cell>
          <cell r="CA245">
            <v>11250</v>
          </cell>
          <cell r="CB245">
            <v>15000</v>
          </cell>
          <cell r="CC245">
            <v>50933</v>
          </cell>
          <cell r="CD245">
            <v>50940</v>
          </cell>
          <cell r="CE245">
            <v>50947</v>
          </cell>
          <cell r="CF245">
            <v>69704</v>
          </cell>
          <cell r="CG245">
            <v>88461</v>
          </cell>
          <cell r="CH245">
            <v>144186</v>
          </cell>
          <cell r="CI245">
            <v>163950</v>
          </cell>
          <cell r="CJ245">
            <v>164964</v>
          </cell>
          <cell r="CK245">
            <v>165978</v>
          </cell>
          <cell r="CL245">
            <v>165992</v>
          </cell>
          <cell r="CM245">
            <v>166006</v>
          </cell>
          <cell r="CN245">
            <v>166020</v>
          </cell>
          <cell r="CO245">
            <v>151034</v>
          </cell>
          <cell r="CP245">
            <v>151048</v>
          </cell>
          <cell r="CQ245">
            <v>151062</v>
          </cell>
          <cell r="CR245">
            <v>151076</v>
          </cell>
          <cell r="CS245">
            <v>151090</v>
          </cell>
          <cell r="CT245">
            <v>151104</v>
          </cell>
          <cell r="CU245">
            <v>151118</v>
          </cell>
          <cell r="CV245">
            <v>40066</v>
          </cell>
          <cell r="CW245">
            <v>40073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G245">
            <v>0</v>
          </cell>
          <cell r="EH245">
            <v>0</v>
          </cell>
          <cell r="EI245">
            <v>0</v>
          </cell>
          <cell r="EJ245">
            <v>0</v>
          </cell>
          <cell r="EK245">
            <v>0</v>
          </cell>
          <cell r="EL245">
            <v>0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EY245">
            <v>0</v>
          </cell>
          <cell r="EZ245">
            <v>0</v>
          </cell>
          <cell r="FA245">
            <v>0</v>
          </cell>
          <cell r="FB245">
            <v>0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</row>
        <row r="246">
          <cell r="X246" t="str">
            <v>DIRECT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3750</v>
          </cell>
          <cell r="BZ246">
            <v>7500</v>
          </cell>
          <cell r="CA246">
            <v>11250</v>
          </cell>
          <cell r="CB246">
            <v>15000</v>
          </cell>
          <cell r="CC246">
            <v>50933</v>
          </cell>
          <cell r="CD246">
            <v>50940</v>
          </cell>
          <cell r="CE246">
            <v>50947</v>
          </cell>
          <cell r="CF246">
            <v>69704</v>
          </cell>
          <cell r="CG246">
            <v>88461</v>
          </cell>
          <cell r="CH246">
            <v>144186</v>
          </cell>
          <cell r="CI246">
            <v>163950</v>
          </cell>
          <cell r="CJ246">
            <v>164964</v>
          </cell>
          <cell r="CK246">
            <v>165978</v>
          </cell>
          <cell r="CL246">
            <v>165992</v>
          </cell>
          <cell r="CM246">
            <v>166006</v>
          </cell>
          <cell r="CN246">
            <v>166020</v>
          </cell>
          <cell r="CO246">
            <v>151034</v>
          </cell>
          <cell r="CP246">
            <v>151048</v>
          </cell>
          <cell r="CQ246">
            <v>151062</v>
          </cell>
          <cell r="CR246">
            <v>151076</v>
          </cell>
          <cell r="CS246">
            <v>151090</v>
          </cell>
          <cell r="CT246">
            <v>151104</v>
          </cell>
          <cell r="CU246">
            <v>151118</v>
          </cell>
          <cell r="CV246">
            <v>40066</v>
          </cell>
          <cell r="CW246">
            <v>40073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G246">
            <v>0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>
            <v>0</v>
          </cell>
          <cell r="EY246">
            <v>0</v>
          </cell>
          <cell r="EZ246">
            <v>0</v>
          </cell>
          <cell r="FA246">
            <v>0</v>
          </cell>
          <cell r="FB246">
            <v>0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</row>
        <row r="247">
          <cell r="X247" t="str">
            <v>LOADED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5062.5</v>
          </cell>
          <cell r="BZ247">
            <v>10125</v>
          </cell>
          <cell r="CA247">
            <v>15187.5</v>
          </cell>
          <cell r="CB247">
            <v>20250</v>
          </cell>
          <cell r="CC247">
            <v>68759.55</v>
          </cell>
          <cell r="CD247">
            <v>68769</v>
          </cell>
          <cell r="CE247">
            <v>68778.45</v>
          </cell>
          <cell r="CF247">
            <v>94100.4</v>
          </cell>
          <cell r="CG247">
            <v>119422.35</v>
          </cell>
          <cell r="CH247">
            <v>194651.1</v>
          </cell>
          <cell r="CI247">
            <v>221332.5</v>
          </cell>
          <cell r="CJ247">
            <v>222701.4</v>
          </cell>
          <cell r="CK247">
            <v>224070.3</v>
          </cell>
          <cell r="CL247">
            <v>224089.2</v>
          </cell>
          <cell r="CM247">
            <v>224108.1</v>
          </cell>
          <cell r="CN247">
            <v>224127</v>
          </cell>
          <cell r="CO247">
            <v>203895.9</v>
          </cell>
          <cell r="CP247">
            <v>203914.8</v>
          </cell>
          <cell r="CQ247">
            <v>203933.7</v>
          </cell>
          <cell r="CR247">
            <v>203952.6</v>
          </cell>
          <cell r="CS247">
            <v>203971.5</v>
          </cell>
          <cell r="CT247">
            <v>203990.39999999999</v>
          </cell>
          <cell r="CU247">
            <v>204009.3</v>
          </cell>
          <cell r="CV247">
            <v>54089.1</v>
          </cell>
          <cell r="CW247">
            <v>54098.55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</row>
        <row r="248">
          <cell r="V248" t="str">
            <v>PROJECTED RTM</v>
          </cell>
          <cell r="X248" t="str">
            <v>CUMULATIVE TO DATE</v>
          </cell>
          <cell r="Y248">
            <v>175</v>
          </cell>
          <cell r="Z248">
            <v>98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5062.5</v>
          </cell>
          <cell r="BZ248">
            <v>10125</v>
          </cell>
          <cell r="CA248">
            <v>15187.5</v>
          </cell>
          <cell r="CB248">
            <v>20250</v>
          </cell>
          <cell r="CC248">
            <v>68759.55</v>
          </cell>
          <cell r="CD248">
            <v>68769</v>
          </cell>
          <cell r="CE248">
            <v>68778.45</v>
          </cell>
          <cell r="CF248">
            <v>94100.4</v>
          </cell>
          <cell r="CG248">
            <v>119422.35</v>
          </cell>
          <cell r="CH248">
            <v>194651.1</v>
          </cell>
          <cell r="CI248">
            <v>221332.5</v>
          </cell>
          <cell r="CJ248">
            <v>222701.4</v>
          </cell>
          <cell r="CK248">
            <v>224070.3</v>
          </cell>
          <cell r="CL248">
            <v>224089.2</v>
          </cell>
          <cell r="CM248">
            <v>224108.1</v>
          </cell>
          <cell r="CN248">
            <v>224127</v>
          </cell>
          <cell r="CO248">
            <v>203895.9</v>
          </cell>
          <cell r="CP248">
            <v>203914.8</v>
          </cell>
          <cell r="CQ248">
            <v>203933.7</v>
          </cell>
          <cell r="CR248">
            <v>203952.6</v>
          </cell>
          <cell r="CS248">
            <v>203971.5</v>
          </cell>
          <cell r="CT248">
            <v>203990.39999999999</v>
          </cell>
          <cell r="CU248">
            <v>204009.3</v>
          </cell>
          <cell r="CV248">
            <v>54089.1</v>
          </cell>
          <cell r="CW248">
            <v>54098.55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>
            <v>0</v>
          </cell>
          <cell r="EC248">
            <v>0</v>
          </cell>
          <cell r="ED248">
            <v>0</v>
          </cell>
          <cell r="EE248">
            <v>0</v>
          </cell>
          <cell r="EF248">
            <v>0</v>
          </cell>
          <cell r="EG248">
            <v>0</v>
          </cell>
          <cell r="EH248">
            <v>0</v>
          </cell>
          <cell r="EI248">
            <v>0</v>
          </cell>
          <cell r="EJ248">
            <v>0</v>
          </cell>
          <cell r="EK248">
            <v>0</v>
          </cell>
          <cell r="EL248">
            <v>0</v>
          </cell>
          <cell r="EM248">
            <v>0</v>
          </cell>
          <cell r="EN248">
            <v>0</v>
          </cell>
          <cell r="EO248">
            <v>0</v>
          </cell>
          <cell r="EP248">
            <v>0</v>
          </cell>
          <cell r="EQ248">
            <v>0</v>
          </cell>
          <cell r="ER248">
            <v>0</v>
          </cell>
          <cell r="ES248">
            <v>0</v>
          </cell>
          <cell r="ET248">
            <v>0</v>
          </cell>
          <cell r="EU248">
            <v>0</v>
          </cell>
          <cell r="EV248">
            <v>0</v>
          </cell>
          <cell r="EW248">
            <v>0</v>
          </cell>
          <cell r="EX248">
            <v>0</v>
          </cell>
          <cell r="EY248">
            <v>0</v>
          </cell>
          <cell r="EZ248">
            <v>0</v>
          </cell>
          <cell r="FA248">
            <v>0</v>
          </cell>
          <cell r="FB248">
            <v>0</v>
          </cell>
          <cell r="FC248">
            <v>0</v>
          </cell>
          <cell r="FD248">
            <v>0</v>
          </cell>
          <cell r="FE248">
            <v>0</v>
          </cell>
          <cell r="FF248">
            <v>0</v>
          </cell>
          <cell r="FG248">
            <v>0</v>
          </cell>
          <cell r="FH248">
            <v>0</v>
          </cell>
          <cell r="FI248">
            <v>0</v>
          </cell>
        </row>
        <row r="249">
          <cell r="V249" t="str">
            <v>PROJECTED RTM</v>
          </cell>
          <cell r="X249">
            <v>36154</v>
          </cell>
          <cell r="Y249">
            <v>175</v>
          </cell>
          <cell r="Z249">
            <v>98</v>
          </cell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  <cell r="CQ249"/>
          <cell r="CR249"/>
          <cell r="CS249"/>
          <cell r="CT249"/>
          <cell r="CU249"/>
          <cell r="CV249"/>
          <cell r="CW249"/>
          <cell r="CX249"/>
          <cell r="CY249"/>
          <cell r="CZ249"/>
          <cell r="DA249"/>
          <cell r="DB249"/>
          <cell r="DC249"/>
          <cell r="DD249"/>
          <cell r="DE249"/>
          <cell r="DF249"/>
          <cell r="DG249"/>
          <cell r="DH249"/>
          <cell r="DI249"/>
          <cell r="DJ249"/>
          <cell r="DK249"/>
          <cell r="DL249"/>
          <cell r="DM249"/>
          <cell r="DN249"/>
          <cell r="DO249"/>
          <cell r="DP249"/>
          <cell r="DQ249"/>
          <cell r="DR249"/>
          <cell r="DS249"/>
          <cell r="DT249"/>
          <cell r="DU249"/>
          <cell r="DV249"/>
          <cell r="DW249"/>
          <cell r="DX249"/>
          <cell r="DY249"/>
          <cell r="DZ249"/>
          <cell r="EA249"/>
          <cell r="EB249"/>
          <cell r="EC249"/>
          <cell r="ED249"/>
          <cell r="EE249"/>
          <cell r="EF249"/>
          <cell r="EG249"/>
          <cell r="EH249"/>
          <cell r="EI249"/>
          <cell r="EJ249"/>
          <cell r="EK249"/>
          <cell r="EL249"/>
          <cell r="EM249"/>
          <cell r="EN249"/>
          <cell r="EO249"/>
          <cell r="EP249"/>
          <cell r="EQ249"/>
          <cell r="ER249"/>
          <cell r="ES249"/>
          <cell r="ET249"/>
          <cell r="EU249"/>
          <cell r="EV249"/>
        </row>
        <row r="250">
          <cell r="V250" t="str">
            <v>PROJECTED STREET</v>
          </cell>
          <cell r="X250">
            <v>36184</v>
          </cell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  <cell r="CQ250"/>
          <cell r="CR250"/>
          <cell r="CS250"/>
          <cell r="CT250"/>
          <cell r="CU250"/>
          <cell r="CV250"/>
          <cell r="CW250"/>
          <cell r="CX250"/>
          <cell r="CY250"/>
          <cell r="CZ250"/>
          <cell r="DA250"/>
          <cell r="DB250"/>
          <cell r="DC250"/>
          <cell r="DD250"/>
          <cell r="DE250"/>
          <cell r="DF250"/>
          <cell r="DG250"/>
          <cell r="DH250"/>
          <cell r="DI250"/>
          <cell r="DJ250"/>
          <cell r="DK250"/>
          <cell r="DL250"/>
          <cell r="DM250"/>
          <cell r="DN250"/>
          <cell r="DO250"/>
          <cell r="DP250"/>
          <cell r="DQ250"/>
          <cell r="DR250"/>
          <cell r="DS250"/>
          <cell r="DT250"/>
          <cell r="DU250"/>
          <cell r="DV250"/>
          <cell r="DW250"/>
          <cell r="DX250"/>
          <cell r="DY250"/>
          <cell r="DZ250"/>
          <cell r="EA250"/>
          <cell r="EB250"/>
          <cell r="EC250"/>
          <cell r="ED250"/>
          <cell r="EE250"/>
          <cell r="EF250"/>
          <cell r="EG250"/>
          <cell r="EH250"/>
          <cell r="EI250"/>
          <cell r="EJ250"/>
          <cell r="EK250"/>
          <cell r="EL250"/>
          <cell r="EM250"/>
          <cell r="EN250"/>
          <cell r="EO250"/>
          <cell r="EP250"/>
          <cell r="EQ250"/>
          <cell r="ER250"/>
          <cell r="ES250"/>
          <cell r="ET250"/>
          <cell r="EU250"/>
          <cell r="EV250"/>
        </row>
        <row r="251">
          <cell r="V251" t="str">
            <v>+ or - Scheduled Date</v>
          </cell>
          <cell r="X251">
            <v>128</v>
          </cell>
        </row>
        <row r="252">
          <cell r="N252" t="str">
            <v>ENGINEERING</v>
          </cell>
          <cell r="R252" t="str">
            <v>TARZAN STORY STUDIO</v>
          </cell>
          <cell r="V252" t="str">
            <v>START DATE</v>
          </cell>
          <cell r="W252" t="str">
            <v>END     DATE</v>
          </cell>
          <cell r="X252">
            <v>4504.91</v>
          </cell>
          <cell r="Y252" t="str">
            <v>WK Count</v>
          </cell>
          <cell r="Z252" t="str">
            <v>Total Days</v>
          </cell>
        </row>
        <row r="253">
          <cell r="N253" t="str">
            <v>ENGINEERING</v>
          </cell>
          <cell r="R253" t="str">
            <v>TARZAN STORY STUDIO</v>
          </cell>
          <cell r="T253" t="str">
            <v>ANIMATION PRODUCTION</v>
          </cell>
          <cell r="V253" t="str">
            <v>START DATE</v>
          </cell>
          <cell r="W253" t="str">
            <v>END     DATE</v>
          </cell>
          <cell r="X253">
            <v>4504.91</v>
          </cell>
          <cell r="Y253" t="str">
            <v>WK Count</v>
          </cell>
          <cell r="Z253" t="str">
            <v>Total Days</v>
          </cell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>
            <v>35975</v>
          </cell>
          <cell r="CJ253">
            <v>35982</v>
          </cell>
          <cell r="CK253">
            <v>35989</v>
          </cell>
          <cell r="CL253">
            <v>35996</v>
          </cell>
          <cell r="CM253">
            <v>36003</v>
          </cell>
          <cell r="CN253">
            <v>36010</v>
          </cell>
          <cell r="CO253">
            <v>36017</v>
          </cell>
          <cell r="CP253">
            <v>36024</v>
          </cell>
          <cell r="CQ253">
            <v>36031</v>
          </cell>
          <cell r="CR253">
            <v>36038</v>
          </cell>
          <cell r="CS253">
            <v>36045</v>
          </cell>
          <cell r="CT253">
            <v>36052</v>
          </cell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K253"/>
          <cell r="DL253"/>
          <cell r="DM253"/>
          <cell r="DN253"/>
          <cell r="DO253"/>
          <cell r="DP253"/>
          <cell r="DQ253"/>
          <cell r="DR253"/>
          <cell r="DS253"/>
          <cell r="DT253"/>
          <cell r="DU253"/>
          <cell r="DV253"/>
          <cell r="DW253"/>
          <cell r="DX253"/>
          <cell r="DY253"/>
          <cell r="DZ253"/>
          <cell r="EA253"/>
          <cell r="EB253"/>
          <cell r="EC253"/>
          <cell r="ED253"/>
          <cell r="EE253"/>
          <cell r="EF253"/>
          <cell r="EG253"/>
          <cell r="EH253"/>
          <cell r="EI253"/>
          <cell r="EJ253"/>
          <cell r="EK253"/>
          <cell r="EL253"/>
          <cell r="EM253"/>
          <cell r="EN253"/>
          <cell r="EO253"/>
          <cell r="EP253"/>
          <cell r="EQ253"/>
          <cell r="ER253"/>
          <cell r="ES253"/>
          <cell r="ET253"/>
          <cell r="EU253"/>
          <cell r="EV253"/>
        </row>
        <row r="254">
          <cell r="A254" t="str">
            <v>PREP</v>
          </cell>
          <cell r="F254" t="str">
            <v>ANIMATION</v>
          </cell>
          <cell r="I254" t="str">
            <v>INK &amp; PAINT</v>
          </cell>
          <cell r="L254" t="str">
            <v>ALPHA</v>
          </cell>
          <cell r="N254" t="str">
            <v>BETA</v>
          </cell>
          <cell r="P254" t="str">
            <v>RTM</v>
          </cell>
          <cell r="R254" t="str">
            <v>STREET</v>
          </cell>
          <cell r="T254" t="str">
            <v>ANIMATION PRODUCTION</v>
          </cell>
          <cell r="V254">
            <v>35975</v>
          </cell>
          <cell r="W254">
            <v>36052.068740000002</v>
          </cell>
          <cell r="X254">
            <v>500</v>
          </cell>
          <cell r="Y254">
            <v>12</v>
          </cell>
          <cell r="Z254">
            <v>77.068739999999991</v>
          </cell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>
            <v>35975</v>
          </cell>
          <cell r="CJ254">
            <v>35982</v>
          </cell>
          <cell r="CK254">
            <v>35989</v>
          </cell>
          <cell r="CL254">
            <v>35996</v>
          </cell>
          <cell r="CM254">
            <v>36003</v>
          </cell>
          <cell r="CN254">
            <v>36010</v>
          </cell>
          <cell r="CO254">
            <v>36017</v>
          </cell>
          <cell r="CP254">
            <v>36024</v>
          </cell>
          <cell r="CQ254">
            <v>36031</v>
          </cell>
          <cell r="CR254">
            <v>36038</v>
          </cell>
          <cell r="CS254">
            <v>36045</v>
          </cell>
          <cell r="CT254">
            <v>36052</v>
          </cell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K254"/>
          <cell r="DL254"/>
          <cell r="DM254"/>
          <cell r="DN254"/>
          <cell r="DO254"/>
          <cell r="DP254"/>
          <cell r="DQ254"/>
          <cell r="DR254"/>
          <cell r="DS254"/>
          <cell r="DT254"/>
          <cell r="DU254"/>
          <cell r="DV254"/>
          <cell r="DW254"/>
          <cell r="DX254"/>
          <cell r="DY254"/>
          <cell r="DZ254"/>
          <cell r="EA254"/>
          <cell r="EB254"/>
          <cell r="EC254"/>
          <cell r="ED254"/>
          <cell r="EE254"/>
          <cell r="EF254"/>
          <cell r="EG254"/>
          <cell r="EH254"/>
          <cell r="EI254"/>
          <cell r="EJ254"/>
          <cell r="EK254"/>
          <cell r="EL254"/>
          <cell r="EM254"/>
          <cell r="EN254"/>
          <cell r="EO254"/>
          <cell r="EP254"/>
          <cell r="EQ254"/>
          <cell r="ER254"/>
          <cell r="ES254"/>
          <cell r="ET254"/>
          <cell r="EU254"/>
          <cell r="EV254"/>
        </row>
        <row r="255">
          <cell r="A255" t="str">
            <v>PREP</v>
          </cell>
          <cell r="B255" t="str">
            <v>Days</v>
          </cell>
          <cell r="F255" t="str">
            <v>ANIMATION</v>
          </cell>
          <cell r="G255" t="str">
            <v>Days</v>
          </cell>
          <cell r="H255" t="str">
            <v>Frames</v>
          </cell>
          <cell r="I255" t="str">
            <v>INK &amp; PAINT</v>
          </cell>
          <cell r="J255" t="str">
            <v>Days</v>
          </cell>
          <cell r="L255" t="str">
            <v>ALPHA</v>
          </cell>
          <cell r="N255" t="str">
            <v>BETA</v>
          </cell>
          <cell r="P255" t="str">
            <v>RTM</v>
          </cell>
          <cell r="R255" t="str">
            <v>STREET</v>
          </cell>
          <cell r="T255" t="str">
            <v>Prep Projection</v>
          </cell>
          <cell r="V255">
            <v>35975</v>
          </cell>
          <cell r="W255">
            <v>36052.068740000002</v>
          </cell>
          <cell r="X255">
            <v>500</v>
          </cell>
          <cell r="Y255">
            <v>12</v>
          </cell>
          <cell r="Z255">
            <v>77.068739999999991</v>
          </cell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>
            <v>125</v>
          </cell>
          <cell r="CJ255">
            <v>250</v>
          </cell>
          <cell r="CK255">
            <v>375</v>
          </cell>
          <cell r="CL255">
            <v>500</v>
          </cell>
          <cell r="CM255">
            <v>500</v>
          </cell>
          <cell r="CN255">
            <v>500</v>
          </cell>
          <cell r="CO255">
            <v>500</v>
          </cell>
          <cell r="CP255">
            <v>500</v>
          </cell>
          <cell r="CQ255">
            <v>500</v>
          </cell>
          <cell r="CR255">
            <v>500</v>
          </cell>
          <cell r="CS255">
            <v>500</v>
          </cell>
          <cell r="CT255">
            <v>500</v>
          </cell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K255"/>
          <cell r="DL255"/>
          <cell r="DM255"/>
          <cell r="DN255"/>
          <cell r="DO255"/>
          <cell r="DP255"/>
          <cell r="DQ255"/>
          <cell r="DR255"/>
          <cell r="DS255"/>
          <cell r="DT255"/>
          <cell r="DU255"/>
          <cell r="DV255"/>
          <cell r="DW255"/>
          <cell r="DX255"/>
          <cell r="DY255"/>
          <cell r="DZ255"/>
          <cell r="EA255"/>
          <cell r="EB255"/>
          <cell r="EC255"/>
          <cell r="ED255"/>
          <cell r="EE255"/>
          <cell r="EF255"/>
          <cell r="EG255"/>
          <cell r="EH255"/>
          <cell r="EI255"/>
          <cell r="EJ255"/>
          <cell r="EK255"/>
          <cell r="EL255"/>
          <cell r="EM255"/>
          <cell r="EN255"/>
          <cell r="EO255"/>
          <cell r="EP255"/>
          <cell r="EQ255"/>
          <cell r="ER255"/>
          <cell r="ES255"/>
          <cell r="ET255"/>
          <cell r="EU255"/>
          <cell r="EV255"/>
        </row>
        <row r="256">
          <cell r="A256" t="str">
            <v>Wks</v>
          </cell>
          <cell r="B256" t="str">
            <v>Days</v>
          </cell>
          <cell r="F256" t="str">
            <v>Wks</v>
          </cell>
          <cell r="G256" t="str">
            <v>Days</v>
          </cell>
          <cell r="H256" t="str">
            <v>Frames</v>
          </cell>
          <cell r="I256" t="str">
            <v>Wks</v>
          </cell>
          <cell r="J256" t="str">
            <v>Days</v>
          </cell>
          <cell r="K256">
            <v>21</v>
          </cell>
          <cell r="M256">
            <v>29</v>
          </cell>
          <cell r="O256">
            <v>29</v>
          </cell>
          <cell r="Q256">
            <v>29</v>
          </cell>
          <cell r="R256">
            <v>36342</v>
          </cell>
          <cell r="T256" t="str">
            <v>Animation Projection</v>
          </cell>
          <cell r="V256">
            <v>36003</v>
          </cell>
          <cell r="W256">
            <v>36096.068740000002</v>
          </cell>
          <cell r="X256">
            <v>500</v>
          </cell>
          <cell r="Y256">
            <v>14</v>
          </cell>
          <cell r="Z256">
            <v>93.068739999999991</v>
          </cell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  <cell r="AK256"/>
          <cell r="AL256"/>
          <cell r="AM256"/>
          <cell r="AN256"/>
          <cell r="AO256"/>
          <cell r="AP256"/>
          <cell r="AQ256"/>
          <cell r="AR256"/>
          <cell r="AS256"/>
          <cell r="AT256"/>
          <cell r="AU256"/>
          <cell r="AV256"/>
          <cell r="AW256"/>
          <cell r="AX256"/>
          <cell r="AY256"/>
          <cell r="AZ256"/>
          <cell r="BA256"/>
          <cell r="BB256"/>
          <cell r="BC256"/>
          <cell r="BD256"/>
          <cell r="BE256"/>
          <cell r="BF256"/>
          <cell r="BG256"/>
          <cell r="BH256"/>
          <cell r="BI256"/>
          <cell r="BJ256"/>
          <cell r="BK256"/>
          <cell r="BL256"/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>
            <v>0</v>
          </cell>
          <cell r="CN256">
            <v>0</v>
          </cell>
          <cell r="CO256">
            <v>0</v>
          </cell>
          <cell r="CP256">
            <v>125</v>
          </cell>
          <cell r="CQ256">
            <v>250</v>
          </cell>
          <cell r="CR256">
            <v>375</v>
          </cell>
          <cell r="CS256">
            <v>500</v>
          </cell>
          <cell r="CT256">
            <v>500</v>
          </cell>
          <cell r="CU256">
            <v>500</v>
          </cell>
          <cell r="CV256">
            <v>500</v>
          </cell>
          <cell r="CW256">
            <v>500</v>
          </cell>
          <cell r="CX256">
            <v>500</v>
          </cell>
          <cell r="CY256">
            <v>500</v>
          </cell>
          <cell r="CZ256">
            <v>500</v>
          </cell>
          <cell r="DA256"/>
          <cell r="DB256"/>
          <cell r="DC256"/>
          <cell r="DD256"/>
          <cell r="DE256"/>
          <cell r="DF256"/>
          <cell r="DG256"/>
          <cell r="DH256"/>
          <cell r="DI256"/>
          <cell r="DJ256"/>
          <cell r="DK256"/>
          <cell r="DL256"/>
          <cell r="DM256"/>
          <cell r="DN256"/>
          <cell r="DO256"/>
          <cell r="DP256"/>
          <cell r="DQ256"/>
          <cell r="DR256"/>
          <cell r="DS256"/>
          <cell r="DT256"/>
          <cell r="DU256"/>
          <cell r="DV256"/>
          <cell r="DW256"/>
          <cell r="DX256"/>
          <cell r="DY256"/>
          <cell r="DZ256"/>
          <cell r="EA256"/>
          <cell r="EB256"/>
          <cell r="EC256"/>
          <cell r="ED256"/>
          <cell r="EE256"/>
          <cell r="EF256"/>
          <cell r="EG256"/>
          <cell r="EH256"/>
          <cell r="EI256"/>
          <cell r="EJ256"/>
          <cell r="EK256"/>
          <cell r="EL256"/>
          <cell r="EM256"/>
          <cell r="EN256"/>
          <cell r="EO256"/>
          <cell r="EP256"/>
          <cell r="EQ256"/>
          <cell r="ER256"/>
          <cell r="ES256"/>
          <cell r="ET256"/>
          <cell r="EU256"/>
          <cell r="EV256"/>
        </row>
        <row r="257">
          <cell r="A257">
            <v>9.0098199999999995</v>
          </cell>
          <cell r="B257">
            <v>77.068739999999991</v>
          </cell>
          <cell r="F257">
            <v>9.0098199999999995</v>
          </cell>
          <cell r="G257">
            <v>93.068739999999991</v>
          </cell>
          <cell r="H257">
            <v>4504.91</v>
          </cell>
          <cell r="I257">
            <v>9.0098199999999995</v>
          </cell>
          <cell r="J257">
            <v>77.068739999999991</v>
          </cell>
          <cell r="K257">
            <v>21</v>
          </cell>
          <cell r="M257">
            <v>29</v>
          </cell>
          <cell r="O257">
            <v>29</v>
          </cell>
          <cell r="Q257">
            <v>29</v>
          </cell>
          <cell r="R257">
            <v>36342</v>
          </cell>
          <cell r="T257" t="str">
            <v>Ink &amp; Paint Projection</v>
          </cell>
          <cell r="V257">
            <v>36033</v>
          </cell>
          <cell r="W257">
            <v>36110.068740000002</v>
          </cell>
          <cell r="X257">
            <v>500</v>
          </cell>
          <cell r="Y257">
            <v>11</v>
          </cell>
          <cell r="Z257">
            <v>77.068739999999991</v>
          </cell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  <cell r="CQ257"/>
          <cell r="CR257">
            <v>125</v>
          </cell>
          <cell r="CS257">
            <v>250</v>
          </cell>
          <cell r="CT257">
            <v>375</v>
          </cell>
          <cell r="CU257">
            <v>500</v>
          </cell>
          <cell r="CV257">
            <v>500</v>
          </cell>
          <cell r="CW257">
            <v>500</v>
          </cell>
          <cell r="CX257">
            <v>500</v>
          </cell>
          <cell r="CY257">
            <v>500</v>
          </cell>
          <cell r="CZ257">
            <v>500</v>
          </cell>
          <cell r="DA257">
            <v>500</v>
          </cell>
          <cell r="DB257">
            <v>500</v>
          </cell>
          <cell r="DC257"/>
          <cell r="DD257"/>
          <cell r="DE257"/>
          <cell r="DF257"/>
          <cell r="DG257"/>
          <cell r="DH257"/>
          <cell r="DI257"/>
          <cell r="DJ257"/>
          <cell r="DK257"/>
          <cell r="DL257"/>
          <cell r="DM257"/>
          <cell r="DN257"/>
          <cell r="DO257"/>
          <cell r="DP257"/>
          <cell r="DQ257"/>
          <cell r="DR257"/>
          <cell r="DS257"/>
          <cell r="DT257"/>
          <cell r="DU257"/>
          <cell r="DV257"/>
          <cell r="DW257"/>
          <cell r="DX257"/>
          <cell r="DY257"/>
          <cell r="DZ257"/>
          <cell r="EA257"/>
          <cell r="EB257"/>
          <cell r="EC257"/>
          <cell r="ED257"/>
          <cell r="EE257"/>
          <cell r="EF257"/>
          <cell r="EG257"/>
          <cell r="EH257"/>
          <cell r="EI257"/>
          <cell r="EJ257"/>
          <cell r="EK257"/>
          <cell r="EL257"/>
          <cell r="EM257"/>
          <cell r="EN257"/>
          <cell r="EO257"/>
          <cell r="EP257"/>
          <cell r="EQ257"/>
          <cell r="ER257"/>
          <cell r="ES257"/>
          <cell r="ET257"/>
          <cell r="EU257"/>
          <cell r="EV257"/>
        </row>
        <row r="259">
          <cell r="T259" t="str">
            <v>BUDGET FORECAST</v>
          </cell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>
            <v>35975</v>
          </cell>
          <cell r="CJ259">
            <v>35982</v>
          </cell>
          <cell r="CK259">
            <v>35989</v>
          </cell>
          <cell r="CL259">
            <v>35996</v>
          </cell>
          <cell r="CM259">
            <v>36003</v>
          </cell>
          <cell r="CN259">
            <v>36010</v>
          </cell>
          <cell r="CO259">
            <v>36017</v>
          </cell>
          <cell r="CP259">
            <v>36024</v>
          </cell>
          <cell r="CQ259">
            <v>36031</v>
          </cell>
          <cell r="CR259">
            <v>36038</v>
          </cell>
          <cell r="CS259">
            <v>36045</v>
          </cell>
          <cell r="CT259">
            <v>36052</v>
          </cell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K259"/>
          <cell r="DL259"/>
          <cell r="DM259"/>
          <cell r="DN259"/>
          <cell r="DO259"/>
          <cell r="DP259"/>
          <cell r="DQ259"/>
          <cell r="DR259"/>
          <cell r="DS259"/>
          <cell r="DT259"/>
          <cell r="DU259"/>
          <cell r="DV259"/>
          <cell r="DW259"/>
          <cell r="DX259"/>
          <cell r="DY259"/>
          <cell r="DZ259"/>
          <cell r="EA259"/>
          <cell r="EB259"/>
          <cell r="EC259"/>
          <cell r="ED259"/>
          <cell r="EE259"/>
          <cell r="EF259"/>
          <cell r="EG259"/>
          <cell r="EH259"/>
          <cell r="EI259"/>
          <cell r="EJ259"/>
          <cell r="EK259"/>
          <cell r="EL259"/>
          <cell r="EM259"/>
          <cell r="EN259"/>
          <cell r="EO259"/>
          <cell r="EP259"/>
          <cell r="EQ259"/>
          <cell r="ER259"/>
          <cell r="ES259"/>
          <cell r="ET259"/>
          <cell r="EU259"/>
          <cell r="EV259"/>
          <cell r="EW259"/>
          <cell r="EX259"/>
          <cell r="EY259"/>
          <cell r="EZ259"/>
          <cell r="FA259"/>
          <cell r="FB259"/>
          <cell r="FC259"/>
          <cell r="FD259"/>
          <cell r="FE259"/>
          <cell r="FF259"/>
          <cell r="FG259"/>
          <cell r="FH259"/>
          <cell r="FI259"/>
        </row>
        <row r="260">
          <cell r="T260" t="str">
            <v>BUDGET FORECAST</v>
          </cell>
          <cell r="V260" t="str">
            <v>PRE PROD</v>
          </cell>
          <cell r="W260">
            <v>30</v>
          </cell>
          <cell r="X260">
            <v>157500</v>
          </cell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>
            <v>35975</v>
          </cell>
          <cell r="CJ260">
            <v>35982</v>
          </cell>
          <cell r="CK260">
            <v>35989</v>
          </cell>
          <cell r="CL260">
            <v>35996</v>
          </cell>
          <cell r="CM260">
            <v>36003</v>
          </cell>
          <cell r="CN260">
            <v>36010</v>
          </cell>
          <cell r="CO260">
            <v>36017</v>
          </cell>
          <cell r="CP260">
            <v>36024</v>
          </cell>
          <cell r="CQ260">
            <v>36031</v>
          </cell>
          <cell r="CR260">
            <v>36038</v>
          </cell>
          <cell r="CS260">
            <v>36045</v>
          </cell>
          <cell r="CT260">
            <v>36052</v>
          </cell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K260"/>
          <cell r="DL260"/>
          <cell r="DM260"/>
          <cell r="DN260"/>
          <cell r="DO260"/>
          <cell r="DP260"/>
          <cell r="DQ260"/>
          <cell r="DR260"/>
          <cell r="DS260"/>
          <cell r="DT260"/>
          <cell r="DU260"/>
          <cell r="DV260"/>
          <cell r="DW260"/>
          <cell r="DX260"/>
          <cell r="DY260"/>
          <cell r="DZ260"/>
          <cell r="EA260"/>
          <cell r="EB260"/>
          <cell r="EC260"/>
          <cell r="ED260"/>
          <cell r="EE260"/>
          <cell r="EF260"/>
          <cell r="EG260"/>
          <cell r="EH260"/>
          <cell r="EI260"/>
          <cell r="EJ260"/>
          <cell r="EK260"/>
          <cell r="EL260"/>
          <cell r="EM260"/>
          <cell r="EN260"/>
          <cell r="EO260"/>
          <cell r="EP260"/>
          <cell r="EQ260"/>
          <cell r="ER260"/>
          <cell r="ES260"/>
          <cell r="ET260"/>
          <cell r="EU260"/>
          <cell r="EV260"/>
          <cell r="EW260"/>
          <cell r="EX260"/>
          <cell r="EY260"/>
          <cell r="EZ260"/>
          <cell r="FA260"/>
          <cell r="FB260"/>
          <cell r="FC260"/>
          <cell r="FD260"/>
          <cell r="FE260"/>
          <cell r="FF260"/>
          <cell r="FG260"/>
          <cell r="FH260"/>
          <cell r="FI260"/>
        </row>
        <row r="261">
          <cell r="V261" t="str">
            <v>PRE PROD</v>
          </cell>
          <cell r="W261">
            <v>30</v>
          </cell>
          <cell r="X261">
            <v>157500</v>
          </cell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>
            <v>3750</v>
          </cell>
          <cell r="CJ261">
            <v>7500</v>
          </cell>
          <cell r="CK261">
            <v>11250</v>
          </cell>
          <cell r="CL261">
            <v>15000</v>
          </cell>
          <cell r="CM261">
            <v>15000</v>
          </cell>
          <cell r="CN261">
            <v>15000</v>
          </cell>
          <cell r="CO261">
            <v>15000</v>
          </cell>
          <cell r="CP261">
            <v>15000</v>
          </cell>
          <cell r="CQ261">
            <v>15000</v>
          </cell>
          <cell r="CR261">
            <v>15000</v>
          </cell>
          <cell r="CS261">
            <v>15000</v>
          </cell>
          <cell r="CT261">
            <v>15000</v>
          </cell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K261"/>
          <cell r="DL261"/>
          <cell r="DM261"/>
          <cell r="DN261"/>
          <cell r="DO261"/>
          <cell r="DP261"/>
          <cell r="DQ261"/>
          <cell r="DR261"/>
          <cell r="DS261"/>
          <cell r="DT261"/>
          <cell r="DU261"/>
          <cell r="DV261"/>
          <cell r="DW261"/>
          <cell r="DX261"/>
          <cell r="DY261"/>
          <cell r="DZ261"/>
          <cell r="EA261"/>
          <cell r="EB261"/>
          <cell r="EC261"/>
          <cell r="ED261"/>
          <cell r="EE261"/>
          <cell r="EF261"/>
          <cell r="EG261"/>
          <cell r="EH261"/>
          <cell r="EI261"/>
          <cell r="EJ261"/>
          <cell r="EK261"/>
          <cell r="EL261"/>
          <cell r="EM261"/>
          <cell r="EN261"/>
          <cell r="EO261"/>
          <cell r="EP261"/>
          <cell r="EQ261"/>
          <cell r="ER261"/>
          <cell r="ES261"/>
          <cell r="ET261"/>
          <cell r="EU261"/>
          <cell r="EV261"/>
          <cell r="EW261"/>
          <cell r="EX261"/>
          <cell r="EY261"/>
          <cell r="EZ261"/>
          <cell r="FA261"/>
          <cell r="FB261"/>
          <cell r="FC261"/>
          <cell r="FD261"/>
          <cell r="FE261"/>
          <cell r="FF261"/>
          <cell r="FG261"/>
          <cell r="FH261"/>
          <cell r="FI261"/>
        </row>
        <row r="262">
          <cell r="V262" t="str">
            <v>PRODUCTION</v>
          </cell>
          <cell r="W262">
            <v>150</v>
          </cell>
          <cell r="X262">
            <v>712500</v>
          </cell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>
            <v>36003</v>
          </cell>
          <cell r="CN262">
            <v>36010</v>
          </cell>
          <cell r="CO262">
            <v>36017</v>
          </cell>
          <cell r="CP262">
            <v>36024</v>
          </cell>
          <cell r="CQ262">
            <v>36031</v>
          </cell>
          <cell r="CR262">
            <v>36038</v>
          </cell>
          <cell r="CS262">
            <v>36045</v>
          </cell>
          <cell r="CT262">
            <v>36052</v>
          </cell>
          <cell r="CU262">
            <v>36059</v>
          </cell>
          <cell r="CV262">
            <v>36066</v>
          </cell>
          <cell r="CW262">
            <v>36073</v>
          </cell>
          <cell r="CX262">
            <v>36080</v>
          </cell>
          <cell r="CY262">
            <v>36087</v>
          </cell>
          <cell r="CZ262">
            <v>36094</v>
          </cell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K262"/>
          <cell r="DL262"/>
          <cell r="DM262"/>
          <cell r="DN262"/>
          <cell r="DO262"/>
          <cell r="DP262"/>
          <cell r="DQ262"/>
          <cell r="DR262"/>
          <cell r="DS262"/>
          <cell r="DT262"/>
          <cell r="DU262"/>
          <cell r="DV262"/>
          <cell r="DW262"/>
          <cell r="DX262"/>
          <cell r="DY262"/>
          <cell r="DZ262"/>
          <cell r="EA262"/>
          <cell r="EB262"/>
          <cell r="EC262"/>
          <cell r="ED262"/>
          <cell r="EE262"/>
          <cell r="EF262"/>
          <cell r="EG262"/>
          <cell r="EH262"/>
          <cell r="EI262"/>
          <cell r="EJ262"/>
          <cell r="EK262"/>
          <cell r="EL262"/>
          <cell r="EM262"/>
          <cell r="EN262"/>
          <cell r="EO262"/>
          <cell r="EP262"/>
          <cell r="EQ262"/>
          <cell r="ER262"/>
          <cell r="ES262"/>
          <cell r="ET262"/>
          <cell r="EU262"/>
          <cell r="EV262"/>
          <cell r="EW262"/>
          <cell r="EX262"/>
          <cell r="EY262"/>
          <cell r="EZ262"/>
          <cell r="FA262"/>
          <cell r="FB262"/>
          <cell r="FC262"/>
          <cell r="FD262"/>
          <cell r="FE262"/>
          <cell r="FF262"/>
          <cell r="FG262"/>
          <cell r="FH262"/>
          <cell r="FI262"/>
        </row>
        <row r="263">
          <cell r="V263" t="str">
            <v>PRODUCTION</v>
          </cell>
          <cell r="W263">
            <v>150</v>
          </cell>
          <cell r="X263">
            <v>712500</v>
          </cell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>
            <v>0</v>
          </cell>
          <cell r="CN263">
            <v>0</v>
          </cell>
          <cell r="CO263">
            <v>0</v>
          </cell>
          <cell r="CP263">
            <v>18750</v>
          </cell>
          <cell r="CQ263">
            <v>37500</v>
          </cell>
          <cell r="CR263">
            <v>56250</v>
          </cell>
          <cell r="CS263">
            <v>75000</v>
          </cell>
          <cell r="CT263">
            <v>75000</v>
          </cell>
          <cell r="CU263">
            <v>75000</v>
          </cell>
          <cell r="CV263">
            <v>75000</v>
          </cell>
          <cell r="CW263">
            <v>75000</v>
          </cell>
          <cell r="CX263">
            <v>75000</v>
          </cell>
          <cell r="CY263">
            <v>75000</v>
          </cell>
          <cell r="CZ263">
            <v>75000</v>
          </cell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K263"/>
          <cell r="DL263"/>
          <cell r="DM263"/>
          <cell r="DN263"/>
          <cell r="DO263"/>
          <cell r="DP263"/>
          <cell r="DQ263"/>
          <cell r="DR263"/>
          <cell r="DS263"/>
          <cell r="DT263"/>
          <cell r="DU263"/>
          <cell r="DV263"/>
          <cell r="DW263"/>
          <cell r="DX263"/>
          <cell r="DY263"/>
          <cell r="DZ263"/>
          <cell r="EA263"/>
          <cell r="EB263"/>
          <cell r="EC263"/>
          <cell r="ED263"/>
          <cell r="EE263"/>
          <cell r="EF263"/>
          <cell r="EG263"/>
          <cell r="EH263"/>
          <cell r="EI263"/>
          <cell r="EJ263"/>
          <cell r="EK263"/>
          <cell r="EL263"/>
          <cell r="EM263"/>
          <cell r="EN263"/>
          <cell r="EO263"/>
          <cell r="EP263"/>
          <cell r="EQ263"/>
          <cell r="ER263"/>
          <cell r="ES263"/>
          <cell r="ET263"/>
          <cell r="EU263"/>
          <cell r="EV263"/>
          <cell r="EW263"/>
          <cell r="EX263"/>
          <cell r="EY263"/>
          <cell r="EZ263"/>
          <cell r="FA263"/>
          <cell r="FB263"/>
          <cell r="FC263"/>
          <cell r="FD263"/>
          <cell r="FE263"/>
          <cell r="FF263"/>
          <cell r="FG263"/>
          <cell r="FH263"/>
          <cell r="FI263"/>
        </row>
        <row r="264">
          <cell r="V264" t="str">
            <v>INK &amp; PAINT</v>
          </cell>
          <cell r="W264">
            <v>8</v>
          </cell>
          <cell r="X264">
            <v>38000</v>
          </cell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>
            <v>36038</v>
          </cell>
          <cell r="CS264">
            <v>36045</v>
          </cell>
          <cell r="CT264">
            <v>36052</v>
          </cell>
          <cell r="CU264">
            <v>36059</v>
          </cell>
          <cell r="CV264">
            <v>36066</v>
          </cell>
          <cell r="CW264">
            <v>36073</v>
          </cell>
          <cell r="CX264">
            <v>36080</v>
          </cell>
          <cell r="CY264">
            <v>36087</v>
          </cell>
          <cell r="CZ264">
            <v>36094</v>
          </cell>
          <cell r="DA264">
            <v>36101</v>
          </cell>
          <cell r="DB264">
            <v>36108</v>
          </cell>
          <cell r="DC264"/>
          <cell r="DD264"/>
          <cell r="DE264"/>
          <cell r="DF264"/>
          <cell r="DG264"/>
          <cell r="DH264"/>
          <cell r="DI264"/>
          <cell r="DJ264"/>
          <cell r="DK264"/>
          <cell r="DL264"/>
          <cell r="DM264"/>
          <cell r="DN264"/>
          <cell r="DO264"/>
          <cell r="DP264"/>
          <cell r="DQ264"/>
          <cell r="DR264"/>
          <cell r="DS264"/>
          <cell r="DT264"/>
          <cell r="DU264"/>
          <cell r="DV264"/>
          <cell r="DW264"/>
          <cell r="DX264"/>
          <cell r="DY264"/>
          <cell r="DZ264"/>
          <cell r="EA264"/>
          <cell r="EB264"/>
          <cell r="EC264"/>
          <cell r="ED264"/>
          <cell r="EE264"/>
          <cell r="EF264"/>
          <cell r="EG264"/>
          <cell r="EH264"/>
          <cell r="EI264"/>
          <cell r="EJ264"/>
          <cell r="EK264"/>
          <cell r="EL264"/>
          <cell r="EM264"/>
          <cell r="EN264"/>
          <cell r="EO264"/>
          <cell r="EP264"/>
          <cell r="EQ264"/>
          <cell r="ER264"/>
          <cell r="ES264"/>
          <cell r="ET264"/>
          <cell r="EU264"/>
          <cell r="EV264"/>
          <cell r="EW264"/>
          <cell r="EX264"/>
          <cell r="EY264"/>
          <cell r="EZ264"/>
          <cell r="FA264"/>
          <cell r="FB264"/>
          <cell r="FC264"/>
          <cell r="FD264"/>
          <cell r="FE264"/>
          <cell r="FF264"/>
          <cell r="FG264"/>
          <cell r="FH264"/>
          <cell r="FI264"/>
        </row>
        <row r="265">
          <cell r="V265" t="str">
            <v>INK &amp; PAINT</v>
          </cell>
          <cell r="W265">
            <v>8</v>
          </cell>
          <cell r="X265">
            <v>38000</v>
          </cell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>
            <v>1000</v>
          </cell>
          <cell r="CS265">
            <v>2000</v>
          </cell>
          <cell r="CT265">
            <v>3000</v>
          </cell>
          <cell r="CU265">
            <v>4000</v>
          </cell>
          <cell r="CV265">
            <v>4000</v>
          </cell>
          <cell r="CW265">
            <v>4000</v>
          </cell>
          <cell r="CX265">
            <v>4000</v>
          </cell>
          <cell r="CY265">
            <v>4000</v>
          </cell>
          <cell r="CZ265">
            <v>4000</v>
          </cell>
          <cell r="DA265">
            <v>4000</v>
          </cell>
          <cell r="DB265">
            <v>4000</v>
          </cell>
          <cell r="DC265"/>
          <cell r="DD265"/>
          <cell r="DE265"/>
          <cell r="DF265"/>
          <cell r="DG265"/>
          <cell r="DH265"/>
          <cell r="DI265"/>
          <cell r="DJ265"/>
          <cell r="DK265"/>
          <cell r="DL265"/>
          <cell r="DM265"/>
          <cell r="DN265"/>
          <cell r="DO265"/>
          <cell r="DP265"/>
          <cell r="DQ265"/>
          <cell r="DR265"/>
          <cell r="DS265"/>
          <cell r="DT265"/>
          <cell r="DU265"/>
          <cell r="DV265"/>
          <cell r="DW265"/>
          <cell r="DX265"/>
          <cell r="DY265"/>
          <cell r="DZ265"/>
          <cell r="EA265"/>
          <cell r="EB265"/>
          <cell r="EC265"/>
          <cell r="ED265"/>
          <cell r="EE265"/>
          <cell r="EF265"/>
          <cell r="EG265"/>
          <cell r="EH265"/>
          <cell r="EI265"/>
          <cell r="EJ265"/>
          <cell r="EK265"/>
          <cell r="EL265"/>
          <cell r="EM265"/>
          <cell r="EN265"/>
          <cell r="EO265"/>
          <cell r="EP265"/>
          <cell r="EQ265"/>
          <cell r="ER265"/>
          <cell r="ES265"/>
          <cell r="ET265"/>
          <cell r="EU265"/>
          <cell r="EV265"/>
          <cell r="EW265"/>
          <cell r="EX265"/>
          <cell r="EY265"/>
          <cell r="EZ265"/>
          <cell r="FA265"/>
          <cell r="FB265"/>
          <cell r="FC265"/>
          <cell r="FD265"/>
          <cell r="FE265"/>
          <cell r="FF265"/>
          <cell r="FG265"/>
          <cell r="FH265"/>
          <cell r="FI265"/>
        </row>
        <row r="266">
          <cell r="X266" t="str">
            <v>DIRECT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3750</v>
          </cell>
          <cell r="CJ266">
            <v>7500</v>
          </cell>
          <cell r="CK266">
            <v>11250</v>
          </cell>
          <cell r="CL266">
            <v>15000</v>
          </cell>
          <cell r="CM266">
            <v>51003</v>
          </cell>
          <cell r="CN266">
            <v>51010</v>
          </cell>
          <cell r="CO266">
            <v>51017</v>
          </cell>
          <cell r="CP266">
            <v>69774</v>
          </cell>
          <cell r="CQ266">
            <v>88531</v>
          </cell>
          <cell r="CR266">
            <v>144326</v>
          </cell>
          <cell r="CS266">
            <v>164090</v>
          </cell>
          <cell r="CT266">
            <v>165104</v>
          </cell>
          <cell r="CU266">
            <v>151118</v>
          </cell>
          <cell r="CV266">
            <v>151132</v>
          </cell>
          <cell r="CW266">
            <v>151146</v>
          </cell>
          <cell r="CX266">
            <v>151160</v>
          </cell>
          <cell r="CY266">
            <v>151174</v>
          </cell>
          <cell r="CZ266">
            <v>151188</v>
          </cell>
          <cell r="DA266">
            <v>40101</v>
          </cell>
          <cell r="DB266">
            <v>40108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</row>
        <row r="267">
          <cell r="X267" t="str">
            <v>DIRECT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3750</v>
          </cell>
          <cell r="CJ267">
            <v>7500</v>
          </cell>
          <cell r="CK267">
            <v>11250</v>
          </cell>
          <cell r="CL267">
            <v>15000</v>
          </cell>
          <cell r="CM267">
            <v>51003</v>
          </cell>
          <cell r="CN267">
            <v>51010</v>
          </cell>
          <cell r="CO267">
            <v>51017</v>
          </cell>
          <cell r="CP267">
            <v>69774</v>
          </cell>
          <cell r="CQ267">
            <v>88531</v>
          </cell>
          <cell r="CR267">
            <v>144326</v>
          </cell>
          <cell r="CS267">
            <v>164090</v>
          </cell>
          <cell r="CT267">
            <v>165104</v>
          </cell>
          <cell r="CU267">
            <v>151118</v>
          </cell>
          <cell r="CV267">
            <v>151132</v>
          </cell>
          <cell r="CW267">
            <v>151146</v>
          </cell>
          <cell r="CX267">
            <v>151160</v>
          </cell>
          <cell r="CY267">
            <v>151174</v>
          </cell>
          <cell r="CZ267">
            <v>151188</v>
          </cell>
          <cell r="DA267">
            <v>40101</v>
          </cell>
          <cell r="DB267">
            <v>40108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0</v>
          </cell>
          <cell r="DU267">
            <v>0</v>
          </cell>
          <cell r="DV267">
            <v>0</v>
          </cell>
          <cell r="DW267">
            <v>0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0</v>
          </cell>
          <cell r="EC267">
            <v>0</v>
          </cell>
          <cell r="ED267">
            <v>0</v>
          </cell>
          <cell r="EE267">
            <v>0</v>
          </cell>
          <cell r="EF267">
            <v>0</v>
          </cell>
          <cell r="EG267">
            <v>0</v>
          </cell>
          <cell r="EH267">
            <v>0</v>
          </cell>
          <cell r="EI267">
            <v>0</v>
          </cell>
          <cell r="EJ267">
            <v>0</v>
          </cell>
          <cell r="EK267">
            <v>0</v>
          </cell>
          <cell r="EL267">
            <v>0</v>
          </cell>
          <cell r="EM267">
            <v>0</v>
          </cell>
          <cell r="EN267">
            <v>0</v>
          </cell>
          <cell r="EO267">
            <v>0</v>
          </cell>
          <cell r="EP267">
            <v>0</v>
          </cell>
          <cell r="EQ267">
            <v>0</v>
          </cell>
          <cell r="ER267">
            <v>0</v>
          </cell>
          <cell r="ES267">
            <v>0</v>
          </cell>
          <cell r="ET267">
            <v>0</v>
          </cell>
          <cell r="EU267">
            <v>0</v>
          </cell>
          <cell r="EV267">
            <v>0</v>
          </cell>
          <cell r="EW267">
            <v>0</v>
          </cell>
          <cell r="EX267">
            <v>0</v>
          </cell>
          <cell r="EY267">
            <v>0</v>
          </cell>
          <cell r="EZ267">
            <v>0</v>
          </cell>
          <cell r="FA267">
            <v>0</v>
          </cell>
          <cell r="FB267">
            <v>0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</row>
        <row r="268">
          <cell r="X268" t="str">
            <v>LOADED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5062.5</v>
          </cell>
          <cell r="CJ268">
            <v>10125</v>
          </cell>
          <cell r="CK268">
            <v>15187.5</v>
          </cell>
          <cell r="CL268">
            <v>20250</v>
          </cell>
          <cell r="CM268">
            <v>68854.05</v>
          </cell>
          <cell r="CN268">
            <v>68863.5</v>
          </cell>
          <cell r="CO268">
            <v>68872.95</v>
          </cell>
          <cell r="CP268">
            <v>94194.9</v>
          </cell>
          <cell r="CQ268">
            <v>119516.85</v>
          </cell>
          <cell r="CR268">
            <v>194840.1</v>
          </cell>
          <cell r="CS268">
            <v>221521.5</v>
          </cell>
          <cell r="CT268">
            <v>222890.4</v>
          </cell>
          <cell r="CU268">
            <v>204009.3</v>
          </cell>
          <cell r="CV268">
            <v>204028.2</v>
          </cell>
          <cell r="CW268">
            <v>204047.1</v>
          </cell>
          <cell r="CX268">
            <v>204066</v>
          </cell>
          <cell r="CY268">
            <v>204084.9</v>
          </cell>
          <cell r="CZ268">
            <v>204103.8</v>
          </cell>
          <cell r="DA268">
            <v>54136.35</v>
          </cell>
          <cell r="DB268">
            <v>54145.8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</row>
        <row r="269">
          <cell r="V269" t="str">
            <v>PROJECTED RTM</v>
          </cell>
          <cell r="X269" t="str">
            <v>CUMULATIVE TO DATE</v>
          </cell>
          <cell r="Y269">
            <v>140</v>
          </cell>
          <cell r="Z269">
            <v>63.068739999999991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5062.5</v>
          </cell>
          <cell r="CJ269">
            <v>10125</v>
          </cell>
          <cell r="CK269">
            <v>15187.5</v>
          </cell>
          <cell r="CL269">
            <v>20250</v>
          </cell>
          <cell r="CM269">
            <v>68854.05</v>
          </cell>
          <cell r="CN269">
            <v>68863.5</v>
          </cell>
          <cell r="CO269">
            <v>68872.95</v>
          </cell>
          <cell r="CP269">
            <v>94194.9</v>
          </cell>
          <cell r="CQ269">
            <v>119516.85</v>
          </cell>
          <cell r="CR269">
            <v>194840.1</v>
          </cell>
          <cell r="CS269">
            <v>221521.5</v>
          </cell>
          <cell r="CT269">
            <v>222890.4</v>
          </cell>
          <cell r="CU269">
            <v>204009.3</v>
          </cell>
          <cell r="CV269">
            <v>204028.2</v>
          </cell>
          <cell r="CW269">
            <v>204047.1</v>
          </cell>
          <cell r="CX269">
            <v>204066</v>
          </cell>
          <cell r="CY269">
            <v>204084.9</v>
          </cell>
          <cell r="CZ269">
            <v>204103.8</v>
          </cell>
          <cell r="DA269">
            <v>54136.35</v>
          </cell>
          <cell r="DB269">
            <v>54145.8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G269">
            <v>0</v>
          </cell>
          <cell r="EH269">
            <v>0</v>
          </cell>
          <cell r="EI269">
            <v>0</v>
          </cell>
          <cell r="EJ269">
            <v>0</v>
          </cell>
          <cell r="EK269">
            <v>0</v>
          </cell>
          <cell r="EL269">
            <v>0</v>
          </cell>
          <cell r="EM269">
            <v>0</v>
          </cell>
          <cell r="EN269">
            <v>0</v>
          </cell>
          <cell r="EO269">
            <v>0</v>
          </cell>
          <cell r="EP269">
            <v>0</v>
          </cell>
          <cell r="EQ269">
            <v>0</v>
          </cell>
          <cell r="ER269">
            <v>0</v>
          </cell>
          <cell r="ES269">
            <v>0</v>
          </cell>
          <cell r="ET269">
            <v>0</v>
          </cell>
          <cell r="EU269">
            <v>0</v>
          </cell>
          <cell r="EV269">
            <v>0</v>
          </cell>
          <cell r="EW269">
            <v>0</v>
          </cell>
          <cell r="EX269">
            <v>0</v>
          </cell>
          <cell r="EY269">
            <v>0</v>
          </cell>
          <cell r="EZ269">
            <v>0</v>
          </cell>
          <cell r="FA269">
            <v>0</v>
          </cell>
          <cell r="FB269">
            <v>0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</row>
        <row r="270">
          <cell r="V270" t="str">
            <v>PROJECTED RTM</v>
          </cell>
          <cell r="X270">
            <v>36189.068740000002</v>
          </cell>
          <cell r="Y270">
            <v>140</v>
          </cell>
          <cell r="Z270">
            <v>63.068739999999991</v>
          </cell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P270"/>
          <cell r="AQ270"/>
          <cell r="AR270"/>
          <cell r="AS270"/>
          <cell r="AT270"/>
          <cell r="AU270"/>
          <cell r="AV270"/>
          <cell r="AW270"/>
          <cell r="AX270"/>
          <cell r="AY270"/>
          <cell r="AZ270"/>
          <cell r="BA270"/>
          <cell r="BB270"/>
          <cell r="BC270"/>
          <cell r="BD270"/>
          <cell r="BE270"/>
          <cell r="BF270"/>
          <cell r="BG270"/>
          <cell r="BH270"/>
          <cell r="BI270"/>
          <cell r="BJ270"/>
          <cell r="BK270"/>
          <cell r="BL270"/>
          <cell r="BM270"/>
          <cell r="BN270"/>
          <cell r="BO270"/>
          <cell r="BP270"/>
          <cell r="BQ270"/>
          <cell r="BR270"/>
          <cell r="BS270"/>
          <cell r="BT270"/>
          <cell r="BU270"/>
          <cell r="BV270"/>
          <cell r="BW270"/>
          <cell r="BX270"/>
          <cell r="BY270"/>
          <cell r="BZ270"/>
          <cell r="CA270"/>
          <cell r="CB270"/>
          <cell r="CC270"/>
          <cell r="CD270"/>
          <cell r="CE270"/>
          <cell r="CF270"/>
          <cell r="CG270"/>
          <cell r="CH270"/>
          <cell r="CI270"/>
          <cell r="CJ270"/>
          <cell r="CK270"/>
          <cell r="CL270"/>
          <cell r="CM270"/>
          <cell r="CN270"/>
          <cell r="CO270"/>
          <cell r="CP270"/>
          <cell r="CQ270"/>
          <cell r="CR270">
            <v>36038</v>
          </cell>
          <cell r="CS270">
            <v>36045</v>
          </cell>
          <cell r="CT270">
            <v>36052</v>
          </cell>
          <cell r="CU270">
            <v>36059</v>
          </cell>
          <cell r="CV270">
            <v>36066</v>
          </cell>
          <cell r="CW270">
            <v>36073</v>
          </cell>
          <cell r="CX270">
            <v>36080</v>
          </cell>
          <cell r="CY270">
            <v>36087</v>
          </cell>
          <cell r="CZ270">
            <v>36094</v>
          </cell>
          <cell r="DA270">
            <v>36101</v>
          </cell>
          <cell r="DB270">
            <v>36108</v>
          </cell>
          <cell r="DC270"/>
          <cell r="DD270"/>
          <cell r="DE270"/>
          <cell r="DF270"/>
          <cell r="DG270"/>
          <cell r="DH270"/>
          <cell r="DI270"/>
          <cell r="DJ270"/>
          <cell r="DK270"/>
          <cell r="DL270"/>
          <cell r="DM270"/>
          <cell r="DN270"/>
          <cell r="DO270"/>
          <cell r="DP270"/>
          <cell r="DQ270"/>
          <cell r="DR270"/>
          <cell r="DS270"/>
          <cell r="DT270"/>
          <cell r="DU270"/>
          <cell r="DV270"/>
          <cell r="DW270"/>
          <cell r="DX270"/>
          <cell r="DY270"/>
          <cell r="DZ270"/>
          <cell r="EA270"/>
          <cell r="EB270"/>
          <cell r="EC270"/>
          <cell r="ED270"/>
          <cell r="EE270"/>
          <cell r="EF270"/>
          <cell r="EG270"/>
          <cell r="EH270"/>
          <cell r="EI270"/>
          <cell r="EJ270"/>
          <cell r="EK270"/>
          <cell r="EL270"/>
          <cell r="EM270"/>
          <cell r="EN270"/>
          <cell r="EO270"/>
          <cell r="EP270"/>
          <cell r="EQ270"/>
          <cell r="ER270"/>
          <cell r="ES270"/>
          <cell r="ET270"/>
          <cell r="EU270"/>
          <cell r="EV270"/>
        </row>
        <row r="271">
          <cell r="V271" t="str">
            <v>PROJECTED STREET</v>
          </cell>
          <cell r="X271">
            <v>36219.068740000002</v>
          </cell>
        </row>
        <row r="272">
          <cell r="V272" t="str">
            <v>+ or - Scheduled Date</v>
          </cell>
          <cell r="X272">
            <v>122.93125999999756</v>
          </cell>
        </row>
        <row r="273">
          <cell r="N273" t="str">
            <v>ENGINEERING</v>
          </cell>
          <cell r="Y273" t="str">
            <v>WK Count</v>
          </cell>
          <cell r="Z273" t="str">
            <v>Total Days</v>
          </cell>
        </row>
        <row r="274">
          <cell r="N274" t="str">
            <v>ENGINEERING</v>
          </cell>
          <cell r="Y274" t="str">
            <v>WK Count</v>
          </cell>
          <cell r="Z274" t="str">
            <v>Total Days</v>
          </cell>
        </row>
        <row r="275">
          <cell r="A275" t="str">
            <v>PREP</v>
          </cell>
          <cell r="F275" t="str">
            <v>ANIMATION</v>
          </cell>
          <cell r="I275" t="str">
            <v>INK &amp; PAINT</v>
          </cell>
          <cell r="L275" t="str">
            <v>ALPHA</v>
          </cell>
          <cell r="N275" t="str">
            <v>BETA</v>
          </cell>
          <cell r="P275" t="str">
            <v>RTM</v>
          </cell>
          <cell r="Y275">
            <v>7</v>
          </cell>
          <cell r="Z275">
            <v>52.351039999999998</v>
          </cell>
        </row>
        <row r="276">
          <cell r="A276" t="str">
            <v>PREP</v>
          </cell>
          <cell r="B276" t="str">
            <v>Days</v>
          </cell>
          <cell r="F276" t="str">
            <v>ANIMATION</v>
          </cell>
          <cell r="G276" t="str">
            <v>Days</v>
          </cell>
          <cell r="H276" t="str">
            <v>Frames</v>
          </cell>
          <cell r="I276" t="str">
            <v>INK &amp; PAINT</v>
          </cell>
          <cell r="J276" t="str">
            <v>Days</v>
          </cell>
          <cell r="L276" t="str">
            <v>ALPHA</v>
          </cell>
          <cell r="N276" t="str">
            <v>BETA</v>
          </cell>
          <cell r="P276" t="str">
            <v>RTM</v>
          </cell>
          <cell r="Y276">
            <v>7</v>
          </cell>
          <cell r="Z276">
            <v>52.351039999999998</v>
          </cell>
        </row>
        <row r="277">
          <cell r="A277" t="str">
            <v>Wks</v>
          </cell>
          <cell r="B277" t="str">
            <v>Days</v>
          </cell>
          <cell r="F277" t="str">
            <v>Wks</v>
          </cell>
          <cell r="G277" t="str">
            <v>Days</v>
          </cell>
          <cell r="H277" t="str">
            <v>Frames</v>
          </cell>
          <cell r="I277" t="str">
            <v>Wks</v>
          </cell>
          <cell r="J277" t="str">
            <v>Days</v>
          </cell>
          <cell r="K277">
            <v>21</v>
          </cell>
          <cell r="M277">
            <v>29</v>
          </cell>
          <cell r="O277">
            <v>29</v>
          </cell>
          <cell r="Q277">
            <v>29</v>
          </cell>
          <cell r="Y277">
            <v>11</v>
          </cell>
          <cell r="Z277">
            <v>77.938800000000015</v>
          </cell>
        </row>
        <row r="278">
          <cell r="A278">
            <v>5.47872</v>
          </cell>
          <cell r="B278">
            <v>52.351039999999998</v>
          </cell>
          <cell r="F278">
            <v>6.8484000000000007</v>
          </cell>
          <cell r="G278">
            <v>77.938800000000015</v>
          </cell>
          <cell r="H278">
            <v>2739.36</v>
          </cell>
          <cell r="I278">
            <v>6.8484000000000007</v>
          </cell>
          <cell r="J278">
            <v>61.938800000000008</v>
          </cell>
          <cell r="K278">
            <v>21</v>
          </cell>
          <cell r="M278">
            <v>29</v>
          </cell>
          <cell r="O278">
            <v>29</v>
          </cell>
          <cell r="Q278">
            <v>29</v>
          </cell>
          <cell r="Y278">
            <v>9</v>
          </cell>
          <cell r="Z278">
            <v>61.938800000000008</v>
          </cell>
        </row>
        <row r="290">
          <cell r="Y290">
            <v>119</v>
          </cell>
          <cell r="Z290">
            <v>47.938800000000008</v>
          </cell>
        </row>
        <row r="291">
          <cell r="Y291">
            <v>119</v>
          </cell>
          <cell r="Z291">
            <v>47.938800000000008</v>
          </cell>
        </row>
        <row r="294">
          <cell r="N294" t="str">
            <v>ENGINEERING</v>
          </cell>
          <cell r="Y294" t="str">
            <v>WK Count</v>
          </cell>
          <cell r="Z294" t="str">
            <v>Total Days</v>
          </cell>
        </row>
        <row r="295">
          <cell r="N295" t="str">
            <v>ENGINEERING</v>
          </cell>
          <cell r="Y295" t="str">
            <v>WK Count</v>
          </cell>
          <cell r="Z295" t="str">
            <v>Total Days</v>
          </cell>
        </row>
        <row r="296">
          <cell r="A296" t="str">
            <v>PREP</v>
          </cell>
          <cell r="F296" t="str">
            <v>ANIMATION</v>
          </cell>
          <cell r="I296" t="str">
            <v>INK &amp; PAINT</v>
          </cell>
          <cell r="L296" t="str">
            <v>ALPHA</v>
          </cell>
          <cell r="N296" t="str">
            <v>BETA</v>
          </cell>
          <cell r="P296" t="str">
            <v>RTM</v>
          </cell>
          <cell r="Y296">
            <v>6</v>
          </cell>
          <cell r="Z296">
            <v>42.297850000000004</v>
          </cell>
        </row>
        <row r="297">
          <cell r="A297" t="str">
            <v>PREP</v>
          </cell>
          <cell r="B297" t="str">
            <v>Days</v>
          </cell>
          <cell r="F297" t="str">
            <v>ANIMATION</v>
          </cell>
          <cell r="G297" t="str">
            <v>Days</v>
          </cell>
          <cell r="H297" t="str">
            <v>Frames</v>
          </cell>
          <cell r="I297" t="str">
            <v>INK &amp; PAINT</v>
          </cell>
          <cell r="J297" t="str">
            <v>Days</v>
          </cell>
          <cell r="L297" t="str">
            <v>ALPHA</v>
          </cell>
          <cell r="N297" t="str">
            <v>BETA</v>
          </cell>
          <cell r="P297" t="str">
            <v>RTM</v>
          </cell>
          <cell r="Y297">
            <v>6</v>
          </cell>
          <cell r="Z297">
            <v>42.297850000000004</v>
          </cell>
        </row>
        <row r="298">
          <cell r="A298" t="str">
            <v>Wks</v>
          </cell>
          <cell r="B298" t="str">
            <v>Days</v>
          </cell>
          <cell r="F298" t="str">
            <v>Wks</v>
          </cell>
          <cell r="G298" t="str">
            <v>Days</v>
          </cell>
          <cell r="H298" t="str">
            <v>Frames</v>
          </cell>
          <cell r="I298" t="str">
            <v>Wks</v>
          </cell>
          <cell r="J298" t="str">
            <v>Days</v>
          </cell>
          <cell r="K298">
            <v>21</v>
          </cell>
          <cell r="M298">
            <v>29</v>
          </cell>
          <cell r="O298">
            <v>29</v>
          </cell>
          <cell r="Q298">
            <v>29</v>
          </cell>
          <cell r="Y298">
            <v>11</v>
          </cell>
          <cell r="Z298">
            <v>77.163083333333333</v>
          </cell>
        </row>
        <row r="299">
          <cell r="A299">
            <v>4.0425500000000003</v>
          </cell>
          <cell r="B299">
            <v>42.297850000000004</v>
          </cell>
          <cell r="F299">
            <v>6.7375833333333333</v>
          </cell>
          <cell r="G299">
            <v>77.163083333333333</v>
          </cell>
          <cell r="H299">
            <v>2021.2750000000001</v>
          </cell>
          <cell r="I299">
            <v>4.0425500000000003</v>
          </cell>
          <cell r="J299">
            <v>42.297850000000004</v>
          </cell>
          <cell r="K299">
            <v>21</v>
          </cell>
          <cell r="M299">
            <v>29</v>
          </cell>
          <cell r="O299">
            <v>29</v>
          </cell>
          <cell r="Q299">
            <v>29</v>
          </cell>
          <cell r="Y299">
            <v>6</v>
          </cell>
          <cell r="Z299">
            <v>42.297850000000004</v>
          </cell>
        </row>
        <row r="311">
          <cell r="Y311">
            <v>119</v>
          </cell>
          <cell r="Z311">
            <v>28.297850000000004</v>
          </cell>
        </row>
        <row r="312">
          <cell r="Y312">
            <v>119</v>
          </cell>
          <cell r="Z312">
            <v>28.297850000000004</v>
          </cell>
        </row>
        <row r="322">
          <cell r="N322" t="str">
            <v>ENGINEERING</v>
          </cell>
          <cell r="Y322" t="str">
            <v>WK Count</v>
          </cell>
          <cell r="Z322" t="str">
            <v>Total Days</v>
          </cell>
        </row>
        <row r="323">
          <cell r="N323" t="str">
            <v>ENGINEERING</v>
          </cell>
          <cell r="Y323" t="str">
            <v>WK Count</v>
          </cell>
          <cell r="Z323" t="str">
            <v>Total Days</v>
          </cell>
        </row>
        <row r="324">
          <cell r="A324" t="str">
            <v>PREP</v>
          </cell>
          <cell r="F324" t="str">
            <v>ANIMATION</v>
          </cell>
          <cell r="I324" t="str">
            <v>INK &amp; PAINT</v>
          </cell>
          <cell r="L324" t="str">
            <v>ALPHA</v>
          </cell>
          <cell r="N324" t="str">
            <v>BETA</v>
          </cell>
          <cell r="P324" t="str">
            <v>RTM</v>
          </cell>
          <cell r="Y324">
            <v>3</v>
          </cell>
          <cell r="Z324">
            <v>21</v>
          </cell>
        </row>
        <row r="325">
          <cell r="A325" t="str">
            <v>PREP</v>
          </cell>
          <cell r="B325" t="str">
            <v>Days</v>
          </cell>
          <cell r="F325" t="str">
            <v>ANIMATION</v>
          </cell>
          <cell r="G325" t="str">
            <v>Days</v>
          </cell>
          <cell r="H325" t="str">
            <v>Frames</v>
          </cell>
          <cell r="I325" t="str">
            <v>INK &amp; PAINT</v>
          </cell>
          <cell r="J325" t="str">
            <v>Days</v>
          </cell>
          <cell r="L325" t="str">
            <v>ALPHA</v>
          </cell>
          <cell r="N325" t="str">
            <v>BETA</v>
          </cell>
          <cell r="P325" t="str">
            <v>RTM</v>
          </cell>
          <cell r="Y325">
            <v>3</v>
          </cell>
          <cell r="Z325">
            <v>21</v>
          </cell>
        </row>
        <row r="326">
          <cell r="A326" t="str">
            <v>Wks</v>
          </cell>
          <cell r="B326" t="str">
            <v>Days</v>
          </cell>
          <cell r="F326" t="str">
            <v>Wks</v>
          </cell>
          <cell r="G326" t="str">
            <v>Days</v>
          </cell>
          <cell r="H326" t="str">
            <v>Frames</v>
          </cell>
          <cell r="I326" t="str">
            <v>Wks</v>
          </cell>
          <cell r="J326" t="str">
            <v>Days</v>
          </cell>
          <cell r="K326">
            <v>21</v>
          </cell>
          <cell r="M326">
            <v>29</v>
          </cell>
          <cell r="O326">
            <v>29</v>
          </cell>
          <cell r="Q326">
            <v>29</v>
          </cell>
          <cell r="Y326">
            <v>3</v>
          </cell>
          <cell r="Z326">
            <v>21</v>
          </cell>
        </row>
        <row r="327">
          <cell r="A327">
            <v>1</v>
          </cell>
          <cell r="B327">
            <v>21</v>
          </cell>
          <cell r="F327">
            <v>1</v>
          </cell>
          <cell r="G327">
            <v>21</v>
          </cell>
          <cell r="H327">
            <v>131</v>
          </cell>
          <cell r="I327">
            <v>1</v>
          </cell>
          <cell r="J327">
            <v>21</v>
          </cell>
          <cell r="K327">
            <v>21</v>
          </cell>
          <cell r="M327">
            <v>29</v>
          </cell>
          <cell r="O327">
            <v>29</v>
          </cell>
          <cell r="Q327">
            <v>29</v>
          </cell>
          <cell r="Y327">
            <v>3</v>
          </cell>
          <cell r="Z327">
            <v>21</v>
          </cell>
        </row>
        <row r="338">
          <cell r="Y338">
            <v>63</v>
          </cell>
          <cell r="Z338">
            <v>7</v>
          </cell>
        </row>
        <row r="339">
          <cell r="Y339">
            <v>63</v>
          </cell>
          <cell r="Z339">
            <v>7</v>
          </cell>
        </row>
        <row r="343">
          <cell r="N343" t="str">
            <v>ENGINEERING</v>
          </cell>
          <cell r="Y343" t="str">
            <v>WK Count</v>
          </cell>
          <cell r="Z343" t="str">
            <v>Total Days</v>
          </cell>
        </row>
        <row r="344">
          <cell r="N344" t="str">
            <v>ENGINEERING</v>
          </cell>
          <cell r="Y344" t="str">
            <v>WK Count</v>
          </cell>
          <cell r="Z344" t="str">
            <v>Total Days</v>
          </cell>
        </row>
        <row r="345">
          <cell r="A345" t="str">
            <v>PREP</v>
          </cell>
          <cell r="F345" t="str">
            <v>ANIMATION</v>
          </cell>
          <cell r="I345" t="str">
            <v>INK &amp; PAINT</v>
          </cell>
          <cell r="L345" t="str">
            <v>ALPHA</v>
          </cell>
          <cell r="N345" t="str">
            <v>BETA</v>
          </cell>
          <cell r="P345" t="str">
            <v>RTM</v>
          </cell>
          <cell r="Y345">
            <v>7</v>
          </cell>
          <cell r="Z345">
            <v>49</v>
          </cell>
        </row>
        <row r="346">
          <cell r="A346" t="str">
            <v>PREP</v>
          </cell>
          <cell r="B346" t="str">
            <v>Days</v>
          </cell>
          <cell r="F346" t="str">
            <v>ANIMATION</v>
          </cell>
          <cell r="G346" t="str">
            <v>Days</v>
          </cell>
          <cell r="H346" t="str">
            <v>Frames</v>
          </cell>
          <cell r="I346" t="str">
            <v>INK &amp; PAINT</v>
          </cell>
          <cell r="J346" t="str">
            <v>Days</v>
          </cell>
          <cell r="L346" t="str">
            <v>ALPHA</v>
          </cell>
          <cell r="N346" t="str">
            <v>BETA</v>
          </cell>
          <cell r="P346" t="str">
            <v>RTM</v>
          </cell>
          <cell r="Y346">
            <v>7</v>
          </cell>
          <cell r="Z346">
            <v>49</v>
          </cell>
        </row>
        <row r="347">
          <cell r="A347" t="str">
            <v>Wks</v>
          </cell>
          <cell r="B347" t="str">
            <v>Days</v>
          </cell>
          <cell r="F347" t="str">
            <v>Wks</v>
          </cell>
          <cell r="G347" t="str">
            <v>Days</v>
          </cell>
          <cell r="H347" t="str">
            <v>Frames</v>
          </cell>
          <cell r="I347" t="str">
            <v>Wks</v>
          </cell>
          <cell r="J347" t="str">
            <v>Days</v>
          </cell>
          <cell r="K347">
            <v>21</v>
          </cell>
          <cell r="M347">
            <v>29</v>
          </cell>
          <cell r="O347">
            <v>29</v>
          </cell>
          <cell r="Q347">
            <v>29</v>
          </cell>
          <cell r="Y347">
            <v>7</v>
          </cell>
          <cell r="Z347">
            <v>49</v>
          </cell>
        </row>
        <row r="348">
          <cell r="A348">
            <v>5</v>
          </cell>
          <cell r="B348">
            <v>49</v>
          </cell>
          <cell r="F348">
            <v>5</v>
          </cell>
          <cell r="G348">
            <v>49</v>
          </cell>
          <cell r="H348">
            <v>500</v>
          </cell>
          <cell r="I348">
            <v>5</v>
          </cell>
          <cell r="J348">
            <v>49</v>
          </cell>
          <cell r="K348">
            <v>21</v>
          </cell>
          <cell r="M348">
            <v>29</v>
          </cell>
          <cell r="O348">
            <v>29</v>
          </cell>
          <cell r="Q348">
            <v>29</v>
          </cell>
          <cell r="Y348">
            <v>7</v>
          </cell>
          <cell r="Z348">
            <v>49</v>
          </cell>
        </row>
        <row r="359">
          <cell r="Y359">
            <v>91</v>
          </cell>
          <cell r="Z359">
            <v>35</v>
          </cell>
        </row>
        <row r="360">
          <cell r="Y360">
            <v>91</v>
          </cell>
          <cell r="Z360">
            <v>35</v>
          </cell>
        </row>
        <row r="363">
          <cell r="N363" t="str">
            <v>ENGINEERING</v>
          </cell>
          <cell r="Y363" t="str">
            <v>WK Count</v>
          </cell>
          <cell r="Z363" t="str">
            <v>Total Days</v>
          </cell>
        </row>
        <row r="364">
          <cell r="N364" t="str">
            <v>ENGINEERING</v>
          </cell>
          <cell r="Y364" t="str">
            <v>WK Count</v>
          </cell>
          <cell r="Z364" t="str">
            <v>Total Days</v>
          </cell>
        </row>
        <row r="365">
          <cell r="A365" t="str">
            <v>PREP</v>
          </cell>
          <cell r="F365" t="str">
            <v>ANIMATION</v>
          </cell>
          <cell r="I365" t="str">
            <v>INK &amp; PAINT</v>
          </cell>
          <cell r="L365" t="str">
            <v>ALPHA</v>
          </cell>
          <cell r="N365" t="str">
            <v>BETA</v>
          </cell>
          <cell r="P365" t="str">
            <v>RTM</v>
          </cell>
          <cell r="Y365">
            <v>7</v>
          </cell>
          <cell r="Z365">
            <v>49</v>
          </cell>
        </row>
        <row r="366">
          <cell r="A366" t="str">
            <v>PREP</v>
          </cell>
          <cell r="B366" t="str">
            <v>Days</v>
          </cell>
          <cell r="F366" t="str">
            <v>ANIMATION</v>
          </cell>
          <cell r="G366" t="str">
            <v>Days</v>
          </cell>
          <cell r="H366" t="str">
            <v>Frames</v>
          </cell>
          <cell r="I366" t="str">
            <v>INK &amp; PAINT</v>
          </cell>
          <cell r="J366" t="str">
            <v>Days</v>
          </cell>
          <cell r="L366" t="str">
            <v>ALPHA</v>
          </cell>
          <cell r="N366" t="str">
            <v>BETA</v>
          </cell>
          <cell r="P366" t="str">
            <v>RTM</v>
          </cell>
          <cell r="Y366">
            <v>7</v>
          </cell>
          <cell r="Z366">
            <v>49</v>
          </cell>
        </row>
        <row r="367">
          <cell r="A367" t="str">
            <v>Wks</v>
          </cell>
          <cell r="B367" t="str">
            <v>Days</v>
          </cell>
          <cell r="F367" t="str">
            <v>Wks</v>
          </cell>
          <cell r="G367" t="str">
            <v>Days</v>
          </cell>
          <cell r="H367" t="str">
            <v>Frames</v>
          </cell>
          <cell r="I367" t="str">
            <v>Wks</v>
          </cell>
          <cell r="J367" t="str">
            <v>Days</v>
          </cell>
          <cell r="K367">
            <v>21</v>
          </cell>
          <cell r="M367">
            <v>29</v>
          </cell>
          <cell r="O367">
            <v>29</v>
          </cell>
          <cell r="Q367">
            <v>29</v>
          </cell>
          <cell r="Y367">
            <v>7</v>
          </cell>
          <cell r="Z367">
            <v>49</v>
          </cell>
        </row>
        <row r="368">
          <cell r="A368">
            <v>5</v>
          </cell>
          <cell r="B368">
            <v>49</v>
          </cell>
          <cell r="F368">
            <v>5</v>
          </cell>
          <cell r="G368">
            <v>49</v>
          </cell>
          <cell r="H368">
            <v>500</v>
          </cell>
          <cell r="I368">
            <v>5</v>
          </cell>
          <cell r="J368">
            <v>49</v>
          </cell>
          <cell r="K368">
            <v>21</v>
          </cell>
          <cell r="M368">
            <v>29</v>
          </cell>
          <cell r="O368">
            <v>29</v>
          </cell>
          <cell r="Q368">
            <v>29</v>
          </cell>
          <cell r="Y368">
            <v>7</v>
          </cell>
          <cell r="Z368">
            <v>49</v>
          </cell>
        </row>
        <row r="379">
          <cell r="Y379">
            <v>91</v>
          </cell>
          <cell r="Z379">
            <v>35</v>
          </cell>
        </row>
        <row r="380">
          <cell r="Y380">
            <v>91</v>
          </cell>
          <cell r="Z380">
            <v>35</v>
          </cell>
        </row>
        <row r="383">
          <cell r="N383" t="str">
            <v>ENGINEERING</v>
          </cell>
          <cell r="Y383" t="str">
            <v>WK Count</v>
          </cell>
          <cell r="Z383" t="str">
            <v>Total Days</v>
          </cell>
        </row>
        <row r="384">
          <cell r="N384" t="str">
            <v>ENGINEERING</v>
          </cell>
          <cell r="Y384" t="str">
            <v>WK Count</v>
          </cell>
          <cell r="Z384" t="str">
            <v>Total Days</v>
          </cell>
        </row>
        <row r="385">
          <cell r="A385" t="str">
            <v>PREP</v>
          </cell>
          <cell r="F385" t="str">
            <v>ANIMATION</v>
          </cell>
          <cell r="I385" t="str">
            <v>INK &amp; PAINT</v>
          </cell>
          <cell r="L385" t="str">
            <v>ALPHA</v>
          </cell>
          <cell r="N385" t="str">
            <v>BETA</v>
          </cell>
          <cell r="P385" t="str">
            <v>RTM</v>
          </cell>
          <cell r="Y385">
            <v>4</v>
          </cell>
          <cell r="Z385">
            <v>25.0642</v>
          </cell>
        </row>
        <row r="386">
          <cell r="A386" t="str">
            <v>PREP</v>
          </cell>
          <cell r="B386" t="str">
            <v>Days</v>
          </cell>
          <cell r="F386" t="str">
            <v>ANIMATION</v>
          </cell>
          <cell r="G386" t="str">
            <v>Days</v>
          </cell>
          <cell r="H386" t="str">
            <v>Frames</v>
          </cell>
          <cell r="I386" t="str">
            <v>INK &amp; PAINT</v>
          </cell>
          <cell r="J386" t="str">
            <v>Days</v>
          </cell>
          <cell r="L386" t="str">
            <v>ALPHA</v>
          </cell>
          <cell r="N386" t="str">
            <v>BETA</v>
          </cell>
          <cell r="P386" t="str">
            <v>RTM</v>
          </cell>
          <cell r="Y386">
            <v>4</v>
          </cell>
          <cell r="Z386">
            <v>25.0642</v>
          </cell>
        </row>
        <row r="387">
          <cell r="A387" t="str">
            <v>Wks</v>
          </cell>
          <cell r="B387" t="str">
            <v>Days</v>
          </cell>
          <cell r="F387" t="str">
            <v>Wks</v>
          </cell>
          <cell r="G387" t="str">
            <v>Days</v>
          </cell>
          <cell r="H387" t="str">
            <v>Frames</v>
          </cell>
          <cell r="I387" t="str">
            <v>Wks</v>
          </cell>
          <cell r="J387" t="str">
            <v>Days</v>
          </cell>
          <cell r="K387">
            <v>21</v>
          </cell>
          <cell r="M387">
            <v>29</v>
          </cell>
          <cell r="O387">
            <v>29</v>
          </cell>
          <cell r="Q387">
            <v>29</v>
          </cell>
          <cell r="Y387">
            <v>4</v>
          </cell>
          <cell r="Z387">
            <v>25.0642</v>
          </cell>
        </row>
        <row r="388">
          <cell r="A388">
            <v>1.5806</v>
          </cell>
          <cell r="B388">
            <v>25.0642</v>
          </cell>
          <cell r="F388">
            <v>1.5806</v>
          </cell>
          <cell r="G388">
            <v>25.0642</v>
          </cell>
          <cell r="H388">
            <v>158.06</v>
          </cell>
          <cell r="I388">
            <v>1.5806</v>
          </cell>
          <cell r="J388">
            <v>25.0642</v>
          </cell>
          <cell r="K388">
            <v>21</v>
          </cell>
          <cell r="M388">
            <v>29</v>
          </cell>
          <cell r="O388">
            <v>29</v>
          </cell>
          <cell r="Q388">
            <v>29</v>
          </cell>
          <cell r="Y388">
            <v>4</v>
          </cell>
          <cell r="Z388">
            <v>25.0642</v>
          </cell>
        </row>
        <row r="399">
          <cell r="Y399">
            <v>70</v>
          </cell>
          <cell r="Z399">
            <v>11.0642</v>
          </cell>
        </row>
        <row r="400">
          <cell r="Y400">
            <v>70</v>
          </cell>
          <cell r="Z400">
            <v>11.0642</v>
          </cell>
        </row>
        <row r="403">
          <cell r="N403" t="str">
            <v>ENGINEERING</v>
          </cell>
          <cell r="Y403" t="str">
            <v>WK Count</v>
          </cell>
          <cell r="Z403" t="str">
            <v>Total Days</v>
          </cell>
        </row>
        <row r="404">
          <cell r="N404" t="str">
            <v>ENGINEERING</v>
          </cell>
          <cell r="Y404" t="str">
            <v>WK Count</v>
          </cell>
          <cell r="Z404" t="str">
            <v>Total Days</v>
          </cell>
        </row>
        <row r="405">
          <cell r="A405" t="str">
            <v>PREP</v>
          </cell>
          <cell r="F405" t="str">
            <v>ANIMATION</v>
          </cell>
          <cell r="I405" t="str">
            <v>INK &amp; PAINT</v>
          </cell>
          <cell r="L405" t="str">
            <v>ALPHA</v>
          </cell>
          <cell r="N405" t="str">
            <v>BETA</v>
          </cell>
          <cell r="P405" t="str">
            <v>RTM</v>
          </cell>
          <cell r="Y405">
            <v>7</v>
          </cell>
          <cell r="Z405">
            <v>49</v>
          </cell>
        </row>
        <row r="406">
          <cell r="A406" t="str">
            <v>PREP</v>
          </cell>
          <cell r="B406" t="str">
            <v>Days</v>
          </cell>
          <cell r="F406" t="str">
            <v>ANIMATION</v>
          </cell>
          <cell r="G406" t="str">
            <v>Days</v>
          </cell>
          <cell r="H406" t="str">
            <v>Frames</v>
          </cell>
          <cell r="I406" t="str">
            <v>INK &amp; PAINT</v>
          </cell>
          <cell r="J406" t="str">
            <v>Days</v>
          </cell>
          <cell r="L406" t="str">
            <v>ALPHA</v>
          </cell>
          <cell r="N406" t="str">
            <v>BETA</v>
          </cell>
          <cell r="P406" t="str">
            <v>RTM</v>
          </cell>
          <cell r="Y406">
            <v>7</v>
          </cell>
          <cell r="Z406">
            <v>49</v>
          </cell>
        </row>
        <row r="407">
          <cell r="A407" t="str">
            <v>Wks</v>
          </cell>
          <cell r="B407" t="str">
            <v>Days</v>
          </cell>
          <cell r="F407" t="str">
            <v>Wks</v>
          </cell>
          <cell r="G407" t="str">
            <v>Days</v>
          </cell>
          <cell r="H407" t="str">
            <v>Frames</v>
          </cell>
          <cell r="I407" t="str">
            <v>Wks</v>
          </cell>
          <cell r="J407" t="str">
            <v>Days</v>
          </cell>
          <cell r="K407">
            <v>21</v>
          </cell>
          <cell r="M407">
            <v>29</v>
          </cell>
          <cell r="O407">
            <v>29</v>
          </cell>
          <cell r="Q407">
            <v>29</v>
          </cell>
          <cell r="Y407">
            <v>7</v>
          </cell>
          <cell r="Z407">
            <v>49</v>
          </cell>
        </row>
        <row r="408">
          <cell r="A408">
            <v>5</v>
          </cell>
          <cell r="B408">
            <v>49</v>
          </cell>
          <cell r="F408">
            <v>5</v>
          </cell>
          <cell r="G408">
            <v>49</v>
          </cell>
          <cell r="H408">
            <v>500</v>
          </cell>
          <cell r="I408">
            <v>5</v>
          </cell>
          <cell r="J408">
            <v>49</v>
          </cell>
          <cell r="K408">
            <v>21</v>
          </cell>
          <cell r="M408">
            <v>29</v>
          </cell>
          <cell r="O408">
            <v>29</v>
          </cell>
          <cell r="Q408">
            <v>29</v>
          </cell>
          <cell r="Y408">
            <v>7</v>
          </cell>
          <cell r="Z408">
            <v>49</v>
          </cell>
        </row>
        <row r="419">
          <cell r="Y419">
            <v>91</v>
          </cell>
          <cell r="Z419">
            <v>35</v>
          </cell>
        </row>
        <row r="420">
          <cell r="Y420">
            <v>91</v>
          </cell>
          <cell r="Z420">
            <v>35</v>
          </cell>
        </row>
        <row r="423">
          <cell r="N423" t="str">
            <v>ENGINEERING</v>
          </cell>
          <cell r="Y423" t="str">
            <v>WK Count</v>
          </cell>
          <cell r="Z423" t="str">
            <v>Total Days</v>
          </cell>
        </row>
        <row r="424">
          <cell r="N424" t="str">
            <v>ENGINEERING</v>
          </cell>
          <cell r="Y424" t="str">
            <v>WK Count</v>
          </cell>
          <cell r="Z424" t="str">
            <v>Total Days</v>
          </cell>
        </row>
        <row r="425">
          <cell r="A425" t="str">
            <v>PREP</v>
          </cell>
          <cell r="F425" t="str">
            <v>ANIMATION</v>
          </cell>
          <cell r="I425" t="str">
            <v>INK &amp; PAINT</v>
          </cell>
          <cell r="L425" t="str">
            <v>ALPHA</v>
          </cell>
          <cell r="N425" t="str">
            <v>BETA</v>
          </cell>
          <cell r="P425" t="str">
            <v>RTM</v>
          </cell>
          <cell r="Y425">
            <v>4</v>
          </cell>
          <cell r="Z425">
            <v>25.0642</v>
          </cell>
        </row>
        <row r="426">
          <cell r="A426" t="str">
            <v>PREP</v>
          </cell>
          <cell r="B426" t="str">
            <v>Days</v>
          </cell>
          <cell r="F426" t="str">
            <v>ANIMATION</v>
          </cell>
          <cell r="G426" t="str">
            <v>Days</v>
          </cell>
          <cell r="H426" t="str">
            <v>Frames</v>
          </cell>
          <cell r="I426" t="str">
            <v>INK &amp; PAINT</v>
          </cell>
          <cell r="J426" t="str">
            <v>Days</v>
          </cell>
          <cell r="L426" t="str">
            <v>ALPHA</v>
          </cell>
          <cell r="N426" t="str">
            <v>BETA</v>
          </cell>
          <cell r="P426" t="str">
            <v>RTM</v>
          </cell>
          <cell r="Y426">
            <v>4</v>
          </cell>
          <cell r="Z426">
            <v>25.0642</v>
          </cell>
        </row>
        <row r="427">
          <cell r="A427" t="str">
            <v>Wks</v>
          </cell>
          <cell r="B427" t="str">
            <v>Days</v>
          </cell>
          <cell r="F427" t="str">
            <v>Wks</v>
          </cell>
          <cell r="G427" t="str">
            <v>Days</v>
          </cell>
          <cell r="H427" t="str">
            <v>Frames</v>
          </cell>
          <cell r="I427" t="str">
            <v>Wks</v>
          </cell>
          <cell r="J427" t="str">
            <v>Days</v>
          </cell>
          <cell r="K427">
            <v>21</v>
          </cell>
          <cell r="M427">
            <v>29</v>
          </cell>
          <cell r="O427">
            <v>29</v>
          </cell>
          <cell r="Q427">
            <v>29</v>
          </cell>
          <cell r="Y427">
            <v>4</v>
          </cell>
          <cell r="Z427">
            <v>25.0642</v>
          </cell>
        </row>
        <row r="428">
          <cell r="A428">
            <v>1.5806</v>
          </cell>
          <cell r="B428">
            <v>25.0642</v>
          </cell>
          <cell r="F428">
            <v>1.5806</v>
          </cell>
          <cell r="G428">
            <v>25.0642</v>
          </cell>
          <cell r="H428">
            <v>158.06</v>
          </cell>
          <cell r="I428">
            <v>1.5806</v>
          </cell>
          <cell r="J428">
            <v>25.0642</v>
          </cell>
          <cell r="K428">
            <v>21</v>
          </cell>
          <cell r="M428">
            <v>29</v>
          </cell>
          <cell r="O428">
            <v>29</v>
          </cell>
          <cell r="Q428">
            <v>29</v>
          </cell>
          <cell r="Y428">
            <v>4</v>
          </cell>
          <cell r="Z428">
            <v>25.0642</v>
          </cell>
        </row>
        <row r="439">
          <cell r="Y439">
            <v>70</v>
          </cell>
          <cell r="Z439">
            <v>11.0642</v>
          </cell>
        </row>
        <row r="440">
          <cell r="Y440">
            <v>70</v>
          </cell>
          <cell r="Z440">
            <v>11.0642</v>
          </cell>
        </row>
        <row r="443">
          <cell r="N443" t="str">
            <v>ENGINEERING</v>
          </cell>
          <cell r="Y443" t="str">
            <v>WK Count</v>
          </cell>
          <cell r="Z443" t="str">
            <v>Total Days</v>
          </cell>
        </row>
        <row r="444">
          <cell r="N444" t="str">
            <v>ENGINEERING</v>
          </cell>
          <cell r="Y444" t="str">
            <v>WK Count</v>
          </cell>
          <cell r="Z444" t="str">
            <v>Total Days</v>
          </cell>
        </row>
        <row r="445">
          <cell r="A445" t="str">
            <v>PREP</v>
          </cell>
          <cell r="F445" t="str">
            <v>ANIMATION</v>
          </cell>
          <cell r="I445" t="str">
            <v>INK &amp; PAINT</v>
          </cell>
          <cell r="L445" t="str">
            <v>ALPHA</v>
          </cell>
          <cell r="N445" t="str">
            <v>BETA</v>
          </cell>
          <cell r="P445" t="str">
            <v>RTM</v>
          </cell>
          <cell r="Y445">
            <v>4</v>
          </cell>
          <cell r="Z445">
            <v>32.440100000000001</v>
          </cell>
        </row>
        <row r="446">
          <cell r="A446" t="str">
            <v>PREP</v>
          </cell>
          <cell r="B446" t="str">
            <v>Days</v>
          </cell>
          <cell r="F446" t="str">
            <v>ANIMATION</v>
          </cell>
          <cell r="G446" t="str">
            <v>Days</v>
          </cell>
          <cell r="H446" t="str">
            <v>Frames</v>
          </cell>
          <cell r="I446" t="str">
            <v>INK &amp; PAINT</v>
          </cell>
          <cell r="J446" t="str">
            <v>Days</v>
          </cell>
          <cell r="L446" t="str">
            <v>ALPHA</v>
          </cell>
          <cell r="N446" t="str">
            <v>BETA</v>
          </cell>
          <cell r="P446" t="str">
            <v>RTM</v>
          </cell>
          <cell r="Y446">
            <v>4</v>
          </cell>
          <cell r="Z446">
            <v>32.440100000000001</v>
          </cell>
        </row>
        <row r="447">
          <cell r="A447" t="str">
            <v>Wks</v>
          </cell>
          <cell r="B447" t="str">
            <v>Days</v>
          </cell>
          <cell r="F447" t="str">
            <v>Wks</v>
          </cell>
          <cell r="G447" t="str">
            <v>Days</v>
          </cell>
          <cell r="H447" t="str">
            <v>Frames</v>
          </cell>
          <cell r="I447" t="str">
            <v>Wks</v>
          </cell>
          <cell r="J447" t="str">
            <v>Days</v>
          </cell>
          <cell r="K447">
            <v>21</v>
          </cell>
          <cell r="M447">
            <v>29</v>
          </cell>
          <cell r="O447">
            <v>29</v>
          </cell>
          <cell r="Q447">
            <v>29</v>
          </cell>
          <cell r="Y447">
            <v>4</v>
          </cell>
          <cell r="Z447">
            <v>32.440100000000001</v>
          </cell>
        </row>
        <row r="448">
          <cell r="A448">
            <v>2.6343000000000001</v>
          </cell>
          <cell r="B448">
            <v>32.440100000000001</v>
          </cell>
          <cell r="F448">
            <v>2.6343000000000001</v>
          </cell>
          <cell r="G448">
            <v>32.440100000000001</v>
          </cell>
          <cell r="H448">
            <v>263.43</v>
          </cell>
          <cell r="I448">
            <v>2.6343000000000001</v>
          </cell>
          <cell r="J448">
            <v>32.440100000000001</v>
          </cell>
          <cell r="K448">
            <v>21</v>
          </cell>
          <cell r="M448">
            <v>29</v>
          </cell>
          <cell r="O448">
            <v>29</v>
          </cell>
          <cell r="Q448">
            <v>29</v>
          </cell>
          <cell r="Y448">
            <v>4</v>
          </cell>
          <cell r="Z448">
            <v>32.440100000000001</v>
          </cell>
        </row>
        <row r="459">
          <cell r="Y459">
            <v>70</v>
          </cell>
          <cell r="Z459">
            <v>18.440100000000001</v>
          </cell>
        </row>
        <row r="460">
          <cell r="Y460">
            <v>70</v>
          </cell>
          <cell r="Z460">
            <v>18.440100000000001</v>
          </cell>
        </row>
        <row r="463">
          <cell r="N463" t="str">
            <v>ENGINEERING</v>
          </cell>
          <cell r="Y463" t="str">
            <v>WK Count</v>
          </cell>
          <cell r="Z463" t="str">
            <v>Total Days</v>
          </cell>
        </row>
        <row r="464">
          <cell r="N464" t="str">
            <v>ENGINEERING</v>
          </cell>
          <cell r="Y464" t="str">
            <v>WK Count</v>
          </cell>
          <cell r="Z464" t="str">
            <v>Total Days</v>
          </cell>
        </row>
        <row r="465">
          <cell r="A465" t="str">
            <v>PREP</v>
          </cell>
          <cell r="F465" t="str">
            <v>ANIMATION</v>
          </cell>
          <cell r="I465" t="str">
            <v>INK &amp; PAINT</v>
          </cell>
          <cell r="L465" t="str">
            <v>ALPHA</v>
          </cell>
          <cell r="N465" t="str">
            <v>BETA</v>
          </cell>
          <cell r="P465" t="str">
            <v>RTM</v>
          </cell>
          <cell r="Y465">
            <v>3</v>
          </cell>
          <cell r="Z465">
            <v>25.0642</v>
          </cell>
        </row>
        <row r="466">
          <cell r="A466" t="str">
            <v>PREP</v>
          </cell>
          <cell r="B466" t="str">
            <v>Days</v>
          </cell>
          <cell r="F466" t="str">
            <v>ANIMATION</v>
          </cell>
          <cell r="G466" t="str">
            <v>Days</v>
          </cell>
          <cell r="H466" t="str">
            <v>Frames</v>
          </cell>
          <cell r="I466" t="str">
            <v>INK &amp; PAINT</v>
          </cell>
          <cell r="J466" t="str">
            <v>Days</v>
          </cell>
          <cell r="L466" t="str">
            <v>ALPHA</v>
          </cell>
          <cell r="N466" t="str">
            <v>BETA</v>
          </cell>
          <cell r="P466" t="str">
            <v>RTM</v>
          </cell>
          <cell r="Y466">
            <v>3</v>
          </cell>
          <cell r="Z466">
            <v>25.0642</v>
          </cell>
        </row>
        <row r="467">
          <cell r="A467" t="str">
            <v>Wks</v>
          </cell>
          <cell r="B467" t="str">
            <v>Days</v>
          </cell>
          <cell r="F467" t="str">
            <v>Wks</v>
          </cell>
          <cell r="G467" t="str">
            <v>Days</v>
          </cell>
          <cell r="H467" t="str">
            <v>Frames</v>
          </cell>
          <cell r="I467" t="str">
            <v>Wks</v>
          </cell>
          <cell r="J467" t="str">
            <v>Days</v>
          </cell>
          <cell r="K467">
            <v>21</v>
          </cell>
          <cell r="M467">
            <v>29</v>
          </cell>
          <cell r="O467">
            <v>29</v>
          </cell>
          <cell r="Q467">
            <v>29</v>
          </cell>
          <cell r="Y467">
            <v>3</v>
          </cell>
          <cell r="Z467">
            <v>25.0642</v>
          </cell>
        </row>
        <row r="468">
          <cell r="A468">
            <v>1.5806</v>
          </cell>
          <cell r="B468">
            <v>25.0642</v>
          </cell>
          <cell r="F468">
            <v>1.5806</v>
          </cell>
          <cell r="G468">
            <v>25.0642</v>
          </cell>
          <cell r="H468">
            <v>158.06</v>
          </cell>
          <cell r="I468">
            <v>1.5806</v>
          </cell>
          <cell r="J468">
            <v>25.0642</v>
          </cell>
          <cell r="K468">
            <v>21</v>
          </cell>
          <cell r="M468">
            <v>29</v>
          </cell>
          <cell r="O468">
            <v>29</v>
          </cell>
          <cell r="Q468">
            <v>29</v>
          </cell>
          <cell r="Y468">
            <v>3</v>
          </cell>
          <cell r="Z468">
            <v>25.0642</v>
          </cell>
        </row>
        <row r="479">
          <cell r="Y479">
            <v>63</v>
          </cell>
          <cell r="Z479">
            <v>11.0642</v>
          </cell>
        </row>
        <row r="480">
          <cell r="Y480">
            <v>63</v>
          </cell>
          <cell r="Z480">
            <v>11.0642</v>
          </cell>
        </row>
        <row r="483">
          <cell r="N483" t="str">
            <v>ENGINEERING</v>
          </cell>
          <cell r="Y483" t="str">
            <v>WK Count</v>
          </cell>
          <cell r="Z483" t="str">
            <v>Total Days</v>
          </cell>
        </row>
        <row r="484">
          <cell r="N484" t="str">
            <v>ENGINEERING</v>
          </cell>
          <cell r="Y484" t="str">
            <v>WK Count</v>
          </cell>
          <cell r="Z484" t="str">
            <v>Total Days</v>
          </cell>
        </row>
        <row r="485">
          <cell r="A485" t="str">
            <v>PREP</v>
          </cell>
          <cell r="F485" t="str">
            <v>ANIMATION</v>
          </cell>
          <cell r="I485" t="str">
            <v>INK &amp; PAINT</v>
          </cell>
          <cell r="L485" t="str">
            <v>ALPHA</v>
          </cell>
          <cell r="N485" t="str">
            <v>BETA</v>
          </cell>
          <cell r="P485" t="str">
            <v>RTM</v>
          </cell>
          <cell r="Y485">
            <v>7</v>
          </cell>
          <cell r="Z485">
            <v>46.393619999999999</v>
          </cell>
        </row>
        <row r="486">
          <cell r="A486" t="str">
            <v>PREP</v>
          </cell>
          <cell r="B486" t="str">
            <v>Days</v>
          </cell>
          <cell r="F486" t="str">
            <v>ANIMATION</v>
          </cell>
          <cell r="G486" t="str">
            <v>Days</v>
          </cell>
          <cell r="H486" t="str">
            <v>Frames</v>
          </cell>
          <cell r="I486" t="str">
            <v>INK &amp; PAINT</v>
          </cell>
          <cell r="J486" t="str">
            <v>Days</v>
          </cell>
          <cell r="L486" t="str">
            <v>ALPHA</v>
          </cell>
          <cell r="N486" t="str">
            <v>BETA</v>
          </cell>
          <cell r="P486" t="str">
            <v>RTM</v>
          </cell>
          <cell r="Y486">
            <v>7</v>
          </cell>
          <cell r="Z486">
            <v>46.393619999999999</v>
          </cell>
        </row>
        <row r="487">
          <cell r="A487" t="str">
            <v>Wks</v>
          </cell>
          <cell r="B487" t="str">
            <v>Days</v>
          </cell>
          <cell r="F487" t="str">
            <v>Wks</v>
          </cell>
          <cell r="G487" t="str">
            <v>Days</v>
          </cell>
          <cell r="H487" t="str">
            <v>Frames</v>
          </cell>
          <cell r="I487" t="str">
            <v>Wks</v>
          </cell>
          <cell r="J487" t="str">
            <v>Days</v>
          </cell>
          <cell r="K487">
            <v>21</v>
          </cell>
          <cell r="M487">
            <v>29</v>
          </cell>
          <cell r="O487">
            <v>29</v>
          </cell>
          <cell r="Q487">
            <v>29</v>
          </cell>
          <cell r="Y487">
            <v>9</v>
          </cell>
          <cell r="Z487">
            <v>62.393619999999999</v>
          </cell>
        </row>
        <row r="488">
          <cell r="A488">
            <v>4.6276599999999997</v>
          </cell>
          <cell r="B488">
            <v>46.393619999999999</v>
          </cell>
          <cell r="F488">
            <v>4.6276599999999997</v>
          </cell>
          <cell r="G488">
            <v>62.393619999999999</v>
          </cell>
          <cell r="H488">
            <v>2313.83</v>
          </cell>
          <cell r="I488">
            <v>4.6276599999999997</v>
          </cell>
          <cell r="J488">
            <v>46.393619999999999</v>
          </cell>
          <cell r="K488">
            <v>21</v>
          </cell>
          <cell r="M488">
            <v>29</v>
          </cell>
          <cell r="O488">
            <v>29</v>
          </cell>
          <cell r="Q488">
            <v>29</v>
          </cell>
          <cell r="Y488">
            <v>6</v>
          </cell>
          <cell r="Z488">
            <v>46.393619999999999</v>
          </cell>
        </row>
        <row r="500">
          <cell r="Y500">
            <v>105</v>
          </cell>
          <cell r="Z500">
            <v>32.393619999999999</v>
          </cell>
        </row>
        <row r="501">
          <cell r="Y501">
            <v>105</v>
          </cell>
          <cell r="Z501">
            <v>32.393619999999999</v>
          </cell>
        </row>
        <row r="504">
          <cell r="N504" t="str">
            <v>ENGINEERING</v>
          </cell>
          <cell r="Y504" t="str">
            <v>WK Count</v>
          </cell>
          <cell r="Z504" t="str">
            <v>Total Days</v>
          </cell>
        </row>
        <row r="505">
          <cell r="N505" t="str">
            <v>ENGINEERING</v>
          </cell>
          <cell r="Y505" t="str">
            <v>WK Count</v>
          </cell>
          <cell r="Z505" t="str">
            <v>Total Days</v>
          </cell>
        </row>
        <row r="506">
          <cell r="A506" t="str">
            <v>PREP</v>
          </cell>
          <cell r="F506" t="str">
            <v>ANIMATION</v>
          </cell>
          <cell r="I506" t="str">
            <v>INK &amp; PAINT</v>
          </cell>
          <cell r="L506" t="str">
            <v>ALPHA</v>
          </cell>
          <cell r="N506" t="str">
            <v>BETA</v>
          </cell>
          <cell r="P506" t="str">
            <v>RTM</v>
          </cell>
          <cell r="Y506">
            <v>25</v>
          </cell>
          <cell r="Z506">
            <v>175.96809999999999</v>
          </cell>
        </row>
        <row r="507">
          <cell r="A507" t="str">
            <v>PREP</v>
          </cell>
          <cell r="B507" t="str">
            <v>Days</v>
          </cell>
          <cell r="F507" t="str">
            <v>ANIMATION</v>
          </cell>
          <cell r="G507" t="str">
            <v>Days</v>
          </cell>
          <cell r="H507" t="str">
            <v>Frames</v>
          </cell>
          <cell r="I507" t="str">
            <v>INK &amp; PAINT</v>
          </cell>
          <cell r="J507" t="str">
            <v>Days</v>
          </cell>
          <cell r="L507" t="str">
            <v>ALPHA</v>
          </cell>
          <cell r="N507" t="str">
            <v>BETA</v>
          </cell>
          <cell r="P507" t="str">
            <v>RTM</v>
          </cell>
          <cell r="Y507">
            <v>25</v>
          </cell>
          <cell r="Z507">
            <v>175.96809999999999</v>
          </cell>
        </row>
        <row r="508">
          <cell r="A508" t="str">
            <v>Wks</v>
          </cell>
          <cell r="B508" t="str">
            <v>Days</v>
          </cell>
          <cell r="F508" t="str">
            <v>Wks</v>
          </cell>
          <cell r="G508" t="str">
            <v>Days</v>
          </cell>
          <cell r="H508" t="str">
            <v>Frames</v>
          </cell>
          <cell r="I508" t="str">
            <v>Wks</v>
          </cell>
          <cell r="J508" t="str">
            <v>Days</v>
          </cell>
          <cell r="K508">
            <v>21</v>
          </cell>
          <cell r="M508">
            <v>29</v>
          </cell>
          <cell r="O508">
            <v>29</v>
          </cell>
          <cell r="Q508">
            <v>29</v>
          </cell>
          <cell r="Y508">
            <v>28</v>
          </cell>
          <cell r="Z508">
            <v>191.96809999999999</v>
          </cell>
        </row>
        <row r="509">
          <cell r="A509">
            <v>23.138300000000001</v>
          </cell>
          <cell r="B509">
            <v>175.96809999999999</v>
          </cell>
          <cell r="F509">
            <v>23.138300000000001</v>
          </cell>
          <cell r="G509">
            <v>191.96809999999999</v>
          </cell>
          <cell r="H509">
            <v>2313.83</v>
          </cell>
          <cell r="I509">
            <v>23.138300000000001</v>
          </cell>
          <cell r="J509">
            <v>175.96809999999999</v>
          </cell>
          <cell r="K509">
            <v>21</v>
          </cell>
          <cell r="M509">
            <v>29</v>
          </cell>
          <cell r="O509">
            <v>29</v>
          </cell>
          <cell r="Q509">
            <v>29</v>
          </cell>
          <cell r="Y509">
            <v>25</v>
          </cell>
          <cell r="Z509">
            <v>175.96809999999999</v>
          </cell>
        </row>
        <row r="521">
          <cell r="Y521">
            <v>238</v>
          </cell>
          <cell r="Z521">
            <v>161.96809999999999</v>
          </cell>
        </row>
        <row r="522">
          <cell r="Y522">
            <v>238</v>
          </cell>
          <cell r="Z522">
            <v>161.96809999999999</v>
          </cell>
        </row>
        <row r="525">
          <cell r="N525" t="str">
            <v>ENGINEERING</v>
          </cell>
          <cell r="Y525" t="str">
            <v>WK Count</v>
          </cell>
          <cell r="Z525" t="str">
            <v>Total Days</v>
          </cell>
        </row>
        <row r="526">
          <cell r="N526" t="str">
            <v>ENGINEERING</v>
          </cell>
          <cell r="Y526" t="str">
            <v>WK Count</v>
          </cell>
          <cell r="Z526" t="str">
            <v>Total Days</v>
          </cell>
        </row>
        <row r="527">
          <cell r="A527" t="str">
            <v>PREP</v>
          </cell>
          <cell r="F527" t="str">
            <v>ANIMATION</v>
          </cell>
          <cell r="I527" t="str">
            <v>INK &amp; PAINT</v>
          </cell>
          <cell r="L527" t="str">
            <v>ALPHA</v>
          </cell>
          <cell r="N527" t="str">
            <v>BETA</v>
          </cell>
          <cell r="P527" t="str">
            <v>RTM</v>
          </cell>
          <cell r="Y527">
            <v>14</v>
          </cell>
          <cell r="Z527">
            <v>98</v>
          </cell>
        </row>
        <row r="528">
          <cell r="A528" t="str">
            <v>PREP</v>
          </cell>
          <cell r="B528" t="str">
            <v>Days</v>
          </cell>
          <cell r="F528" t="str">
            <v>ANIMATION</v>
          </cell>
          <cell r="G528" t="str">
            <v>Days</v>
          </cell>
          <cell r="H528" t="str">
            <v>Frames</v>
          </cell>
          <cell r="I528" t="str">
            <v>INK &amp; PAINT</v>
          </cell>
          <cell r="J528" t="str">
            <v>Days</v>
          </cell>
          <cell r="L528" t="str">
            <v>ALPHA</v>
          </cell>
          <cell r="N528" t="str">
            <v>BETA</v>
          </cell>
          <cell r="P528" t="str">
            <v>RTM</v>
          </cell>
          <cell r="Y528">
            <v>14</v>
          </cell>
          <cell r="Z528">
            <v>98</v>
          </cell>
        </row>
        <row r="529">
          <cell r="A529" t="str">
            <v>Wks</v>
          </cell>
          <cell r="B529" t="str">
            <v>Days</v>
          </cell>
          <cell r="F529" t="str">
            <v>Wks</v>
          </cell>
          <cell r="G529" t="str">
            <v>Days</v>
          </cell>
          <cell r="H529" t="str">
            <v>Frames</v>
          </cell>
          <cell r="I529" t="str">
            <v>Wks</v>
          </cell>
          <cell r="J529" t="str">
            <v>Days</v>
          </cell>
          <cell r="K529">
            <v>21</v>
          </cell>
          <cell r="M529">
            <v>29</v>
          </cell>
          <cell r="O529">
            <v>29</v>
          </cell>
          <cell r="Q529">
            <v>29</v>
          </cell>
          <cell r="Y529">
            <v>17</v>
          </cell>
          <cell r="Z529">
            <v>114</v>
          </cell>
        </row>
        <row r="530">
          <cell r="A530">
            <v>12</v>
          </cell>
          <cell r="B530">
            <v>98</v>
          </cell>
          <cell r="F530">
            <v>12</v>
          </cell>
          <cell r="G530">
            <v>114</v>
          </cell>
          <cell r="H530">
            <v>6000</v>
          </cell>
          <cell r="I530">
            <v>12</v>
          </cell>
          <cell r="J530">
            <v>98</v>
          </cell>
          <cell r="K530">
            <v>21</v>
          </cell>
          <cell r="M530">
            <v>29</v>
          </cell>
          <cell r="O530">
            <v>29</v>
          </cell>
          <cell r="Q530">
            <v>29</v>
          </cell>
          <cell r="Y530">
            <v>14</v>
          </cell>
          <cell r="Z530">
            <v>98</v>
          </cell>
        </row>
        <row r="542">
          <cell r="Y542">
            <v>161</v>
          </cell>
          <cell r="Z542">
            <v>84</v>
          </cell>
        </row>
        <row r="543">
          <cell r="Y543">
            <v>161</v>
          </cell>
          <cell r="Z543">
            <v>84</v>
          </cell>
        </row>
        <row r="546">
          <cell r="N546" t="str">
            <v>ENGINEERING</v>
          </cell>
          <cell r="Y546" t="str">
            <v>WK Count</v>
          </cell>
          <cell r="Z546" t="str">
            <v>Total Days</v>
          </cell>
        </row>
        <row r="547">
          <cell r="N547" t="str">
            <v>ENGINEERING</v>
          </cell>
          <cell r="Y547" t="str">
            <v>WK Count</v>
          </cell>
          <cell r="Z547" t="str">
            <v>Total Days</v>
          </cell>
        </row>
        <row r="548">
          <cell r="A548" t="str">
            <v>PREP</v>
          </cell>
          <cell r="F548" t="str">
            <v>ANIMATION</v>
          </cell>
          <cell r="I548" t="str">
            <v>INK &amp; PAINT</v>
          </cell>
          <cell r="L548" t="str">
            <v>ALPHA</v>
          </cell>
          <cell r="N548" t="str">
            <v>BETA</v>
          </cell>
          <cell r="P548" t="str">
            <v>RTM</v>
          </cell>
          <cell r="Y548">
            <v>6</v>
          </cell>
          <cell r="Z548">
            <v>36.435933333333338</v>
          </cell>
        </row>
        <row r="549">
          <cell r="A549" t="str">
            <v>PREP</v>
          </cell>
          <cell r="B549" t="str">
            <v>Days</v>
          </cell>
          <cell r="F549" t="str">
            <v>ANIMATION</v>
          </cell>
          <cell r="G549" t="str">
            <v>Days</v>
          </cell>
          <cell r="H549" t="str">
            <v>Frames</v>
          </cell>
          <cell r="I549" t="str">
            <v>INK &amp; PAINT</v>
          </cell>
          <cell r="J549" t="str">
            <v>Days</v>
          </cell>
          <cell r="L549" t="str">
            <v>ALPHA</v>
          </cell>
          <cell r="N549" t="str">
            <v>BETA</v>
          </cell>
          <cell r="P549" t="str">
            <v>RTM</v>
          </cell>
          <cell r="Y549">
            <v>6</v>
          </cell>
          <cell r="Z549">
            <v>36.435933333333338</v>
          </cell>
        </row>
        <row r="550">
          <cell r="A550" t="str">
            <v>Wks</v>
          </cell>
          <cell r="B550" t="str">
            <v>Days</v>
          </cell>
          <cell r="F550" t="str">
            <v>Wks</v>
          </cell>
          <cell r="G550" t="str">
            <v>Days</v>
          </cell>
          <cell r="H550" t="str">
            <v>Frames</v>
          </cell>
          <cell r="I550" t="str">
            <v>Wks</v>
          </cell>
          <cell r="J550" t="str">
            <v>Days</v>
          </cell>
          <cell r="K550">
            <v>21</v>
          </cell>
          <cell r="M550">
            <v>29</v>
          </cell>
          <cell r="O550">
            <v>29</v>
          </cell>
          <cell r="Q550">
            <v>29</v>
          </cell>
          <cell r="Y550">
            <v>8</v>
          </cell>
          <cell r="Z550">
            <v>52.435933333333338</v>
          </cell>
        </row>
        <row r="551">
          <cell r="A551">
            <v>3.2051333333333334</v>
          </cell>
          <cell r="B551">
            <v>36.435933333333338</v>
          </cell>
          <cell r="F551">
            <v>3.2051333333333334</v>
          </cell>
          <cell r="G551">
            <v>52.435933333333338</v>
          </cell>
          <cell r="H551">
            <v>480.77</v>
          </cell>
          <cell r="I551">
            <v>3.2051333333333334</v>
          </cell>
          <cell r="J551">
            <v>36.435933333333338</v>
          </cell>
          <cell r="K551">
            <v>21</v>
          </cell>
          <cell r="M551">
            <v>29</v>
          </cell>
          <cell r="O551">
            <v>29</v>
          </cell>
          <cell r="Q551">
            <v>29</v>
          </cell>
          <cell r="Y551">
            <v>5</v>
          </cell>
          <cell r="Z551">
            <v>36.435933333333338</v>
          </cell>
        </row>
        <row r="563">
          <cell r="Y563">
            <v>98</v>
          </cell>
          <cell r="Z563">
            <v>22.435933333333338</v>
          </cell>
        </row>
        <row r="564">
          <cell r="Y564">
            <v>98</v>
          </cell>
          <cell r="Z564">
            <v>22.435933333333338</v>
          </cell>
        </row>
        <row r="567">
          <cell r="N567" t="str">
            <v>ENGINEERING</v>
          </cell>
          <cell r="Y567" t="str">
            <v>WK Count</v>
          </cell>
          <cell r="Z567" t="str">
            <v>Total Days</v>
          </cell>
        </row>
        <row r="568">
          <cell r="N568" t="str">
            <v>ENGINEERING</v>
          </cell>
          <cell r="Y568" t="str">
            <v>WK Count</v>
          </cell>
          <cell r="Z568" t="str">
            <v>Total Days</v>
          </cell>
        </row>
        <row r="569">
          <cell r="A569" t="str">
            <v>PREP</v>
          </cell>
          <cell r="F569" t="str">
            <v>ANIMATION</v>
          </cell>
          <cell r="I569" t="str">
            <v>INK &amp; PAINT</v>
          </cell>
          <cell r="L569" t="str">
            <v>ALPHA</v>
          </cell>
          <cell r="N569" t="str">
            <v>BETA</v>
          </cell>
          <cell r="P569" t="str">
            <v>RTM</v>
          </cell>
          <cell r="Y569">
            <v>25</v>
          </cell>
          <cell r="Z569">
            <v>175</v>
          </cell>
        </row>
        <row r="570">
          <cell r="A570" t="str">
            <v>PREP</v>
          </cell>
          <cell r="B570" t="str">
            <v>Days</v>
          </cell>
          <cell r="F570" t="str">
            <v>ANIMATION</v>
          </cell>
          <cell r="G570" t="str">
            <v>Days</v>
          </cell>
          <cell r="H570" t="str">
            <v>Frames</v>
          </cell>
          <cell r="I570" t="str">
            <v>INK &amp; PAINT</v>
          </cell>
          <cell r="J570" t="str">
            <v>Days</v>
          </cell>
          <cell r="L570" t="str">
            <v>ALPHA</v>
          </cell>
          <cell r="N570" t="str">
            <v>BETA</v>
          </cell>
          <cell r="P570" t="str">
            <v>RTM</v>
          </cell>
          <cell r="Y570">
            <v>25</v>
          </cell>
          <cell r="Z570">
            <v>175</v>
          </cell>
        </row>
        <row r="571">
          <cell r="A571" t="str">
            <v>Wks</v>
          </cell>
          <cell r="B571" t="str">
            <v>Days</v>
          </cell>
          <cell r="F571" t="str">
            <v>Wks</v>
          </cell>
          <cell r="G571" t="str">
            <v>Days</v>
          </cell>
          <cell r="H571" t="str">
            <v>Frames</v>
          </cell>
          <cell r="I571" t="str">
            <v>Wks</v>
          </cell>
          <cell r="J571" t="str">
            <v>Days</v>
          </cell>
          <cell r="K571">
            <v>21</v>
          </cell>
          <cell r="M571">
            <v>29</v>
          </cell>
          <cell r="O571">
            <v>29</v>
          </cell>
          <cell r="Q571">
            <v>29</v>
          </cell>
          <cell r="Y571">
            <v>29</v>
          </cell>
          <cell r="Z571">
            <v>201</v>
          </cell>
        </row>
        <row r="572">
          <cell r="A572">
            <v>23</v>
          </cell>
          <cell r="B572">
            <v>175</v>
          </cell>
          <cell r="F572">
            <v>23</v>
          </cell>
          <cell r="G572">
            <v>201</v>
          </cell>
          <cell r="H572">
            <v>11500</v>
          </cell>
          <cell r="I572">
            <v>23</v>
          </cell>
          <cell r="J572">
            <v>175</v>
          </cell>
          <cell r="K572">
            <v>21</v>
          </cell>
          <cell r="M572">
            <v>29</v>
          </cell>
          <cell r="O572">
            <v>29</v>
          </cell>
          <cell r="Q572">
            <v>29</v>
          </cell>
          <cell r="Y572">
            <v>25</v>
          </cell>
          <cell r="Z572">
            <v>175</v>
          </cell>
        </row>
        <row r="584">
          <cell r="Y584">
            <v>245</v>
          </cell>
          <cell r="Z584">
            <v>161</v>
          </cell>
        </row>
        <row r="585">
          <cell r="Y585">
            <v>245</v>
          </cell>
          <cell r="Z585">
            <v>161</v>
          </cell>
        </row>
        <row r="587">
          <cell r="Y587">
            <v>0</v>
          </cell>
          <cell r="Z587">
            <v>0</v>
          </cell>
        </row>
        <row r="588">
          <cell r="Y588">
            <v>0</v>
          </cell>
          <cell r="Z588">
            <v>0</v>
          </cell>
        </row>
        <row r="589">
          <cell r="Y589" t="e">
            <v>#REF!</v>
          </cell>
          <cell r="Z589" t="e">
            <v>#REF!</v>
          </cell>
        </row>
        <row r="590">
          <cell r="Y590">
            <v>0</v>
          </cell>
          <cell r="Z590">
            <v>0</v>
          </cell>
        </row>
        <row r="591">
          <cell r="Y591" t="e">
            <v>#REF!</v>
          </cell>
          <cell r="Z591" t="e">
            <v>#REF!</v>
          </cell>
        </row>
        <row r="592">
          <cell r="Y592" t="e">
            <v>#REF!</v>
          </cell>
          <cell r="Z592" t="e">
            <v>#REF!</v>
          </cell>
        </row>
        <row r="593">
          <cell r="Y593" t="e">
            <v>#REF!</v>
          </cell>
          <cell r="Z593" t="e">
            <v>#REF!</v>
          </cell>
        </row>
        <row r="594">
          <cell r="Y594" t="e">
            <v>#REF!</v>
          </cell>
          <cell r="Z594" t="e">
            <v>#REF!</v>
          </cell>
        </row>
        <row r="595">
          <cell r="Y595" t="e">
            <v>#REF!</v>
          </cell>
          <cell r="Z595" t="e">
            <v>#REF!</v>
          </cell>
        </row>
        <row r="596">
          <cell r="Y596" t="e">
            <v>#REF!</v>
          </cell>
          <cell r="Z596" t="e">
            <v>#REF!</v>
          </cell>
        </row>
        <row r="597">
          <cell r="Y597" t="e">
            <v>#REF!</v>
          </cell>
          <cell r="Z597" t="e">
            <v>#REF!</v>
          </cell>
        </row>
        <row r="598">
          <cell r="Y598" t="e">
            <v>#REF!</v>
          </cell>
          <cell r="Z598" t="e">
            <v>#REF!</v>
          </cell>
        </row>
        <row r="599">
          <cell r="Y599" t="e">
            <v>#REF!</v>
          </cell>
          <cell r="Z599" t="e">
            <v>#REF!</v>
          </cell>
        </row>
        <row r="600">
          <cell r="Y600" t="e">
            <v>#REF!</v>
          </cell>
          <cell r="Z600" t="e">
            <v>#REF!</v>
          </cell>
        </row>
        <row r="601">
          <cell r="Y601" t="e">
            <v>#REF!</v>
          </cell>
          <cell r="Z601" t="e">
            <v>#REF!</v>
          </cell>
        </row>
        <row r="602">
          <cell r="Y602" t="e">
            <v>#REF!</v>
          </cell>
          <cell r="Z602" t="e">
            <v>#REF!</v>
          </cell>
        </row>
        <row r="603">
          <cell r="Y603" t="e">
            <v>#REF!</v>
          </cell>
          <cell r="Z603" t="e">
            <v>#REF!</v>
          </cell>
        </row>
        <row r="604">
          <cell r="Y604" t="e">
            <v>#REF!</v>
          </cell>
          <cell r="Z604" t="e">
            <v>#REF!</v>
          </cell>
        </row>
        <row r="605">
          <cell r="Y605" t="e">
            <v>#REF!</v>
          </cell>
          <cell r="Z605" t="e">
            <v>#REF!</v>
          </cell>
        </row>
        <row r="606">
          <cell r="Y606" t="e">
            <v>#REF!</v>
          </cell>
          <cell r="Z606" t="e">
            <v>#REF!</v>
          </cell>
        </row>
        <row r="607">
          <cell r="Y607" t="e">
            <v>#REF!</v>
          </cell>
          <cell r="Z607" t="e">
            <v>#REF!</v>
          </cell>
        </row>
        <row r="608">
          <cell r="Y608" t="e">
            <v>#REF!</v>
          </cell>
          <cell r="Z608" t="e">
            <v>#REF!</v>
          </cell>
        </row>
        <row r="609">
          <cell r="Y609" t="e">
            <v>#REF!</v>
          </cell>
          <cell r="Z609" t="e">
            <v>#REF!</v>
          </cell>
        </row>
        <row r="610">
          <cell r="Y610">
            <v>0</v>
          </cell>
          <cell r="Z610">
            <v>0</v>
          </cell>
        </row>
        <row r="611">
          <cell r="Y611">
            <v>0</v>
          </cell>
          <cell r="Z611">
            <v>0</v>
          </cell>
        </row>
        <row r="612">
          <cell r="Y612" t="e">
            <v>#REF!</v>
          </cell>
          <cell r="Z612" t="e">
            <v>#REF!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HREE VARIABLES"/>
      <sheetName val="PRODUCT SCHEDULE"/>
      <sheetName val="DRIVEN BY RELEASE"/>
    </sheetNames>
    <sheetDataSet>
      <sheetData sheetId="0" refreshError="1">
        <row r="2">
          <cell r="N2">
            <v>36161</v>
          </cell>
        </row>
        <row r="4">
          <cell r="T4">
            <v>36164</v>
          </cell>
          <cell r="U4">
            <v>36171</v>
          </cell>
          <cell r="V4">
            <v>36178</v>
          </cell>
        </row>
        <row r="5">
          <cell r="N5">
            <v>36094</v>
          </cell>
          <cell r="T5" t="str">
            <v>Jan</v>
          </cell>
        </row>
        <row r="7">
          <cell r="N7" t="str">
            <v xml:space="preserve"> -PROJECT 1</v>
          </cell>
          <cell r="Q7">
            <v>3000</v>
          </cell>
          <cell r="R7" t="str">
            <v>WK Count</v>
          </cell>
          <cell r="S7" t="str">
            <v>Total Days</v>
          </cell>
        </row>
        <row r="8">
          <cell r="A8" t="str">
            <v>CALCULATION TABLE TO DRIVE GANTT CHART</v>
          </cell>
          <cell r="O8" t="str">
            <v>START</v>
          </cell>
          <cell r="P8" t="str">
            <v>END</v>
          </cell>
          <cell r="T8"/>
          <cell r="U8">
            <v>36171</v>
          </cell>
          <cell r="V8">
            <v>36178</v>
          </cell>
        </row>
        <row r="9">
          <cell r="A9" t="str">
            <v>PHASE 1</v>
          </cell>
          <cell r="C9" t="str">
            <v>PHASE 2</v>
          </cell>
          <cell r="F9" t="str">
            <v>PHASE 3</v>
          </cell>
          <cell r="L9" t="str">
            <v>RELEASE</v>
          </cell>
          <cell r="N9" t="str">
            <v>Prep Projection</v>
          </cell>
          <cell r="O9">
            <v>36165</v>
          </cell>
          <cell r="P9">
            <v>36231.5</v>
          </cell>
          <cell r="Q9">
            <v>400</v>
          </cell>
          <cell r="R9">
            <v>9</v>
          </cell>
          <cell r="S9">
            <v>66.5</v>
          </cell>
          <cell r="T9"/>
          <cell r="U9">
            <v>100</v>
          </cell>
          <cell r="V9">
            <v>200</v>
          </cell>
        </row>
        <row r="10">
          <cell r="A10" t="str">
            <v>Wks</v>
          </cell>
          <cell r="B10" t="str">
            <v>Days</v>
          </cell>
          <cell r="C10" t="str">
            <v>Wks</v>
          </cell>
          <cell r="D10" t="str">
            <v>Days</v>
          </cell>
          <cell r="E10" t="str">
            <v>UNITS</v>
          </cell>
          <cell r="F10" t="str">
            <v>Wks</v>
          </cell>
          <cell r="G10" t="str">
            <v>Days</v>
          </cell>
          <cell r="H10" t="str">
            <v>ALPHA</v>
          </cell>
          <cell r="I10" t="str">
            <v>BETA</v>
          </cell>
          <cell r="J10" t="str">
            <v>RTM</v>
          </cell>
          <cell r="N10" t="str">
            <v>Animation Projection</v>
          </cell>
          <cell r="O10">
            <v>36179</v>
          </cell>
          <cell r="P10">
            <v>36244</v>
          </cell>
          <cell r="Q10">
            <v>600</v>
          </cell>
          <cell r="R10">
            <v>9</v>
          </cell>
          <cell r="S10">
            <v>65</v>
          </cell>
          <cell r="T10"/>
          <cell r="U10"/>
          <cell r="V10"/>
        </row>
        <row r="11">
          <cell r="A11">
            <v>7.5</v>
          </cell>
          <cell r="B11">
            <v>66.5</v>
          </cell>
          <cell r="C11">
            <v>5</v>
          </cell>
          <cell r="D11">
            <v>65</v>
          </cell>
          <cell r="E11">
            <v>3000</v>
          </cell>
          <cell r="F11">
            <v>5</v>
          </cell>
          <cell r="G11">
            <v>49</v>
          </cell>
          <cell r="H11">
            <v>21</v>
          </cell>
          <cell r="I11">
            <v>29</v>
          </cell>
          <cell r="J11">
            <v>29</v>
          </cell>
          <cell r="K11">
            <v>29</v>
          </cell>
          <cell r="N11" t="str">
            <v>Ink &amp; Paint Projection</v>
          </cell>
          <cell r="O11">
            <v>36209</v>
          </cell>
          <cell r="P11">
            <v>36258</v>
          </cell>
          <cell r="Q11">
            <v>600</v>
          </cell>
          <cell r="R11">
            <v>7</v>
          </cell>
          <cell r="S11">
            <v>49</v>
          </cell>
          <cell r="T11"/>
          <cell r="U11"/>
          <cell r="V11"/>
        </row>
        <row r="12">
          <cell r="N12" t="str">
            <v>Engineering</v>
          </cell>
          <cell r="O12">
            <v>36230</v>
          </cell>
          <cell r="P12">
            <v>36344</v>
          </cell>
          <cell r="Q12">
            <v>250</v>
          </cell>
          <cell r="R12">
            <v>16</v>
          </cell>
          <cell r="S12">
            <v>114</v>
          </cell>
          <cell r="T12"/>
          <cell r="U12"/>
          <cell r="V12"/>
        </row>
        <row r="13">
          <cell r="C13" t="str">
            <v>ENGINEERING</v>
          </cell>
          <cell r="F13" t="str">
            <v>TESTING</v>
          </cell>
          <cell r="N13" t="str">
            <v>Testing</v>
          </cell>
          <cell r="O13">
            <v>36277</v>
          </cell>
          <cell r="P13">
            <v>36359.5</v>
          </cell>
          <cell r="Q13">
            <v>400</v>
          </cell>
          <cell r="R13">
            <v>11</v>
          </cell>
          <cell r="S13">
            <v>82.5</v>
          </cell>
          <cell r="T13"/>
          <cell r="U13"/>
          <cell r="V13"/>
        </row>
        <row r="14">
          <cell r="B14" t="str">
            <v>Days</v>
          </cell>
          <cell r="C14" t="str">
            <v>Wks</v>
          </cell>
          <cell r="D14" t="str">
            <v>Days</v>
          </cell>
          <cell r="E14" t="str">
            <v>Days</v>
          </cell>
          <cell r="F14" t="str">
            <v>Wks</v>
          </cell>
          <cell r="G14" t="str">
            <v>Days</v>
          </cell>
          <cell r="N14" t="str">
            <v>Rtm</v>
          </cell>
          <cell r="O14">
            <v>36359.5</v>
          </cell>
          <cell r="R14">
            <v>11</v>
          </cell>
          <cell r="S14" t="str">
            <v>Days</v>
          </cell>
          <cell r="T14"/>
          <cell r="U14"/>
          <cell r="V14"/>
        </row>
        <row r="15">
          <cell r="B15">
            <v>14</v>
          </cell>
          <cell r="C15">
            <v>12</v>
          </cell>
          <cell r="D15">
            <v>114</v>
          </cell>
          <cell r="E15">
            <v>812</v>
          </cell>
          <cell r="F15">
            <v>7.5</v>
          </cell>
          <cell r="G15">
            <v>82.5</v>
          </cell>
          <cell r="O15" t="str">
            <v>PROJECTED RTM</v>
          </cell>
          <cell r="Q15">
            <v>36337</v>
          </cell>
          <cell r="R15">
            <v>105</v>
          </cell>
          <cell r="S15">
            <v>35</v>
          </cell>
        </row>
        <row r="16">
          <cell r="O16" t="str">
            <v>PROJECTED STREET</v>
          </cell>
          <cell r="Q16">
            <v>36367</v>
          </cell>
        </row>
        <row r="17">
          <cell r="O17" t="str">
            <v>+ or - Scheduled Date</v>
          </cell>
          <cell r="Q17">
            <v>0</v>
          </cell>
        </row>
        <row r="19">
          <cell r="N19" t="str">
            <v>PROJECT 2</v>
          </cell>
          <cell r="Q19">
            <v>3000</v>
          </cell>
          <cell r="R19" t="str">
            <v>WK Count</v>
          </cell>
          <cell r="S19" t="str">
            <v>Total Days</v>
          </cell>
        </row>
        <row r="20">
          <cell r="A20" t="str">
            <v>CALCULATION TABLE TO DRIVE GANTT CHART</v>
          </cell>
          <cell r="O20" t="str">
            <v>START</v>
          </cell>
          <cell r="P20" t="str">
            <v>END</v>
          </cell>
          <cell r="T20"/>
          <cell r="U20"/>
          <cell r="V20"/>
        </row>
        <row r="21">
          <cell r="A21" t="str">
            <v>PHASE 1</v>
          </cell>
          <cell r="C21" t="str">
            <v>PHASE 2</v>
          </cell>
          <cell r="F21" t="str">
            <v>PHASE 3</v>
          </cell>
          <cell r="L21" t="str">
            <v>RELEASE</v>
          </cell>
          <cell r="N21" t="str">
            <v>Prep Projection</v>
          </cell>
          <cell r="O21">
            <v>36196</v>
          </cell>
          <cell r="P21">
            <v>36262.5</v>
          </cell>
          <cell r="Q21">
            <v>400</v>
          </cell>
          <cell r="R21">
            <v>10</v>
          </cell>
          <cell r="S21">
            <v>66.5</v>
          </cell>
          <cell r="T21"/>
          <cell r="U21"/>
          <cell r="V21"/>
        </row>
        <row r="22">
          <cell r="A22" t="str">
            <v>Wks</v>
          </cell>
          <cell r="B22" t="str">
            <v>Days</v>
          </cell>
          <cell r="C22" t="str">
            <v>Wks</v>
          </cell>
          <cell r="D22" t="str">
            <v>Days</v>
          </cell>
          <cell r="E22" t="str">
            <v>UNITS</v>
          </cell>
          <cell r="F22" t="str">
            <v>Wks</v>
          </cell>
          <cell r="G22" t="str">
            <v>Days</v>
          </cell>
          <cell r="H22" t="str">
            <v>ALPHA</v>
          </cell>
          <cell r="I22" t="str">
            <v>BETA</v>
          </cell>
          <cell r="J22" t="str">
            <v>RTM</v>
          </cell>
          <cell r="N22" t="str">
            <v>Animation Projection</v>
          </cell>
          <cell r="O22">
            <v>36210</v>
          </cell>
          <cell r="P22">
            <v>36282</v>
          </cell>
          <cell r="Q22">
            <v>500</v>
          </cell>
          <cell r="R22">
            <v>10</v>
          </cell>
          <cell r="S22">
            <v>72</v>
          </cell>
          <cell r="T22"/>
          <cell r="U22"/>
          <cell r="V22"/>
        </row>
        <row r="23">
          <cell r="A23">
            <v>7.5</v>
          </cell>
          <cell r="B23">
            <v>66.5</v>
          </cell>
          <cell r="C23">
            <v>6</v>
          </cell>
          <cell r="D23">
            <v>72</v>
          </cell>
          <cell r="E23">
            <v>3000</v>
          </cell>
          <cell r="F23">
            <v>6</v>
          </cell>
          <cell r="G23">
            <v>56</v>
          </cell>
          <cell r="H23">
            <v>21</v>
          </cell>
          <cell r="I23">
            <v>29</v>
          </cell>
          <cell r="J23">
            <v>29</v>
          </cell>
          <cell r="K23">
            <v>29</v>
          </cell>
          <cell r="N23" t="str">
            <v>Ink &amp; Paint Projection</v>
          </cell>
          <cell r="O23">
            <v>36240</v>
          </cell>
          <cell r="P23">
            <v>36296</v>
          </cell>
          <cell r="Q23">
            <v>500</v>
          </cell>
          <cell r="R23">
            <v>8</v>
          </cell>
          <cell r="S23">
            <v>56</v>
          </cell>
          <cell r="T23"/>
          <cell r="U23"/>
          <cell r="V23"/>
        </row>
        <row r="24">
          <cell r="N24" t="str">
            <v>Engineering</v>
          </cell>
          <cell r="O24">
            <v>36261</v>
          </cell>
          <cell r="P24">
            <v>36375</v>
          </cell>
          <cell r="Q24">
            <v>250</v>
          </cell>
          <cell r="R24">
            <v>17</v>
          </cell>
          <cell r="S24">
            <v>114</v>
          </cell>
          <cell r="T24"/>
          <cell r="U24"/>
          <cell r="V24"/>
        </row>
        <row r="25">
          <cell r="C25" t="str">
            <v>ENGINEERING</v>
          </cell>
          <cell r="F25" t="str">
            <v>TESTING</v>
          </cell>
          <cell r="N25" t="str">
            <v>Testing</v>
          </cell>
          <cell r="O25">
            <v>36308</v>
          </cell>
          <cell r="P25">
            <v>36390.5</v>
          </cell>
          <cell r="Q25">
            <v>400</v>
          </cell>
          <cell r="R25">
            <v>12</v>
          </cell>
          <cell r="S25">
            <v>82.5</v>
          </cell>
          <cell r="T25"/>
          <cell r="U25"/>
          <cell r="V25"/>
        </row>
        <row r="26">
          <cell r="B26" t="str">
            <v>Days</v>
          </cell>
          <cell r="C26" t="str">
            <v>Wks</v>
          </cell>
          <cell r="D26" t="str">
            <v>Days</v>
          </cell>
          <cell r="E26" t="str">
            <v>Days</v>
          </cell>
          <cell r="F26" t="str">
            <v>Wks</v>
          </cell>
          <cell r="G26" t="str">
            <v>Days</v>
          </cell>
          <cell r="N26" t="str">
            <v>Rtm</v>
          </cell>
          <cell r="O26">
            <v>36390.5</v>
          </cell>
          <cell r="P26" t="e">
            <v>#VALUE!</v>
          </cell>
          <cell r="Q26">
            <v>400</v>
          </cell>
          <cell r="R26">
            <v>12</v>
          </cell>
          <cell r="S26" t="str">
            <v>Days</v>
          </cell>
          <cell r="T26"/>
          <cell r="U26"/>
          <cell r="V26"/>
        </row>
        <row r="27">
          <cell r="B27">
            <v>14</v>
          </cell>
          <cell r="C27">
            <v>12</v>
          </cell>
          <cell r="D27">
            <v>114</v>
          </cell>
          <cell r="E27">
            <v>812</v>
          </cell>
          <cell r="F27">
            <v>7.5</v>
          </cell>
          <cell r="G27">
            <v>82.5</v>
          </cell>
          <cell r="O27" t="str">
            <v>PROJECTED RTM</v>
          </cell>
          <cell r="Q27">
            <v>36375</v>
          </cell>
          <cell r="R27">
            <v>112</v>
          </cell>
          <cell r="S27">
            <v>42</v>
          </cell>
        </row>
        <row r="28">
          <cell r="O28" t="str">
            <v>PROJECTED STREET</v>
          </cell>
          <cell r="Q28">
            <v>36405</v>
          </cell>
        </row>
        <row r="29">
          <cell r="O29" t="str">
            <v>+ or - Scheduled Date</v>
          </cell>
          <cell r="Q29">
            <v>0</v>
          </cell>
        </row>
        <row r="31">
          <cell r="N31" t="str">
            <v>PROJECT 3</v>
          </cell>
          <cell r="Q31">
            <v>3000</v>
          </cell>
          <cell r="R31" t="str">
            <v>WK Count</v>
          </cell>
          <cell r="S31" t="str">
            <v>Total Days</v>
          </cell>
        </row>
        <row r="32">
          <cell r="A32" t="str">
            <v>CALCULATION TABLE TO DRIVE GANTT CHART</v>
          </cell>
          <cell r="O32" t="str">
            <v>START</v>
          </cell>
          <cell r="P32" t="str">
            <v>END</v>
          </cell>
          <cell r="T32"/>
          <cell r="U32"/>
          <cell r="V32"/>
        </row>
        <row r="33">
          <cell r="A33" t="str">
            <v>PHASE 1</v>
          </cell>
          <cell r="C33" t="str">
            <v>PHASE 2</v>
          </cell>
          <cell r="F33" t="str">
            <v>PHASE 3</v>
          </cell>
          <cell r="L33" t="str">
            <v>RELEASE</v>
          </cell>
          <cell r="N33" t="str">
            <v>Prep Projection</v>
          </cell>
          <cell r="O33">
            <v>36241</v>
          </cell>
          <cell r="P33">
            <v>36307.5</v>
          </cell>
          <cell r="Q33">
            <v>400</v>
          </cell>
          <cell r="R33">
            <v>10</v>
          </cell>
          <cell r="S33">
            <v>66.5</v>
          </cell>
          <cell r="T33"/>
          <cell r="U33"/>
          <cell r="V33"/>
        </row>
        <row r="34">
          <cell r="A34" t="str">
            <v>Wks</v>
          </cell>
          <cell r="B34" t="str">
            <v>Days</v>
          </cell>
          <cell r="C34" t="str">
            <v>Wks</v>
          </cell>
          <cell r="D34" t="str">
            <v>Days</v>
          </cell>
          <cell r="E34" t="str">
            <v>UNITS</v>
          </cell>
          <cell r="F34" t="str">
            <v>Wks</v>
          </cell>
          <cell r="G34" t="str">
            <v>Days</v>
          </cell>
          <cell r="H34" t="str">
            <v>ALPHA</v>
          </cell>
          <cell r="I34" t="str">
            <v>BETA</v>
          </cell>
          <cell r="J34" t="str">
            <v>RTM</v>
          </cell>
          <cell r="N34" t="str">
            <v>Animation Projection</v>
          </cell>
          <cell r="O34">
            <v>36255</v>
          </cell>
          <cell r="P34">
            <v>36327</v>
          </cell>
          <cell r="Q34">
            <v>500</v>
          </cell>
          <cell r="R34">
            <v>11</v>
          </cell>
          <cell r="S34">
            <v>72</v>
          </cell>
          <cell r="T34"/>
          <cell r="U34"/>
          <cell r="V34"/>
        </row>
        <row r="35">
          <cell r="A35">
            <v>7.5</v>
          </cell>
          <cell r="B35">
            <v>66.5</v>
          </cell>
          <cell r="C35">
            <v>6</v>
          </cell>
          <cell r="D35">
            <v>72</v>
          </cell>
          <cell r="E35">
            <v>3000</v>
          </cell>
          <cell r="F35">
            <v>6</v>
          </cell>
          <cell r="G35">
            <v>56</v>
          </cell>
          <cell r="H35">
            <v>21</v>
          </cell>
          <cell r="I35">
            <v>29</v>
          </cell>
          <cell r="J35">
            <v>29</v>
          </cell>
          <cell r="K35">
            <v>29</v>
          </cell>
          <cell r="N35" t="str">
            <v>Ink &amp; Paint Projection</v>
          </cell>
          <cell r="O35">
            <v>36285</v>
          </cell>
          <cell r="P35">
            <v>36341</v>
          </cell>
          <cell r="Q35">
            <v>500</v>
          </cell>
          <cell r="R35">
            <v>8</v>
          </cell>
          <cell r="S35">
            <v>56</v>
          </cell>
          <cell r="T35"/>
          <cell r="U35"/>
          <cell r="V35"/>
        </row>
        <row r="36">
          <cell r="N36" t="str">
            <v>Engineering</v>
          </cell>
          <cell r="O36">
            <v>36306</v>
          </cell>
          <cell r="P36">
            <v>36420</v>
          </cell>
          <cell r="Q36">
            <v>250</v>
          </cell>
          <cell r="R36">
            <v>16</v>
          </cell>
          <cell r="S36">
            <v>114</v>
          </cell>
          <cell r="T36"/>
          <cell r="U36"/>
          <cell r="V36"/>
        </row>
        <row r="37">
          <cell r="C37" t="str">
            <v>ENGINEERING</v>
          </cell>
          <cell r="F37" t="str">
            <v>TESTING</v>
          </cell>
          <cell r="N37" t="str">
            <v>Testing</v>
          </cell>
          <cell r="O37">
            <v>36353</v>
          </cell>
          <cell r="P37">
            <v>36435.5</v>
          </cell>
          <cell r="Q37">
            <v>400</v>
          </cell>
          <cell r="R37">
            <v>12</v>
          </cell>
          <cell r="S37">
            <v>82.5</v>
          </cell>
          <cell r="T37"/>
          <cell r="U37"/>
          <cell r="V37"/>
        </row>
        <row r="38">
          <cell r="B38" t="str">
            <v>Days</v>
          </cell>
          <cell r="C38" t="str">
            <v>Wks</v>
          </cell>
          <cell r="D38" t="str">
            <v>Days</v>
          </cell>
          <cell r="E38" t="str">
            <v>Days</v>
          </cell>
          <cell r="F38" t="str">
            <v>Wks</v>
          </cell>
          <cell r="G38" t="str">
            <v>Days</v>
          </cell>
          <cell r="N38" t="str">
            <v>Rtm</v>
          </cell>
          <cell r="O38">
            <v>36435.5</v>
          </cell>
          <cell r="P38" t="e">
            <v>#VALUE!</v>
          </cell>
          <cell r="Q38">
            <v>400</v>
          </cell>
          <cell r="R38">
            <v>12</v>
          </cell>
          <cell r="S38" t="str">
            <v>Days</v>
          </cell>
          <cell r="T38"/>
          <cell r="U38"/>
          <cell r="V38"/>
        </row>
        <row r="39">
          <cell r="B39">
            <v>14</v>
          </cell>
          <cell r="C39">
            <v>12</v>
          </cell>
          <cell r="D39">
            <v>114</v>
          </cell>
          <cell r="E39">
            <v>812</v>
          </cell>
          <cell r="F39">
            <v>7.5</v>
          </cell>
          <cell r="G39">
            <v>82.5</v>
          </cell>
          <cell r="O39" t="str">
            <v>PROJECTED RTM</v>
          </cell>
          <cell r="Q39">
            <v>36420</v>
          </cell>
          <cell r="R39">
            <v>119</v>
          </cell>
          <cell r="S39">
            <v>42</v>
          </cell>
        </row>
        <row r="40">
          <cell r="O40" t="str">
            <v>PROJECTED STREET</v>
          </cell>
          <cell r="Q40">
            <v>36450</v>
          </cell>
        </row>
        <row r="41">
          <cell r="O41" t="str">
            <v>+ or - Scheduled Date</v>
          </cell>
          <cell r="Q41">
            <v>0</v>
          </cell>
        </row>
        <row r="43">
          <cell r="N43" t="str">
            <v>PROJECT 4</v>
          </cell>
          <cell r="Q43">
            <v>3000</v>
          </cell>
          <cell r="R43" t="str">
            <v>WK Count</v>
          </cell>
          <cell r="S43" t="str">
            <v>Total Days</v>
          </cell>
        </row>
        <row r="44">
          <cell r="A44" t="str">
            <v>CALCULATION TABLE TO DRIVE GANTT CHART</v>
          </cell>
          <cell r="O44" t="str">
            <v>START</v>
          </cell>
          <cell r="P44" t="str">
            <v>END</v>
          </cell>
          <cell r="T44"/>
          <cell r="U44"/>
          <cell r="V44"/>
        </row>
        <row r="45">
          <cell r="A45" t="str">
            <v>PHASE 1</v>
          </cell>
          <cell r="C45" t="str">
            <v>PHASE 2</v>
          </cell>
          <cell r="F45" t="str">
            <v>PHASE 3</v>
          </cell>
          <cell r="L45" t="str">
            <v>RELEASE</v>
          </cell>
          <cell r="N45" t="str">
            <v>Prep Projection</v>
          </cell>
          <cell r="O45">
            <v>36296</v>
          </cell>
          <cell r="P45">
            <v>36362.5</v>
          </cell>
          <cell r="Q45">
            <v>400</v>
          </cell>
          <cell r="R45">
            <v>10</v>
          </cell>
          <cell r="S45">
            <v>66.5</v>
          </cell>
          <cell r="T45"/>
          <cell r="U45"/>
          <cell r="V45"/>
        </row>
        <row r="46">
          <cell r="A46" t="str">
            <v>Wks</v>
          </cell>
          <cell r="B46" t="str">
            <v>Days</v>
          </cell>
          <cell r="C46" t="str">
            <v>Wks</v>
          </cell>
          <cell r="D46" t="str">
            <v>Days</v>
          </cell>
          <cell r="E46" t="str">
            <v>UNITS</v>
          </cell>
          <cell r="F46" t="str">
            <v>Wks</v>
          </cell>
          <cell r="G46" t="str">
            <v>Days</v>
          </cell>
          <cell r="H46" t="str">
            <v>ALPHA</v>
          </cell>
          <cell r="I46" t="str">
            <v>BETA</v>
          </cell>
          <cell r="J46" t="str">
            <v>RTM</v>
          </cell>
          <cell r="N46" t="str">
            <v>Animation Projection</v>
          </cell>
          <cell r="O46">
            <v>36310</v>
          </cell>
          <cell r="P46">
            <v>36375</v>
          </cell>
          <cell r="Q46">
            <v>600</v>
          </cell>
          <cell r="R46">
            <v>10</v>
          </cell>
          <cell r="S46">
            <v>65</v>
          </cell>
          <cell r="T46"/>
          <cell r="U46"/>
          <cell r="V46"/>
        </row>
        <row r="47">
          <cell r="A47">
            <v>7.5</v>
          </cell>
          <cell r="B47">
            <v>66.5</v>
          </cell>
          <cell r="C47">
            <v>5</v>
          </cell>
          <cell r="D47">
            <v>65</v>
          </cell>
          <cell r="E47">
            <v>3000</v>
          </cell>
          <cell r="F47">
            <v>5</v>
          </cell>
          <cell r="G47">
            <v>49</v>
          </cell>
          <cell r="H47">
            <v>21</v>
          </cell>
          <cell r="I47">
            <v>29</v>
          </cell>
          <cell r="J47">
            <v>29</v>
          </cell>
          <cell r="K47">
            <v>29</v>
          </cell>
          <cell r="N47" t="str">
            <v>Ink &amp; Paint Projection</v>
          </cell>
          <cell r="O47">
            <v>36340</v>
          </cell>
          <cell r="P47">
            <v>36389</v>
          </cell>
          <cell r="Q47">
            <v>600</v>
          </cell>
          <cell r="R47">
            <v>7</v>
          </cell>
          <cell r="S47">
            <v>49</v>
          </cell>
          <cell r="T47"/>
          <cell r="U47"/>
          <cell r="V47"/>
        </row>
        <row r="48">
          <cell r="N48" t="str">
            <v>Engineering</v>
          </cell>
          <cell r="O48">
            <v>36370</v>
          </cell>
          <cell r="P48">
            <v>36484</v>
          </cell>
          <cell r="Q48">
            <v>250</v>
          </cell>
          <cell r="R48">
            <v>16</v>
          </cell>
          <cell r="S48">
            <v>114</v>
          </cell>
          <cell r="T48"/>
          <cell r="U48"/>
          <cell r="V48"/>
        </row>
        <row r="49">
          <cell r="C49" t="str">
            <v>ENGINEERING</v>
          </cell>
          <cell r="F49" t="str">
            <v>TESTING</v>
          </cell>
          <cell r="N49" t="str">
            <v>Testing</v>
          </cell>
          <cell r="O49">
            <v>36417</v>
          </cell>
          <cell r="P49">
            <v>36499.5</v>
          </cell>
          <cell r="Q49">
            <v>400</v>
          </cell>
          <cell r="R49">
            <v>11</v>
          </cell>
          <cell r="S49">
            <v>82.5</v>
          </cell>
          <cell r="T49"/>
          <cell r="U49"/>
          <cell r="V49"/>
        </row>
        <row r="50">
          <cell r="B50" t="str">
            <v>Days</v>
          </cell>
          <cell r="C50" t="str">
            <v>Wks</v>
          </cell>
          <cell r="D50" t="str">
            <v>Days</v>
          </cell>
          <cell r="E50" t="str">
            <v>Days</v>
          </cell>
          <cell r="F50" t="str">
            <v>Wks</v>
          </cell>
          <cell r="G50" t="str">
            <v>Days</v>
          </cell>
          <cell r="N50" t="str">
            <v>Rtm</v>
          </cell>
          <cell r="O50">
            <v>36499.5</v>
          </cell>
          <cell r="P50" t="e">
            <v>#VALUE!</v>
          </cell>
          <cell r="Q50">
            <v>400</v>
          </cell>
          <cell r="R50">
            <v>11</v>
          </cell>
          <cell r="S50" t="str">
            <v>Days</v>
          </cell>
          <cell r="T50"/>
          <cell r="U50"/>
          <cell r="V50"/>
        </row>
        <row r="51">
          <cell r="B51">
            <v>14</v>
          </cell>
          <cell r="C51">
            <v>12</v>
          </cell>
          <cell r="D51">
            <v>114</v>
          </cell>
          <cell r="E51">
            <v>812</v>
          </cell>
          <cell r="F51">
            <v>7.5</v>
          </cell>
          <cell r="G51">
            <v>82.5</v>
          </cell>
          <cell r="O51" t="str">
            <v>PROJECTED RTM</v>
          </cell>
          <cell r="Q51">
            <v>36468</v>
          </cell>
          <cell r="R51">
            <v>112</v>
          </cell>
          <cell r="S51">
            <v>35</v>
          </cell>
        </row>
        <row r="52">
          <cell r="O52" t="str">
            <v>PROJECTED STREET</v>
          </cell>
          <cell r="Q52">
            <v>36498</v>
          </cell>
        </row>
        <row r="53">
          <cell r="O53" t="str">
            <v>+ or - Scheduled Date</v>
          </cell>
          <cell r="Q53">
            <v>0</v>
          </cell>
        </row>
        <row r="55">
          <cell r="N55" t="str">
            <v>PROJECT 5</v>
          </cell>
          <cell r="Q55">
            <v>3000</v>
          </cell>
          <cell r="R55" t="str">
            <v>WK Count</v>
          </cell>
          <cell r="S55" t="str">
            <v>Total Days</v>
          </cell>
        </row>
        <row r="56">
          <cell r="A56" t="str">
            <v>CALCULATION TABLE TO DRIVE GANTT CHART</v>
          </cell>
          <cell r="O56" t="str">
            <v>START</v>
          </cell>
          <cell r="P56" t="str">
            <v>END</v>
          </cell>
          <cell r="T56"/>
          <cell r="U56"/>
          <cell r="V56"/>
        </row>
        <row r="57">
          <cell r="A57" t="str">
            <v>PHASE 1</v>
          </cell>
          <cell r="C57" t="str">
            <v>PHASE 2</v>
          </cell>
          <cell r="F57" t="str">
            <v>PHASE 3</v>
          </cell>
          <cell r="L57" t="str">
            <v>RELEASE</v>
          </cell>
          <cell r="N57" t="str">
            <v>Prep Projection</v>
          </cell>
          <cell r="O57">
            <v>36327</v>
          </cell>
          <cell r="P57">
            <v>36393.5</v>
          </cell>
          <cell r="Q57">
            <v>400</v>
          </cell>
          <cell r="R57">
            <v>9</v>
          </cell>
          <cell r="S57">
            <v>66.5</v>
          </cell>
          <cell r="T57"/>
          <cell r="U57"/>
          <cell r="V57"/>
        </row>
        <row r="58">
          <cell r="A58" t="str">
            <v>Wks</v>
          </cell>
          <cell r="B58" t="str">
            <v>Days</v>
          </cell>
          <cell r="C58" t="str">
            <v>Wks</v>
          </cell>
          <cell r="D58" t="str">
            <v>Days</v>
          </cell>
          <cell r="E58" t="str">
            <v>UNITS</v>
          </cell>
          <cell r="F58" t="str">
            <v>Wks</v>
          </cell>
          <cell r="G58" t="str">
            <v>Days</v>
          </cell>
          <cell r="H58" t="str">
            <v>ALPHA</v>
          </cell>
          <cell r="I58" t="str">
            <v>BETA</v>
          </cell>
          <cell r="J58" t="str">
            <v>RTM</v>
          </cell>
          <cell r="N58" t="str">
            <v>Animation Projection</v>
          </cell>
          <cell r="O58">
            <v>36341</v>
          </cell>
          <cell r="P58">
            <v>36423.5</v>
          </cell>
          <cell r="Q58">
            <v>400</v>
          </cell>
          <cell r="R58">
            <v>12</v>
          </cell>
          <cell r="S58">
            <v>82.5</v>
          </cell>
          <cell r="T58"/>
          <cell r="U58"/>
          <cell r="V58"/>
        </row>
        <row r="59">
          <cell r="A59">
            <v>7.5</v>
          </cell>
          <cell r="B59">
            <v>66.5</v>
          </cell>
          <cell r="C59">
            <v>7.5</v>
          </cell>
          <cell r="D59">
            <v>82.5</v>
          </cell>
          <cell r="E59">
            <v>3000</v>
          </cell>
          <cell r="F59">
            <v>7.5</v>
          </cell>
          <cell r="G59">
            <v>66.5</v>
          </cell>
          <cell r="H59">
            <v>21</v>
          </cell>
          <cell r="I59">
            <v>29</v>
          </cell>
          <cell r="J59">
            <v>29</v>
          </cell>
          <cell r="K59">
            <v>29</v>
          </cell>
          <cell r="N59" t="str">
            <v>Ink &amp; Paint Projection</v>
          </cell>
          <cell r="O59">
            <v>36371</v>
          </cell>
          <cell r="P59">
            <v>36437.5</v>
          </cell>
          <cell r="Q59">
            <v>400</v>
          </cell>
          <cell r="R59">
            <v>10</v>
          </cell>
          <cell r="S59">
            <v>66.5</v>
          </cell>
          <cell r="T59"/>
          <cell r="U59"/>
          <cell r="V59"/>
        </row>
        <row r="60">
          <cell r="N60" t="str">
            <v>Engineering</v>
          </cell>
          <cell r="O60">
            <v>36401</v>
          </cell>
          <cell r="P60">
            <v>36515</v>
          </cell>
          <cell r="Q60">
            <v>250</v>
          </cell>
          <cell r="R60">
            <v>17</v>
          </cell>
          <cell r="S60">
            <v>114</v>
          </cell>
          <cell r="T60"/>
          <cell r="U60"/>
          <cell r="V60"/>
        </row>
        <row r="61">
          <cell r="C61" t="str">
            <v>ENGINEERING</v>
          </cell>
          <cell r="F61" t="str">
            <v>TESTING</v>
          </cell>
          <cell r="N61" t="str">
            <v>Testing</v>
          </cell>
          <cell r="O61">
            <v>36448</v>
          </cell>
          <cell r="P61">
            <v>36530.5</v>
          </cell>
          <cell r="Q61">
            <v>400</v>
          </cell>
          <cell r="R61">
            <v>12</v>
          </cell>
          <cell r="S61">
            <v>82.5</v>
          </cell>
          <cell r="T61"/>
          <cell r="U61"/>
          <cell r="V61"/>
        </row>
        <row r="62">
          <cell r="B62" t="str">
            <v>Days</v>
          </cell>
          <cell r="C62" t="str">
            <v>Wks</v>
          </cell>
          <cell r="D62" t="str">
            <v>Days</v>
          </cell>
          <cell r="E62" t="str">
            <v>Days</v>
          </cell>
          <cell r="F62" t="str">
            <v>Wks</v>
          </cell>
          <cell r="G62" t="str">
            <v>Days</v>
          </cell>
          <cell r="N62" t="str">
            <v>Rtm</v>
          </cell>
          <cell r="O62">
            <v>36530.5</v>
          </cell>
          <cell r="P62" t="e">
            <v>#VALUE!</v>
          </cell>
          <cell r="Q62">
            <v>400</v>
          </cell>
          <cell r="R62">
            <v>12</v>
          </cell>
          <cell r="S62" t="str">
            <v>Days</v>
          </cell>
          <cell r="T62"/>
          <cell r="U62"/>
          <cell r="V62"/>
        </row>
        <row r="63">
          <cell r="B63">
            <v>14</v>
          </cell>
          <cell r="C63">
            <v>12</v>
          </cell>
          <cell r="D63">
            <v>114</v>
          </cell>
          <cell r="E63">
            <v>812</v>
          </cell>
          <cell r="F63">
            <v>7.5</v>
          </cell>
          <cell r="G63">
            <v>82.5</v>
          </cell>
          <cell r="O63" t="str">
            <v>PROJECTED RTM</v>
          </cell>
          <cell r="Q63">
            <v>36516.5</v>
          </cell>
          <cell r="R63">
            <v>126</v>
          </cell>
          <cell r="S63">
            <v>52.5</v>
          </cell>
        </row>
        <row r="64">
          <cell r="O64" t="str">
            <v>PROJECTED STREET</v>
          </cell>
          <cell r="Q64">
            <v>36546.5</v>
          </cell>
        </row>
        <row r="65">
          <cell r="O65" t="str">
            <v>+ or - Scheduled Date</v>
          </cell>
          <cell r="Q65">
            <v>0</v>
          </cell>
        </row>
        <row r="67">
          <cell r="N67" t="str">
            <v>PROJECT 6</v>
          </cell>
          <cell r="Q67">
            <v>3000</v>
          </cell>
          <cell r="R67" t="str">
            <v>WK Count</v>
          </cell>
          <cell r="S67" t="str">
            <v>Total Days</v>
          </cell>
        </row>
        <row r="68">
          <cell r="A68" t="str">
            <v>CALCULATION TABLE TO DRIVE GANTT CHART</v>
          </cell>
          <cell r="O68" t="str">
            <v>START</v>
          </cell>
          <cell r="P68" t="str">
            <v>END</v>
          </cell>
          <cell r="T68"/>
          <cell r="U68"/>
          <cell r="V68"/>
        </row>
        <row r="69">
          <cell r="A69" t="str">
            <v>PHASE 1</v>
          </cell>
          <cell r="C69" t="str">
            <v>PHASE 2</v>
          </cell>
          <cell r="F69" t="str">
            <v>PHASE 3</v>
          </cell>
          <cell r="L69" t="str">
            <v>RELEASE</v>
          </cell>
          <cell r="N69" t="str">
            <v>Prep Projection</v>
          </cell>
          <cell r="O69">
            <v>36382</v>
          </cell>
          <cell r="P69">
            <v>36448.5</v>
          </cell>
          <cell r="Q69">
            <v>400</v>
          </cell>
          <cell r="R69">
            <v>9</v>
          </cell>
          <cell r="S69">
            <v>66.5</v>
          </cell>
          <cell r="T69"/>
          <cell r="U69"/>
          <cell r="V69"/>
        </row>
        <row r="70">
          <cell r="A70" t="str">
            <v>Wks</v>
          </cell>
          <cell r="B70" t="str">
            <v>Days</v>
          </cell>
          <cell r="C70" t="str">
            <v>Wks</v>
          </cell>
          <cell r="D70" t="str">
            <v>Days</v>
          </cell>
          <cell r="E70" t="str">
            <v>UNITS</v>
          </cell>
          <cell r="F70" t="str">
            <v>Wks</v>
          </cell>
          <cell r="G70" t="str">
            <v>Days</v>
          </cell>
          <cell r="H70" t="str">
            <v>ALPHA</v>
          </cell>
          <cell r="I70" t="str">
            <v>BETA</v>
          </cell>
          <cell r="J70" t="str">
            <v>RTM</v>
          </cell>
          <cell r="N70" t="str">
            <v>Animation Projection</v>
          </cell>
          <cell r="O70">
            <v>36396</v>
          </cell>
          <cell r="P70">
            <v>36478.5</v>
          </cell>
          <cell r="Q70">
            <v>400</v>
          </cell>
          <cell r="R70">
            <v>11</v>
          </cell>
          <cell r="S70">
            <v>82.5</v>
          </cell>
          <cell r="T70"/>
          <cell r="U70"/>
          <cell r="V70"/>
        </row>
        <row r="71">
          <cell r="A71">
            <v>7.5</v>
          </cell>
          <cell r="B71">
            <v>66.5</v>
          </cell>
          <cell r="C71">
            <v>7.5</v>
          </cell>
          <cell r="D71">
            <v>82.5</v>
          </cell>
          <cell r="E71">
            <v>3000</v>
          </cell>
          <cell r="F71">
            <v>7.5</v>
          </cell>
          <cell r="G71">
            <v>66.5</v>
          </cell>
          <cell r="H71">
            <v>21</v>
          </cell>
          <cell r="I71">
            <v>29</v>
          </cell>
          <cell r="J71">
            <v>29</v>
          </cell>
          <cell r="K71">
            <v>29</v>
          </cell>
          <cell r="N71" t="str">
            <v>Ink &amp; Paint Projection</v>
          </cell>
          <cell r="O71">
            <v>36426</v>
          </cell>
          <cell r="P71">
            <v>36492.5</v>
          </cell>
          <cell r="Q71">
            <v>400</v>
          </cell>
          <cell r="R71">
            <v>9</v>
          </cell>
          <cell r="S71">
            <v>66.5</v>
          </cell>
          <cell r="T71"/>
          <cell r="U71"/>
          <cell r="V71"/>
        </row>
        <row r="72">
          <cell r="N72" t="str">
            <v>Engineering</v>
          </cell>
          <cell r="O72">
            <v>36446</v>
          </cell>
          <cell r="P72">
            <v>36560</v>
          </cell>
          <cell r="Q72">
            <v>250</v>
          </cell>
          <cell r="R72">
            <v>16</v>
          </cell>
          <cell r="S72">
            <v>114</v>
          </cell>
          <cell r="T72"/>
          <cell r="U72"/>
          <cell r="V72"/>
        </row>
        <row r="73">
          <cell r="C73" t="str">
            <v>ENGINEERING</v>
          </cell>
          <cell r="F73" t="str">
            <v>TESTING</v>
          </cell>
          <cell r="N73" t="str">
            <v>Testing</v>
          </cell>
          <cell r="O73">
            <v>36493</v>
          </cell>
          <cell r="P73">
            <v>36575.5</v>
          </cell>
          <cell r="Q73">
            <v>400</v>
          </cell>
          <cell r="R73">
            <v>12</v>
          </cell>
          <cell r="S73">
            <v>82.5</v>
          </cell>
          <cell r="T73"/>
          <cell r="U73"/>
          <cell r="V73"/>
        </row>
        <row r="74">
          <cell r="B74" t="str">
            <v>Days</v>
          </cell>
          <cell r="C74" t="str">
            <v>Wks</v>
          </cell>
          <cell r="D74" t="str">
            <v>Days</v>
          </cell>
          <cell r="E74" t="str">
            <v>Days</v>
          </cell>
          <cell r="F74" t="str">
            <v>Wks</v>
          </cell>
          <cell r="G74" t="str">
            <v>Days</v>
          </cell>
          <cell r="N74" t="str">
            <v>Rtm</v>
          </cell>
          <cell r="O74">
            <v>36575.5</v>
          </cell>
          <cell r="P74" t="e">
            <v>#VALUE!</v>
          </cell>
          <cell r="Q74">
            <v>400</v>
          </cell>
          <cell r="R74">
            <v>12</v>
          </cell>
          <cell r="S74" t="str">
            <v>Days</v>
          </cell>
          <cell r="T74"/>
          <cell r="U74"/>
          <cell r="V74"/>
        </row>
        <row r="75">
          <cell r="B75">
            <v>14</v>
          </cell>
          <cell r="C75">
            <v>12</v>
          </cell>
          <cell r="D75">
            <v>114</v>
          </cell>
          <cell r="E75">
            <v>812</v>
          </cell>
          <cell r="F75">
            <v>7.5</v>
          </cell>
          <cell r="G75">
            <v>82.5</v>
          </cell>
          <cell r="O75" t="str">
            <v>PROJECTED RTM</v>
          </cell>
          <cell r="Q75">
            <v>36571.5</v>
          </cell>
          <cell r="R75">
            <v>119</v>
          </cell>
          <cell r="S75">
            <v>52.5</v>
          </cell>
        </row>
        <row r="76">
          <cell r="O76" t="str">
            <v>PROJECTED STREET</v>
          </cell>
          <cell r="Q76">
            <v>36601.5</v>
          </cell>
        </row>
        <row r="77">
          <cell r="O77" t="str">
            <v>+ or - Scheduled Date</v>
          </cell>
          <cell r="Q77">
            <v>0</v>
          </cell>
        </row>
        <row r="79">
          <cell r="N79" t="str">
            <v>PROJECT 7</v>
          </cell>
          <cell r="Q79">
            <v>3000</v>
          </cell>
          <cell r="R79" t="str">
            <v>WK Count</v>
          </cell>
          <cell r="S79" t="str">
            <v>Total Days</v>
          </cell>
        </row>
        <row r="80">
          <cell r="A80" t="str">
            <v>CALCULATION TABLE TO DRIVE GANTT CHART</v>
          </cell>
          <cell r="O80" t="str">
            <v>START</v>
          </cell>
          <cell r="P80" t="str">
            <v>END</v>
          </cell>
          <cell r="T80"/>
          <cell r="U80"/>
          <cell r="V80"/>
        </row>
        <row r="81">
          <cell r="A81" t="str">
            <v>PHASE 1</v>
          </cell>
          <cell r="C81" t="str">
            <v>PHASE 2</v>
          </cell>
          <cell r="F81" t="str">
            <v>PHASE 3</v>
          </cell>
          <cell r="L81" t="str">
            <v>RELEASE</v>
          </cell>
          <cell r="N81" t="str">
            <v>Prep Projection</v>
          </cell>
          <cell r="O81">
            <v>36407</v>
          </cell>
          <cell r="P81">
            <v>36473.5</v>
          </cell>
          <cell r="Q81">
            <v>400</v>
          </cell>
          <cell r="R81">
            <v>10</v>
          </cell>
          <cell r="S81">
            <v>66.5</v>
          </cell>
          <cell r="T81"/>
          <cell r="U81"/>
          <cell r="V81"/>
        </row>
        <row r="82">
          <cell r="A82" t="str">
            <v>Wks</v>
          </cell>
          <cell r="B82" t="str">
            <v>Days</v>
          </cell>
          <cell r="C82" t="str">
            <v>Wks</v>
          </cell>
          <cell r="D82" t="str">
            <v>Days</v>
          </cell>
          <cell r="E82" t="str">
            <v>UNITS</v>
          </cell>
          <cell r="F82" t="str">
            <v>Wks</v>
          </cell>
          <cell r="G82" t="str">
            <v>Days</v>
          </cell>
          <cell r="H82" t="str">
            <v>ALPHA</v>
          </cell>
          <cell r="I82" t="str">
            <v>BETA</v>
          </cell>
          <cell r="J82" t="str">
            <v>RTM</v>
          </cell>
          <cell r="N82" t="str">
            <v>Animation Projection</v>
          </cell>
          <cell r="O82">
            <v>36421</v>
          </cell>
          <cell r="P82">
            <v>36503.5</v>
          </cell>
          <cell r="Q82">
            <v>400</v>
          </cell>
          <cell r="R82">
            <v>12</v>
          </cell>
          <cell r="S82">
            <v>82.5</v>
          </cell>
          <cell r="T82"/>
          <cell r="U82"/>
          <cell r="V82"/>
        </row>
        <row r="83">
          <cell r="A83">
            <v>7.5</v>
          </cell>
          <cell r="B83">
            <v>66.5</v>
          </cell>
          <cell r="C83">
            <v>7.5</v>
          </cell>
          <cell r="D83">
            <v>82.5</v>
          </cell>
          <cell r="E83">
            <v>3000</v>
          </cell>
          <cell r="F83">
            <v>7.5</v>
          </cell>
          <cell r="G83">
            <v>66.5</v>
          </cell>
          <cell r="H83">
            <v>21</v>
          </cell>
          <cell r="I83">
            <v>29</v>
          </cell>
          <cell r="J83">
            <v>29</v>
          </cell>
          <cell r="K83">
            <v>29</v>
          </cell>
          <cell r="N83" t="str">
            <v>Ink &amp; Paint Projection</v>
          </cell>
          <cell r="O83">
            <v>36451</v>
          </cell>
          <cell r="P83">
            <v>36517.5</v>
          </cell>
          <cell r="Q83">
            <v>400</v>
          </cell>
          <cell r="R83">
            <v>10</v>
          </cell>
          <cell r="S83">
            <v>66.5</v>
          </cell>
          <cell r="T83"/>
          <cell r="U83"/>
          <cell r="V83"/>
        </row>
        <row r="84">
          <cell r="N84" t="str">
            <v>Engineering</v>
          </cell>
          <cell r="O84">
            <v>36490</v>
          </cell>
          <cell r="P84">
            <v>36604</v>
          </cell>
          <cell r="Q84">
            <v>250</v>
          </cell>
          <cell r="R84">
            <v>16</v>
          </cell>
          <cell r="S84">
            <v>114</v>
          </cell>
          <cell r="T84"/>
          <cell r="U84"/>
          <cell r="V84"/>
        </row>
        <row r="85">
          <cell r="C85" t="str">
            <v>ENGINEERING</v>
          </cell>
          <cell r="F85" t="str">
            <v>TESTING</v>
          </cell>
          <cell r="N85" t="str">
            <v>Testing</v>
          </cell>
          <cell r="O85">
            <v>36537</v>
          </cell>
          <cell r="P85">
            <v>36619.5</v>
          </cell>
          <cell r="Q85">
            <v>400</v>
          </cell>
          <cell r="R85">
            <v>12</v>
          </cell>
          <cell r="S85">
            <v>82.5</v>
          </cell>
          <cell r="T85"/>
          <cell r="U85"/>
          <cell r="V85"/>
        </row>
        <row r="86">
          <cell r="B86" t="str">
            <v>Days</v>
          </cell>
          <cell r="C86" t="str">
            <v>Wks</v>
          </cell>
          <cell r="D86" t="str">
            <v>Days</v>
          </cell>
          <cell r="E86" t="str">
            <v>Days</v>
          </cell>
          <cell r="F86" t="str">
            <v>Wks</v>
          </cell>
          <cell r="G86" t="str">
            <v>Days</v>
          </cell>
          <cell r="N86" t="str">
            <v>Rtm</v>
          </cell>
          <cell r="O86">
            <v>36619.5</v>
          </cell>
          <cell r="P86" t="e">
            <v>#VALUE!</v>
          </cell>
          <cell r="Q86">
            <v>400</v>
          </cell>
          <cell r="R86">
            <v>12</v>
          </cell>
          <cell r="S86" t="str">
            <v>Days</v>
          </cell>
          <cell r="T86"/>
          <cell r="U86"/>
          <cell r="V86"/>
        </row>
        <row r="87">
          <cell r="B87">
            <v>14</v>
          </cell>
          <cell r="C87">
            <v>12</v>
          </cell>
          <cell r="D87">
            <v>114</v>
          </cell>
          <cell r="E87">
            <v>812</v>
          </cell>
          <cell r="F87">
            <v>7.5</v>
          </cell>
          <cell r="G87">
            <v>82.5</v>
          </cell>
          <cell r="O87" t="str">
            <v>PROJECTED RTM</v>
          </cell>
          <cell r="Q87">
            <v>36596.5</v>
          </cell>
          <cell r="R87">
            <v>126</v>
          </cell>
          <cell r="S87">
            <v>52.5</v>
          </cell>
        </row>
        <row r="88">
          <cell r="O88" t="str">
            <v>PROJECTED STREET</v>
          </cell>
          <cell r="Q88">
            <v>36626.5</v>
          </cell>
        </row>
        <row r="89">
          <cell r="O89" t="str">
            <v>+ or - Scheduled Date</v>
          </cell>
          <cell r="Q89">
            <v>0</v>
          </cell>
        </row>
        <row r="91">
          <cell r="N91" t="str">
            <v>PROJECT 8</v>
          </cell>
          <cell r="Q91">
            <v>3000</v>
          </cell>
          <cell r="R91" t="str">
            <v>WK Count</v>
          </cell>
          <cell r="S91" t="str">
            <v>Total Days</v>
          </cell>
        </row>
        <row r="92">
          <cell r="A92" t="str">
            <v>CALCULATION TABLE TO DRIVE GANTT CHART</v>
          </cell>
          <cell r="O92" t="str">
            <v>START</v>
          </cell>
          <cell r="P92" t="str">
            <v>END</v>
          </cell>
          <cell r="T92"/>
          <cell r="U92"/>
          <cell r="V92"/>
        </row>
        <row r="93">
          <cell r="A93" t="str">
            <v>PHASE 1</v>
          </cell>
          <cell r="C93" t="str">
            <v>PHASE 2</v>
          </cell>
          <cell r="F93" t="str">
            <v>PHASE 3</v>
          </cell>
          <cell r="L93" t="str">
            <v>RELEASE</v>
          </cell>
          <cell r="N93" t="str">
            <v>Prep Projection</v>
          </cell>
          <cell r="O93">
            <v>36447</v>
          </cell>
          <cell r="P93">
            <v>36513.5</v>
          </cell>
          <cell r="Q93">
            <v>400</v>
          </cell>
          <cell r="R93">
            <v>9</v>
          </cell>
          <cell r="S93">
            <v>66.5</v>
          </cell>
          <cell r="T93"/>
          <cell r="U93"/>
          <cell r="V93"/>
        </row>
        <row r="94">
          <cell r="A94" t="str">
            <v>Wks</v>
          </cell>
          <cell r="B94" t="str">
            <v>Days</v>
          </cell>
          <cell r="C94" t="str">
            <v>Wks</v>
          </cell>
          <cell r="D94" t="str">
            <v>Days</v>
          </cell>
          <cell r="E94" t="str">
            <v>UNITS</v>
          </cell>
          <cell r="F94" t="str">
            <v>Wks</v>
          </cell>
          <cell r="G94" t="str">
            <v>Days</v>
          </cell>
          <cell r="H94" t="str">
            <v>ALPHA</v>
          </cell>
          <cell r="I94" t="str">
            <v>BETA</v>
          </cell>
          <cell r="J94" t="str">
            <v>RTM</v>
          </cell>
          <cell r="N94" t="str">
            <v>Animation Projection</v>
          </cell>
          <cell r="O94">
            <v>36461</v>
          </cell>
          <cell r="P94">
            <v>36543.5</v>
          </cell>
          <cell r="Q94">
            <v>400</v>
          </cell>
          <cell r="R94">
            <v>12</v>
          </cell>
          <cell r="S94">
            <v>82.5</v>
          </cell>
          <cell r="T94"/>
          <cell r="U94"/>
          <cell r="V94"/>
        </row>
        <row r="95">
          <cell r="A95">
            <v>7.5</v>
          </cell>
          <cell r="B95">
            <v>66.5</v>
          </cell>
          <cell r="C95">
            <v>7.5</v>
          </cell>
          <cell r="D95">
            <v>82.5</v>
          </cell>
          <cell r="E95">
            <v>3000</v>
          </cell>
          <cell r="F95">
            <v>7.5</v>
          </cell>
          <cell r="G95">
            <v>66.5</v>
          </cell>
          <cell r="H95">
            <v>21</v>
          </cell>
          <cell r="I95">
            <v>29</v>
          </cell>
          <cell r="J95">
            <v>29</v>
          </cell>
          <cell r="K95">
            <v>29</v>
          </cell>
          <cell r="N95" t="str">
            <v>Ink &amp; Paint Projection</v>
          </cell>
          <cell r="O95">
            <v>36491</v>
          </cell>
          <cell r="P95">
            <v>36557.5</v>
          </cell>
          <cell r="Q95">
            <v>400</v>
          </cell>
          <cell r="R95">
            <v>10</v>
          </cell>
          <cell r="S95">
            <v>66.5</v>
          </cell>
          <cell r="T95"/>
          <cell r="U95"/>
          <cell r="V95"/>
        </row>
        <row r="96">
          <cell r="N96" t="str">
            <v>Engineering</v>
          </cell>
          <cell r="O96">
            <v>36531</v>
          </cell>
          <cell r="P96">
            <v>36645</v>
          </cell>
          <cell r="Q96">
            <v>250</v>
          </cell>
          <cell r="R96">
            <v>16</v>
          </cell>
          <cell r="S96">
            <v>114</v>
          </cell>
          <cell r="T96"/>
          <cell r="U96"/>
          <cell r="V96"/>
        </row>
        <row r="97">
          <cell r="C97" t="str">
            <v>ENGINEERING</v>
          </cell>
          <cell r="F97" t="str">
            <v>TESTING</v>
          </cell>
          <cell r="N97" t="str">
            <v>Testing</v>
          </cell>
          <cell r="O97">
            <v>36578</v>
          </cell>
          <cell r="P97">
            <v>36660.5</v>
          </cell>
          <cell r="Q97">
            <v>400</v>
          </cell>
          <cell r="R97">
            <v>10</v>
          </cell>
          <cell r="S97">
            <v>82.5</v>
          </cell>
          <cell r="T97"/>
          <cell r="U97"/>
          <cell r="V97"/>
        </row>
        <row r="98">
          <cell r="B98" t="str">
            <v>Days</v>
          </cell>
          <cell r="C98" t="str">
            <v>Wks</v>
          </cell>
          <cell r="D98" t="str">
            <v>Days</v>
          </cell>
          <cell r="E98" t="str">
            <v>Days</v>
          </cell>
          <cell r="F98" t="str">
            <v>Wks</v>
          </cell>
          <cell r="G98" t="str">
            <v>Days</v>
          </cell>
          <cell r="N98" t="str">
            <v>Rtm</v>
          </cell>
          <cell r="O98">
            <v>36660.5</v>
          </cell>
          <cell r="P98" t="e">
            <v>#VALUE!</v>
          </cell>
          <cell r="Q98">
            <v>400</v>
          </cell>
          <cell r="R98">
            <v>10</v>
          </cell>
          <cell r="S98" t="str">
            <v>Days</v>
          </cell>
          <cell r="T98"/>
          <cell r="U98"/>
          <cell r="V98"/>
        </row>
        <row r="99">
          <cell r="B99">
            <v>14</v>
          </cell>
          <cell r="C99">
            <v>12</v>
          </cell>
          <cell r="D99">
            <v>114</v>
          </cell>
          <cell r="E99">
            <v>812</v>
          </cell>
          <cell r="F99">
            <v>7.5</v>
          </cell>
          <cell r="G99">
            <v>82.5</v>
          </cell>
          <cell r="O99" t="str">
            <v>PROJECTED RTM</v>
          </cell>
          <cell r="Q99">
            <v>36636.5</v>
          </cell>
          <cell r="R99">
            <v>126</v>
          </cell>
          <cell r="S99">
            <v>52.5</v>
          </cell>
        </row>
        <row r="100">
          <cell r="O100" t="str">
            <v>PROJECTED STREET</v>
          </cell>
          <cell r="Q100">
            <v>36666.5</v>
          </cell>
        </row>
        <row r="101">
          <cell r="O101" t="str">
            <v>+ or - Scheduled Date</v>
          </cell>
          <cell r="Q101">
            <v>0</v>
          </cell>
        </row>
        <row r="103">
          <cell r="N103" t="str">
            <v>PROJECT 9</v>
          </cell>
          <cell r="Q103">
            <v>3000</v>
          </cell>
          <cell r="R103" t="str">
            <v>WK Count</v>
          </cell>
          <cell r="S103" t="str">
            <v>Total Days</v>
          </cell>
        </row>
        <row r="104">
          <cell r="A104" t="str">
            <v>CALCULATION TABLE TO DRIVE GANTT CHART</v>
          </cell>
          <cell r="O104" t="str">
            <v>START</v>
          </cell>
          <cell r="P104" t="str">
            <v>END</v>
          </cell>
          <cell r="T104"/>
          <cell r="U104"/>
          <cell r="V104"/>
        </row>
        <row r="105">
          <cell r="A105" t="str">
            <v>PHASE 1</v>
          </cell>
          <cell r="C105" t="str">
            <v>PHASE 2</v>
          </cell>
          <cell r="F105" t="str">
            <v>PHASE 3</v>
          </cell>
          <cell r="L105" t="str">
            <v>RELEASE</v>
          </cell>
          <cell r="N105" t="str">
            <v>Prep Projection</v>
          </cell>
          <cell r="O105">
            <v>36492</v>
          </cell>
          <cell r="P105">
            <v>36558.5</v>
          </cell>
          <cell r="Q105">
            <v>400</v>
          </cell>
          <cell r="R105">
            <v>10</v>
          </cell>
          <cell r="S105">
            <v>66.5</v>
          </cell>
          <cell r="T105"/>
          <cell r="U105"/>
          <cell r="V105"/>
        </row>
        <row r="106">
          <cell r="A106" t="str">
            <v>Wks</v>
          </cell>
          <cell r="B106" t="str">
            <v>Days</v>
          </cell>
          <cell r="C106" t="str">
            <v>Wks</v>
          </cell>
          <cell r="D106" t="str">
            <v>Days</v>
          </cell>
          <cell r="E106" t="str">
            <v>UNITS</v>
          </cell>
          <cell r="F106" t="str">
            <v>Wks</v>
          </cell>
          <cell r="G106" t="str">
            <v>Days</v>
          </cell>
          <cell r="H106" t="str">
            <v>ALPHA</v>
          </cell>
          <cell r="I106" t="str">
            <v>BETA</v>
          </cell>
          <cell r="J106" t="str">
            <v>RTM</v>
          </cell>
          <cell r="N106" t="str">
            <v>Animation Projection</v>
          </cell>
          <cell r="O106">
            <v>36506</v>
          </cell>
          <cell r="P106">
            <v>36588.5</v>
          </cell>
          <cell r="Q106">
            <v>400</v>
          </cell>
          <cell r="R106">
            <v>12</v>
          </cell>
          <cell r="S106">
            <v>82.5</v>
          </cell>
          <cell r="T106"/>
          <cell r="U106"/>
          <cell r="V106"/>
        </row>
        <row r="107">
          <cell r="A107">
            <v>7.5</v>
          </cell>
          <cell r="B107">
            <v>66.5</v>
          </cell>
          <cell r="C107">
            <v>7.5</v>
          </cell>
          <cell r="D107">
            <v>82.5</v>
          </cell>
          <cell r="E107">
            <v>3000</v>
          </cell>
          <cell r="F107">
            <v>7.5</v>
          </cell>
          <cell r="G107">
            <v>66.5</v>
          </cell>
          <cell r="H107">
            <v>21</v>
          </cell>
          <cell r="I107">
            <v>29</v>
          </cell>
          <cell r="J107">
            <v>29</v>
          </cell>
          <cell r="K107">
            <v>29</v>
          </cell>
          <cell r="N107" t="str">
            <v>Ink &amp; Paint Projection</v>
          </cell>
          <cell r="O107">
            <v>36536</v>
          </cell>
          <cell r="P107">
            <v>36602.5</v>
          </cell>
          <cell r="Q107">
            <v>400</v>
          </cell>
          <cell r="R107">
            <v>9</v>
          </cell>
          <cell r="S107">
            <v>66.5</v>
          </cell>
          <cell r="T107"/>
          <cell r="U107"/>
          <cell r="V107"/>
        </row>
        <row r="108">
          <cell r="N108" t="str">
            <v>Engineering</v>
          </cell>
          <cell r="O108">
            <v>36566</v>
          </cell>
          <cell r="P108">
            <v>36680</v>
          </cell>
          <cell r="Q108">
            <v>250</v>
          </cell>
          <cell r="R108">
            <v>12</v>
          </cell>
          <cell r="S108">
            <v>114</v>
          </cell>
          <cell r="T108"/>
          <cell r="U108"/>
          <cell r="V108"/>
        </row>
        <row r="109">
          <cell r="C109" t="str">
            <v>ENGINEERING</v>
          </cell>
          <cell r="F109" t="str">
            <v>TESTING</v>
          </cell>
          <cell r="N109" t="str">
            <v>Testing</v>
          </cell>
          <cell r="O109">
            <v>36613</v>
          </cell>
          <cell r="P109">
            <v>36695.5</v>
          </cell>
          <cell r="Q109">
            <v>400</v>
          </cell>
          <cell r="R109">
            <v>5</v>
          </cell>
          <cell r="S109">
            <v>82.5</v>
          </cell>
          <cell r="T109"/>
          <cell r="U109"/>
          <cell r="V109"/>
        </row>
        <row r="110">
          <cell r="B110" t="str">
            <v>Days</v>
          </cell>
          <cell r="C110" t="str">
            <v>Wks</v>
          </cell>
          <cell r="D110" t="str">
            <v>Days</v>
          </cell>
          <cell r="E110" t="str">
            <v>Days</v>
          </cell>
          <cell r="F110" t="str">
            <v>Wks</v>
          </cell>
          <cell r="G110" t="str">
            <v>Days</v>
          </cell>
          <cell r="N110" t="str">
            <v>Rtm</v>
          </cell>
          <cell r="O110">
            <v>36695.5</v>
          </cell>
          <cell r="P110" t="e">
            <v>#VALUE!</v>
          </cell>
          <cell r="Q110">
            <v>400</v>
          </cell>
          <cell r="R110">
            <v>5</v>
          </cell>
          <cell r="S110" t="str">
            <v>Days</v>
          </cell>
          <cell r="T110"/>
          <cell r="U110"/>
          <cell r="V110"/>
        </row>
        <row r="111">
          <cell r="B111">
            <v>14</v>
          </cell>
          <cell r="C111">
            <v>12</v>
          </cell>
          <cell r="D111">
            <v>114</v>
          </cell>
          <cell r="E111">
            <v>812</v>
          </cell>
          <cell r="F111">
            <v>7.5</v>
          </cell>
          <cell r="G111">
            <v>82.5</v>
          </cell>
          <cell r="O111" t="str">
            <v>PROJECTED RTM</v>
          </cell>
          <cell r="Q111">
            <v>36681.5</v>
          </cell>
          <cell r="R111">
            <v>126</v>
          </cell>
          <cell r="S111">
            <v>52.5</v>
          </cell>
        </row>
        <row r="112">
          <cell r="O112" t="str">
            <v>PROJECTED STREET</v>
          </cell>
          <cell r="Q112">
            <v>36711.5</v>
          </cell>
        </row>
        <row r="113">
          <cell r="O113" t="str">
            <v>+ or - Scheduled Date</v>
          </cell>
          <cell r="Q113">
            <v>0</v>
          </cell>
        </row>
        <row r="115">
          <cell r="N115" t="str">
            <v>PROJECT 10</v>
          </cell>
          <cell r="Q115">
            <v>3000</v>
          </cell>
          <cell r="R115" t="str">
            <v>WK Count</v>
          </cell>
          <cell r="S115" t="str">
            <v>Total Days</v>
          </cell>
        </row>
        <row r="116">
          <cell r="A116" t="str">
            <v>CALCULATION TABLE TO DRIVE GANTT CHART</v>
          </cell>
          <cell r="O116" t="str">
            <v>START</v>
          </cell>
          <cell r="P116" t="str">
            <v>END</v>
          </cell>
          <cell r="T116"/>
          <cell r="U116"/>
          <cell r="V116"/>
        </row>
        <row r="117">
          <cell r="A117" t="str">
            <v>PHASE 1</v>
          </cell>
          <cell r="C117" t="str">
            <v>PHASE 2</v>
          </cell>
          <cell r="F117" t="str">
            <v>PHASE 3</v>
          </cell>
          <cell r="L117" t="str">
            <v>RELEASE</v>
          </cell>
          <cell r="N117" t="str">
            <v>Prep Projection</v>
          </cell>
          <cell r="O117">
            <v>36517</v>
          </cell>
          <cell r="P117">
            <v>36583.5</v>
          </cell>
          <cell r="Q117">
            <v>400</v>
          </cell>
          <cell r="R117">
            <v>9</v>
          </cell>
          <cell r="S117">
            <v>66.5</v>
          </cell>
          <cell r="T117"/>
          <cell r="U117"/>
          <cell r="V117"/>
        </row>
        <row r="118">
          <cell r="A118" t="str">
            <v>Wks</v>
          </cell>
          <cell r="B118" t="str">
            <v>Days</v>
          </cell>
          <cell r="C118" t="str">
            <v>Wks</v>
          </cell>
          <cell r="D118" t="str">
            <v>Days</v>
          </cell>
          <cell r="E118" t="str">
            <v>UNITS</v>
          </cell>
          <cell r="F118" t="str">
            <v>Wks</v>
          </cell>
          <cell r="G118" t="str">
            <v>Days</v>
          </cell>
          <cell r="H118" t="str">
            <v>ALPHA</v>
          </cell>
          <cell r="I118" t="str">
            <v>BETA</v>
          </cell>
          <cell r="J118" t="str">
            <v>RTM</v>
          </cell>
          <cell r="N118" t="str">
            <v>Animation Projection</v>
          </cell>
          <cell r="O118">
            <v>36531</v>
          </cell>
          <cell r="P118">
            <v>36613.5</v>
          </cell>
          <cell r="Q118">
            <v>400</v>
          </cell>
          <cell r="R118">
            <v>12</v>
          </cell>
          <cell r="S118">
            <v>82.5</v>
          </cell>
          <cell r="T118"/>
          <cell r="U118"/>
          <cell r="V118"/>
        </row>
        <row r="119">
          <cell r="A119">
            <v>7.5</v>
          </cell>
          <cell r="B119">
            <v>66.5</v>
          </cell>
          <cell r="C119">
            <v>7.5</v>
          </cell>
          <cell r="D119">
            <v>82.5</v>
          </cell>
          <cell r="E119">
            <v>3000</v>
          </cell>
          <cell r="F119">
            <v>7.5</v>
          </cell>
          <cell r="G119">
            <v>66.5</v>
          </cell>
          <cell r="H119">
            <v>21</v>
          </cell>
          <cell r="I119">
            <v>29</v>
          </cell>
          <cell r="J119">
            <v>29</v>
          </cell>
          <cell r="K119">
            <v>29</v>
          </cell>
          <cell r="N119" t="str">
            <v>Ink &amp; Paint Projection</v>
          </cell>
          <cell r="O119">
            <v>36561</v>
          </cell>
          <cell r="P119">
            <v>36627.5</v>
          </cell>
          <cell r="Q119">
            <v>400</v>
          </cell>
          <cell r="R119">
            <v>10</v>
          </cell>
          <cell r="S119">
            <v>66.5</v>
          </cell>
          <cell r="T119"/>
          <cell r="U119"/>
          <cell r="V119"/>
        </row>
        <row r="120">
          <cell r="N120" t="str">
            <v>Engineering</v>
          </cell>
          <cell r="O120">
            <v>36600</v>
          </cell>
          <cell r="P120">
            <v>36714</v>
          </cell>
          <cell r="Q120">
            <v>250</v>
          </cell>
          <cell r="R120">
            <v>7</v>
          </cell>
          <cell r="S120">
            <v>114</v>
          </cell>
          <cell r="T120"/>
          <cell r="U120"/>
          <cell r="V120"/>
        </row>
        <row r="121">
          <cell r="C121" t="str">
            <v>ENGINEERING</v>
          </cell>
          <cell r="F121" t="str">
            <v>TESTING</v>
          </cell>
          <cell r="N121" t="str">
            <v>Testing</v>
          </cell>
          <cell r="O121">
            <v>36647</v>
          </cell>
          <cell r="P121">
            <v>36729.5</v>
          </cell>
          <cell r="Q121">
            <v>400</v>
          </cell>
          <cell r="R121">
            <v>1</v>
          </cell>
          <cell r="S121">
            <v>82.5</v>
          </cell>
          <cell r="T121"/>
          <cell r="U121"/>
          <cell r="V121"/>
        </row>
        <row r="122">
          <cell r="B122" t="str">
            <v>Days</v>
          </cell>
          <cell r="C122" t="str">
            <v>Wks</v>
          </cell>
          <cell r="D122" t="str">
            <v>Days</v>
          </cell>
          <cell r="E122" t="str">
            <v>Days</v>
          </cell>
          <cell r="F122" t="str">
            <v>Wks</v>
          </cell>
          <cell r="G122" t="str">
            <v>Days</v>
          </cell>
          <cell r="N122" t="str">
            <v>Rtm</v>
          </cell>
          <cell r="O122">
            <v>36729.5</v>
          </cell>
          <cell r="P122" t="e">
            <v>#VALUE!</v>
          </cell>
          <cell r="Q122">
            <v>400</v>
          </cell>
          <cell r="R122">
            <v>1</v>
          </cell>
          <cell r="S122" t="str">
            <v>Days</v>
          </cell>
          <cell r="T122"/>
          <cell r="U122"/>
          <cell r="V122"/>
        </row>
        <row r="123">
          <cell r="B123">
            <v>14</v>
          </cell>
          <cell r="C123">
            <v>12</v>
          </cell>
          <cell r="D123">
            <v>114</v>
          </cell>
          <cell r="E123">
            <v>812</v>
          </cell>
          <cell r="F123">
            <v>7.5</v>
          </cell>
          <cell r="G123">
            <v>82.5</v>
          </cell>
          <cell r="O123" t="str">
            <v>PROJECTED RTM</v>
          </cell>
          <cell r="Q123">
            <v>36706.5</v>
          </cell>
          <cell r="R123">
            <v>126</v>
          </cell>
          <cell r="S123">
            <v>52.5</v>
          </cell>
        </row>
        <row r="124">
          <cell r="O124" t="str">
            <v>PROJECTED STREET</v>
          </cell>
          <cell r="Q124">
            <v>36736.5</v>
          </cell>
        </row>
        <row r="125">
          <cell r="O125" t="str">
            <v>+ or - Scheduled Date</v>
          </cell>
          <cell r="Q125">
            <v>0</v>
          </cell>
        </row>
        <row r="127">
          <cell r="N127" t="str">
            <v>DI PROJECT</v>
          </cell>
          <cell r="Q127">
            <v>3000</v>
          </cell>
          <cell r="R127" t="str">
            <v>WK Count</v>
          </cell>
          <cell r="S127" t="str">
            <v>Total Days</v>
          </cell>
        </row>
        <row r="128">
          <cell r="A128" t="str">
            <v>CALCULATION TABLE TO DRIVE GANTT CHART</v>
          </cell>
          <cell r="O128" t="str">
            <v>START</v>
          </cell>
          <cell r="P128" t="str">
            <v>END</v>
          </cell>
        </row>
        <row r="129">
          <cell r="A129" t="str">
            <v>PHASE 1</v>
          </cell>
          <cell r="C129" t="str">
            <v>PHASE 2</v>
          </cell>
          <cell r="F129" t="str">
            <v>PHASE 3</v>
          </cell>
          <cell r="L129" t="str">
            <v>RELEASE</v>
          </cell>
          <cell r="N129" t="str">
            <v>Prep Projection</v>
          </cell>
          <cell r="O129">
            <v>36164</v>
          </cell>
          <cell r="P129">
            <v>36248</v>
          </cell>
          <cell r="Q129">
            <v>300</v>
          </cell>
          <cell r="R129">
            <v>12</v>
          </cell>
          <cell r="S129">
            <v>84</v>
          </cell>
          <cell r="T129">
            <v>75</v>
          </cell>
          <cell r="U129">
            <v>150</v>
          </cell>
          <cell r="V129">
            <v>225</v>
          </cell>
        </row>
        <row r="130">
          <cell r="A130" t="str">
            <v>Wks</v>
          </cell>
          <cell r="B130" t="str">
            <v>Days</v>
          </cell>
          <cell r="C130" t="str">
            <v>Wks</v>
          </cell>
          <cell r="D130" t="str">
            <v>Days</v>
          </cell>
          <cell r="E130" t="str">
            <v>UNITS</v>
          </cell>
          <cell r="F130" t="str">
            <v>Wks</v>
          </cell>
          <cell r="G130" t="str">
            <v>Days</v>
          </cell>
          <cell r="H130" t="str">
            <v>ALPHA</v>
          </cell>
          <cell r="I130" t="str">
            <v>BETA</v>
          </cell>
          <cell r="J130" t="str">
            <v>RTM</v>
          </cell>
          <cell r="N130" t="str">
            <v>Animation Projection</v>
          </cell>
          <cell r="O130">
            <v>36178</v>
          </cell>
          <cell r="P130">
            <v>36278</v>
          </cell>
          <cell r="Q130">
            <v>300</v>
          </cell>
          <cell r="R130">
            <v>15</v>
          </cell>
          <cell r="S130">
            <v>100</v>
          </cell>
          <cell r="T130"/>
          <cell r="U130"/>
          <cell r="V130">
            <v>0</v>
          </cell>
        </row>
        <row r="131">
          <cell r="A131">
            <v>10</v>
          </cell>
          <cell r="B131">
            <v>84</v>
          </cell>
          <cell r="C131">
            <v>10</v>
          </cell>
          <cell r="D131">
            <v>100</v>
          </cell>
          <cell r="E131">
            <v>3000</v>
          </cell>
          <cell r="F131">
            <v>10</v>
          </cell>
          <cell r="G131">
            <v>84</v>
          </cell>
          <cell r="H131">
            <v>21</v>
          </cell>
          <cell r="I131">
            <v>29</v>
          </cell>
          <cell r="J131">
            <v>29</v>
          </cell>
          <cell r="K131">
            <v>29</v>
          </cell>
          <cell r="N131" t="str">
            <v>Ink &amp; Paint Projection</v>
          </cell>
          <cell r="O131">
            <v>36208</v>
          </cell>
          <cell r="P131">
            <v>36292</v>
          </cell>
          <cell r="Q131">
            <v>300</v>
          </cell>
          <cell r="R131">
            <v>12</v>
          </cell>
          <cell r="S131">
            <v>84</v>
          </cell>
          <cell r="T131"/>
          <cell r="U131"/>
          <cell r="V131"/>
        </row>
        <row r="132">
          <cell r="B132">
            <v>14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O132" t="str">
            <v>PROJECTED RTM</v>
          </cell>
          <cell r="Q132">
            <v>36371</v>
          </cell>
          <cell r="R132">
            <v>147</v>
          </cell>
          <cell r="S132">
            <v>70</v>
          </cell>
        </row>
        <row r="133">
          <cell r="O133" t="str">
            <v>PROJECTED STREET</v>
          </cell>
          <cell r="Q133">
            <v>36401</v>
          </cell>
        </row>
        <row r="134">
          <cell r="O134" t="str">
            <v>+ or - Scheduled Date</v>
          </cell>
          <cell r="Q134">
            <v>0</v>
          </cell>
        </row>
        <row r="136">
          <cell r="N136" t="str">
            <v>DI PROJECT</v>
          </cell>
          <cell r="Q136">
            <v>3000</v>
          </cell>
          <cell r="R136" t="str">
            <v>WK Count</v>
          </cell>
          <cell r="S136" t="str">
            <v>Total Days</v>
          </cell>
        </row>
        <row r="137">
          <cell r="A137" t="str">
            <v>CALCULATION TABLE TO DRIVE GANTT CHART</v>
          </cell>
          <cell r="O137" t="str">
            <v>START</v>
          </cell>
          <cell r="P137" t="str">
            <v>END</v>
          </cell>
        </row>
        <row r="138">
          <cell r="A138" t="str">
            <v>PHASE 1</v>
          </cell>
          <cell r="C138" t="str">
            <v>PHASE 2</v>
          </cell>
          <cell r="F138" t="str">
            <v>PHASE 3</v>
          </cell>
          <cell r="L138" t="str">
            <v>RELEASE</v>
          </cell>
          <cell r="N138" t="str">
            <v>Prep Projection</v>
          </cell>
          <cell r="O138">
            <v>36234</v>
          </cell>
          <cell r="P138">
            <v>36318</v>
          </cell>
          <cell r="Q138">
            <v>300</v>
          </cell>
          <cell r="R138">
            <v>12</v>
          </cell>
          <cell r="S138">
            <v>84</v>
          </cell>
          <cell r="T138"/>
          <cell r="U138"/>
          <cell r="V138"/>
        </row>
        <row r="139">
          <cell r="A139" t="str">
            <v>Wks</v>
          </cell>
          <cell r="B139" t="str">
            <v>Days</v>
          </cell>
          <cell r="C139" t="str">
            <v>Wks</v>
          </cell>
          <cell r="D139" t="str">
            <v>Days</v>
          </cell>
          <cell r="E139" t="str">
            <v>UNITS</v>
          </cell>
          <cell r="F139" t="str">
            <v>Wks</v>
          </cell>
          <cell r="G139" t="str">
            <v>Days</v>
          </cell>
          <cell r="H139" t="str">
            <v>ALPHA</v>
          </cell>
          <cell r="I139" t="str">
            <v>BETA</v>
          </cell>
          <cell r="J139" t="str">
            <v>RTM</v>
          </cell>
          <cell r="N139" t="str">
            <v>Animation Projection</v>
          </cell>
          <cell r="O139">
            <v>36248</v>
          </cell>
          <cell r="P139">
            <v>36348</v>
          </cell>
          <cell r="Q139">
            <v>300</v>
          </cell>
          <cell r="R139">
            <v>15</v>
          </cell>
          <cell r="S139">
            <v>100</v>
          </cell>
          <cell r="T139"/>
          <cell r="U139"/>
          <cell r="V139"/>
        </row>
        <row r="140">
          <cell r="A140">
            <v>10</v>
          </cell>
          <cell r="B140">
            <v>84</v>
          </cell>
          <cell r="C140">
            <v>10</v>
          </cell>
          <cell r="D140">
            <v>100</v>
          </cell>
          <cell r="E140">
            <v>3000</v>
          </cell>
          <cell r="F140">
            <v>10</v>
          </cell>
          <cell r="G140">
            <v>84</v>
          </cell>
          <cell r="H140">
            <v>21</v>
          </cell>
          <cell r="I140">
            <v>29</v>
          </cell>
          <cell r="J140">
            <v>29</v>
          </cell>
          <cell r="K140">
            <v>29</v>
          </cell>
          <cell r="N140" t="str">
            <v>Ink &amp; Paint Projection</v>
          </cell>
          <cell r="O140">
            <v>36278</v>
          </cell>
          <cell r="P140">
            <v>36362</v>
          </cell>
          <cell r="Q140">
            <v>300</v>
          </cell>
          <cell r="R140">
            <v>12</v>
          </cell>
          <cell r="S140">
            <v>84</v>
          </cell>
          <cell r="T140"/>
          <cell r="U140"/>
          <cell r="V140"/>
        </row>
        <row r="141">
          <cell r="B141">
            <v>14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O141" t="str">
            <v>PROJECTED RTM</v>
          </cell>
          <cell r="Q141">
            <v>36441</v>
          </cell>
          <cell r="R141">
            <v>147</v>
          </cell>
          <cell r="S141">
            <v>70</v>
          </cell>
        </row>
        <row r="142">
          <cell r="O142" t="str">
            <v>PROJECTED STREET</v>
          </cell>
          <cell r="Q142">
            <v>36471</v>
          </cell>
        </row>
        <row r="143">
          <cell r="O143" t="str">
            <v>+ or - Scheduled Date</v>
          </cell>
          <cell r="Q143">
            <v>0</v>
          </cell>
        </row>
        <row r="146">
          <cell r="N146" t="str">
            <v>DI PROJECT</v>
          </cell>
          <cell r="Q146">
            <v>3000</v>
          </cell>
          <cell r="R146" t="str">
            <v>WK Count</v>
          </cell>
          <cell r="S146" t="str">
            <v>Total Days</v>
          </cell>
        </row>
        <row r="147">
          <cell r="A147" t="str">
            <v>CALCULATION TABLE TO DRIVE GANTT CHART</v>
          </cell>
          <cell r="O147" t="str">
            <v>START</v>
          </cell>
          <cell r="P147" t="str">
            <v>END</v>
          </cell>
        </row>
        <row r="148">
          <cell r="A148" t="str">
            <v>PHASE 1</v>
          </cell>
          <cell r="C148" t="str">
            <v>PHASE 2</v>
          </cell>
          <cell r="F148" t="str">
            <v>PHASE 3</v>
          </cell>
          <cell r="L148" t="str">
            <v>RELEASE</v>
          </cell>
          <cell r="N148" t="str">
            <v>Prep Projection</v>
          </cell>
          <cell r="O148">
            <v>36318</v>
          </cell>
          <cell r="P148">
            <v>36402</v>
          </cell>
          <cell r="Q148">
            <v>300</v>
          </cell>
          <cell r="R148">
            <v>12</v>
          </cell>
          <cell r="S148">
            <v>84</v>
          </cell>
          <cell r="T148"/>
          <cell r="U148"/>
          <cell r="V148"/>
        </row>
        <row r="149">
          <cell r="A149" t="str">
            <v>Wks</v>
          </cell>
          <cell r="B149" t="str">
            <v>Days</v>
          </cell>
          <cell r="C149" t="str">
            <v>Wks</v>
          </cell>
          <cell r="D149" t="str">
            <v>Days</v>
          </cell>
          <cell r="E149" t="str">
            <v>UNITS</v>
          </cell>
          <cell r="F149" t="str">
            <v>Wks</v>
          </cell>
          <cell r="G149" t="str">
            <v>Days</v>
          </cell>
          <cell r="H149" t="str">
            <v>ALPHA</v>
          </cell>
          <cell r="I149" t="str">
            <v>BETA</v>
          </cell>
          <cell r="J149" t="str">
            <v>RTM</v>
          </cell>
          <cell r="N149" t="str">
            <v>Animation Projection</v>
          </cell>
          <cell r="O149">
            <v>36332</v>
          </cell>
          <cell r="P149">
            <v>36432</v>
          </cell>
          <cell r="Q149">
            <v>300</v>
          </cell>
          <cell r="R149">
            <v>15</v>
          </cell>
          <cell r="S149">
            <v>100</v>
          </cell>
          <cell r="T149"/>
          <cell r="U149"/>
          <cell r="V149"/>
        </row>
        <row r="150">
          <cell r="A150">
            <v>10</v>
          </cell>
          <cell r="B150">
            <v>84</v>
          </cell>
          <cell r="C150">
            <v>10</v>
          </cell>
          <cell r="D150">
            <v>100</v>
          </cell>
          <cell r="E150">
            <v>3000</v>
          </cell>
          <cell r="F150">
            <v>10</v>
          </cell>
          <cell r="G150">
            <v>84</v>
          </cell>
          <cell r="H150">
            <v>21</v>
          </cell>
          <cell r="I150">
            <v>29</v>
          </cell>
          <cell r="J150">
            <v>29</v>
          </cell>
          <cell r="K150">
            <v>29</v>
          </cell>
          <cell r="N150" t="str">
            <v>Ink &amp; Paint Projection</v>
          </cell>
          <cell r="O150">
            <v>36362</v>
          </cell>
          <cell r="P150">
            <v>36446</v>
          </cell>
          <cell r="Q150">
            <v>300</v>
          </cell>
          <cell r="R150">
            <v>12</v>
          </cell>
          <cell r="S150">
            <v>84</v>
          </cell>
          <cell r="T150"/>
          <cell r="U150"/>
          <cell r="V150"/>
        </row>
        <row r="151">
          <cell r="B151">
            <v>14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O151" t="str">
            <v>PROJECTED RTM</v>
          </cell>
          <cell r="Q151">
            <v>36525</v>
          </cell>
          <cell r="R151">
            <v>147</v>
          </cell>
          <cell r="S151">
            <v>70</v>
          </cell>
        </row>
        <row r="152">
          <cell r="O152" t="str">
            <v>PROJECTED STREET</v>
          </cell>
          <cell r="Q152">
            <v>36555</v>
          </cell>
        </row>
        <row r="153">
          <cell r="O153" t="str">
            <v>+ or - Scheduled Date</v>
          </cell>
          <cell r="Q153">
            <v>0</v>
          </cell>
        </row>
        <row r="156">
          <cell r="N156" t="str">
            <v>DI PROJECT</v>
          </cell>
          <cell r="Q156">
            <v>3000</v>
          </cell>
          <cell r="R156" t="str">
            <v>WK Count</v>
          </cell>
          <cell r="S156" t="str">
            <v>Total Days</v>
          </cell>
        </row>
        <row r="157">
          <cell r="A157" t="str">
            <v>CALCULATION TABLE TO DRIVE GANTT CHART</v>
          </cell>
          <cell r="O157" t="str">
            <v>START</v>
          </cell>
          <cell r="P157" t="str">
            <v>END</v>
          </cell>
        </row>
        <row r="158">
          <cell r="A158" t="str">
            <v>PHASE 1</v>
          </cell>
          <cell r="C158" t="str">
            <v>PHASE 2</v>
          </cell>
          <cell r="F158" t="str">
            <v>PHASE 3</v>
          </cell>
          <cell r="L158" t="str">
            <v>RELEASE</v>
          </cell>
          <cell r="N158" t="str">
            <v>Prep Projection</v>
          </cell>
          <cell r="O158">
            <v>36402</v>
          </cell>
          <cell r="P158">
            <v>36486</v>
          </cell>
          <cell r="Q158">
            <v>300</v>
          </cell>
          <cell r="R158">
            <v>12</v>
          </cell>
          <cell r="S158">
            <v>84</v>
          </cell>
          <cell r="T158"/>
          <cell r="U158"/>
          <cell r="V158"/>
        </row>
        <row r="159">
          <cell r="A159" t="str">
            <v>Wks</v>
          </cell>
          <cell r="B159" t="str">
            <v>Days</v>
          </cell>
          <cell r="C159" t="str">
            <v>Wks</v>
          </cell>
          <cell r="D159" t="str">
            <v>Days</v>
          </cell>
          <cell r="E159" t="str">
            <v>UNITS</v>
          </cell>
          <cell r="F159" t="str">
            <v>Wks</v>
          </cell>
          <cell r="G159" t="str">
            <v>Days</v>
          </cell>
          <cell r="H159" t="str">
            <v>ALPHA</v>
          </cell>
          <cell r="I159" t="str">
            <v>BETA</v>
          </cell>
          <cell r="J159" t="str">
            <v>RTM</v>
          </cell>
          <cell r="N159" t="str">
            <v>Animation Projection</v>
          </cell>
          <cell r="O159">
            <v>36416</v>
          </cell>
          <cell r="P159">
            <v>36516</v>
          </cell>
          <cell r="Q159">
            <v>300</v>
          </cell>
          <cell r="R159">
            <v>15</v>
          </cell>
          <cell r="S159">
            <v>100</v>
          </cell>
          <cell r="T159"/>
          <cell r="U159"/>
          <cell r="V159"/>
        </row>
        <row r="160">
          <cell r="A160">
            <v>10</v>
          </cell>
          <cell r="B160">
            <v>84</v>
          </cell>
          <cell r="C160">
            <v>10</v>
          </cell>
          <cell r="D160">
            <v>100</v>
          </cell>
          <cell r="E160">
            <v>3000</v>
          </cell>
          <cell r="F160">
            <v>10</v>
          </cell>
          <cell r="G160">
            <v>84</v>
          </cell>
          <cell r="H160">
            <v>21</v>
          </cell>
          <cell r="I160">
            <v>29</v>
          </cell>
          <cell r="J160">
            <v>29</v>
          </cell>
          <cell r="K160">
            <v>29</v>
          </cell>
          <cell r="N160" t="str">
            <v>Ink &amp; Paint Projection</v>
          </cell>
          <cell r="O160">
            <v>36446</v>
          </cell>
          <cell r="P160">
            <v>36530</v>
          </cell>
          <cell r="Q160">
            <v>300</v>
          </cell>
          <cell r="R160">
            <v>12</v>
          </cell>
          <cell r="S160">
            <v>84</v>
          </cell>
          <cell r="T160"/>
          <cell r="U160"/>
          <cell r="V160"/>
        </row>
        <row r="161">
          <cell r="B161">
            <v>14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O161" t="str">
            <v>PROJECTED RTM</v>
          </cell>
          <cell r="Q161">
            <v>36609</v>
          </cell>
          <cell r="R161">
            <v>147</v>
          </cell>
          <cell r="S161">
            <v>70</v>
          </cell>
        </row>
        <row r="162">
          <cell r="O162" t="str">
            <v>PROJECTED STREET</v>
          </cell>
          <cell r="Q162">
            <v>36639</v>
          </cell>
        </row>
        <row r="163">
          <cell r="O163" t="str">
            <v>+ or - Scheduled Date</v>
          </cell>
          <cell r="Q163">
            <v>0</v>
          </cell>
        </row>
        <row r="165">
          <cell r="N165" t="str">
            <v>FORCAST</v>
          </cell>
          <cell r="Q165" t="str">
            <v>DATE</v>
          </cell>
          <cell r="T165">
            <v>36164</v>
          </cell>
          <cell r="U165">
            <v>36171</v>
          </cell>
          <cell r="V165">
            <v>36178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9"/>
  <sheetViews>
    <sheetView showGridLines="0" tabSelected="1" zoomScale="140" zoomScaleNormal="100" workbookViewId="0">
      <selection activeCell="L9" sqref="L9"/>
    </sheetView>
  </sheetViews>
  <sheetFormatPr defaultColWidth="8.81640625" defaultRowHeight="14.5" x14ac:dyDescent="0.35"/>
  <cols>
    <col min="1" max="1" width="14.453125" customWidth="1"/>
    <col min="2" max="2" width="4.36328125" bestFit="1" customWidth="1"/>
    <col min="3" max="5" width="5.1796875" bestFit="1" customWidth="1"/>
    <col min="6" max="8" width="5" bestFit="1" customWidth="1"/>
    <col min="9" max="9" width="4.1796875" bestFit="1" customWidth="1"/>
    <col min="10" max="11" width="4.36328125" bestFit="1" customWidth="1"/>
    <col min="12" max="13" width="4.453125" bestFit="1" customWidth="1"/>
    <col min="14" max="14" width="14.453125" customWidth="1"/>
  </cols>
  <sheetData>
    <row r="2" spans="1:14" x14ac:dyDescent="0.35">
      <c r="A2" s="57" t="s">
        <v>83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</row>
    <row r="3" spans="1:14" ht="29" x14ac:dyDescent="0.35">
      <c r="A3" s="44" t="s">
        <v>65</v>
      </c>
      <c r="B3" s="44" t="s">
        <v>66</v>
      </c>
      <c r="C3" s="44" t="s">
        <v>67</v>
      </c>
      <c r="D3" s="44" t="s">
        <v>68</v>
      </c>
      <c r="E3" s="44" t="s">
        <v>69</v>
      </c>
      <c r="F3" s="44" t="s">
        <v>70</v>
      </c>
      <c r="G3" s="44" t="s">
        <v>71</v>
      </c>
      <c r="H3" s="44" t="s">
        <v>72</v>
      </c>
      <c r="I3" s="44" t="s">
        <v>73</v>
      </c>
      <c r="J3" s="44" t="s">
        <v>74</v>
      </c>
      <c r="K3" s="44" t="s">
        <v>75</v>
      </c>
      <c r="L3" s="44" t="s">
        <v>76</v>
      </c>
      <c r="M3" s="44" t="s">
        <v>77</v>
      </c>
      <c r="N3" s="46" t="s">
        <v>85</v>
      </c>
    </row>
    <row r="4" spans="1:14" x14ac:dyDescent="0.35">
      <c r="A4" s="45" t="s">
        <v>78</v>
      </c>
      <c r="B4" s="45">
        <v>120</v>
      </c>
      <c r="C4" s="45">
        <v>135</v>
      </c>
      <c r="D4" s="45">
        <v>118</v>
      </c>
      <c r="E4" s="45">
        <v>160</v>
      </c>
      <c r="F4" s="45">
        <v>175</v>
      </c>
      <c r="G4" s="45">
        <v>190</v>
      </c>
      <c r="H4" s="45">
        <v>205</v>
      </c>
      <c r="I4" s="45">
        <v>180</v>
      </c>
      <c r="J4" s="45">
        <v>210</v>
      </c>
      <c r="K4" s="45">
        <v>230</v>
      </c>
      <c r="L4" s="45">
        <v>245</v>
      </c>
      <c r="M4" s="45">
        <v>260</v>
      </c>
      <c r="N4" s="8"/>
    </row>
    <row r="5" spans="1:14" x14ac:dyDescent="0.35">
      <c r="A5" s="45" t="s">
        <v>79</v>
      </c>
      <c r="B5" s="45">
        <v>95</v>
      </c>
      <c r="C5" s="45">
        <v>110</v>
      </c>
      <c r="D5" s="45">
        <v>130</v>
      </c>
      <c r="E5" s="45">
        <v>125</v>
      </c>
      <c r="F5" s="45">
        <v>115</v>
      </c>
      <c r="G5" s="45">
        <v>140</v>
      </c>
      <c r="H5" s="45">
        <v>150</v>
      </c>
      <c r="I5" s="45">
        <v>145</v>
      </c>
      <c r="J5" s="45">
        <v>130</v>
      </c>
      <c r="K5" s="45">
        <v>160</v>
      </c>
      <c r="L5" s="45">
        <v>155</v>
      </c>
      <c r="M5" s="45">
        <v>170</v>
      </c>
      <c r="N5" s="8"/>
    </row>
    <row r="6" spans="1:14" x14ac:dyDescent="0.35">
      <c r="A6" s="45" t="s">
        <v>80</v>
      </c>
      <c r="B6" s="45">
        <v>200</v>
      </c>
      <c r="C6" s="45">
        <v>180</v>
      </c>
      <c r="D6" s="45">
        <v>210</v>
      </c>
      <c r="E6" s="45">
        <v>190</v>
      </c>
      <c r="F6" s="45">
        <v>185</v>
      </c>
      <c r="G6" s="45">
        <v>170</v>
      </c>
      <c r="H6" s="45">
        <v>175</v>
      </c>
      <c r="I6" s="45">
        <v>160</v>
      </c>
      <c r="J6" s="45">
        <v>195</v>
      </c>
      <c r="K6" s="45">
        <v>185</v>
      </c>
      <c r="L6" s="45">
        <v>210</v>
      </c>
      <c r="M6" s="45">
        <v>220</v>
      </c>
      <c r="N6" s="8"/>
    </row>
    <row r="7" spans="1:14" x14ac:dyDescent="0.35">
      <c r="A7" s="45" t="s">
        <v>81</v>
      </c>
      <c r="B7" s="45">
        <v>70</v>
      </c>
      <c r="C7" s="45">
        <v>80</v>
      </c>
      <c r="D7" s="45">
        <v>85</v>
      </c>
      <c r="E7" s="45">
        <v>90</v>
      </c>
      <c r="F7" s="45">
        <v>110</v>
      </c>
      <c r="G7" s="45">
        <v>105</v>
      </c>
      <c r="H7" s="45">
        <v>115</v>
      </c>
      <c r="I7" s="45">
        <v>130</v>
      </c>
      <c r="J7" s="45">
        <v>125</v>
      </c>
      <c r="K7" s="45">
        <v>140</v>
      </c>
      <c r="L7" s="45">
        <v>150</v>
      </c>
      <c r="M7" s="45">
        <v>165</v>
      </c>
      <c r="N7" s="8"/>
    </row>
    <row r="8" spans="1:14" x14ac:dyDescent="0.35">
      <c r="A8" s="45" t="s">
        <v>82</v>
      </c>
      <c r="B8" s="45">
        <v>150</v>
      </c>
      <c r="C8" s="45">
        <v>145</v>
      </c>
      <c r="D8" s="45">
        <v>150</v>
      </c>
      <c r="E8" s="45">
        <v>148</v>
      </c>
      <c r="F8" s="45">
        <v>152</v>
      </c>
      <c r="G8" s="45">
        <v>149</v>
      </c>
      <c r="H8" s="45">
        <v>151</v>
      </c>
      <c r="I8" s="45">
        <v>153</v>
      </c>
      <c r="J8" s="45">
        <v>147</v>
      </c>
      <c r="K8" s="45">
        <v>150</v>
      </c>
      <c r="L8" s="45">
        <v>152</v>
      </c>
      <c r="M8" s="45">
        <v>155</v>
      </c>
      <c r="N8" s="8"/>
    </row>
    <row r="9" spans="1:14" ht="32" customHeight="1" x14ac:dyDescent="0.35">
      <c r="A9" s="46" t="s">
        <v>84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</sheetData>
  <mergeCells count="1">
    <mergeCell ref="A2:M2"/>
  </mergeCells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6469D4B0-16EF-487C-9818-C2DBB156FA1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Спарклайны!B4:M4</xm:f>
              <xm:sqref>N4</xm:sqref>
            </x14:sparkline>
            <x14:sparkline>
              <xm:f>Спарклайны!B5:M5</xm:f>
              <xm:sqref>N5</xm:sqref>
            </x14:sparkline>
            <x14:sparkline>
              <xm:f>Спарклайны!B6:M6</xm:f>
              <xm:sqref>N6</xm:sqref>
            </x14:sparkline>
            <x14:sparkline>
              <xm:f>Спарклайны!B7:M7</xm:f>
              <xm:sqref>N7</xm:sqref>
            </x14:sparkline>
            <x14:sparkline>
              <xm:f>Спарклайны!B8:M8</xm:f>
              <xm:sqref>N8</xm:sqref>
            </x14:sparkline>
          </x14:sparklines>
        </x14:sparklineGroup>
        <x14:sparklineGroup type="column" displayEmptyCellsAs="gap" high="1" low="1" xr2:uid="{F74306C4-252F-4664-9572-C84A4EE7D82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Спарклайны!B4:B8</xm:f>
              <xm:sqref>B9</xm:sqref>
            </x14:sparkline>
            <x14:sparkline>
              <xm:f>Спарклайны!C4:C8</xm:f>
              <xm:sqref>C9</xm:sqref>
            </x14:sparkline>
            <x14:sparkline>
              <xm:f>Спарклайны!D4:D8</xm:f>
              <xm:sqref>D9</xm:sqref>
            </x14:sparkline>
            <x14:sparkline>
              <xm:f>Спарклайны!E4:E8</xm:f>
              <xm:sqref>E9</xm:sqref>
            </x14:sparkline>
            <x14:sparkline>
              <xm:f>Спарклайны!F4:F8</xm:f>
              <xm:sqref>F9</xm:sqref>
            </x14:sparkline>
            <x14:sparkline>
              <xm:f>Спарклайны!G4:G8</xm:f>
              <xm:sqref>G9</xm:sqref>
            </x14:sparkline>
            <x14:sparkline>
              <xm:f>Спарклайны!H4:H8</xm:f>
              <xm:sqref>H9</xm:sqref>
            </x14:sparkline>
            <x14:sparkline>
              <xm:f>Спарклайны!I4:I8</xm:f>
              <xm:sqref>I9</xm:sqref>
            </x14:sparkline>
            <x14:sparkline>
              <xm:f>Спарклайны!J4:J8</xm:f>
              <xm:sqref>J9</xm:sqref>
            </x14:sparkline>
            <x14:sparkline>
              <xm:f>Спарклайны!K4:K8</xm:f>
              <xm:sqref>K9</xm:sqref>
            </x14:sparkline>
            <x14:sparkline>
              <xm:f>Спарклайны!L4:L8</xm:f>
              <xm:sqref>L9</xm:sqref>
            </x14:sparkline>
            <x14:sparkline>
              <xm:f>Спарклайны!M4:M8</xm:f>
              <xm:sqref>M9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showGridLines="0" workbookViewId="0">
      <selection activeCell="O9" sqref="O9"/>
    </sheetView>
  </sheetViews>
  <sheetFormatPr defaultColWidth="9.1796875" defaultRowHeight="12.5" x14ac:dyDescent="0.25"/>
  <cols>
    <col min="1" max="16384" width="9.1796875" style="2"/>
  </cols>
  <sheetData>
    <row r="1" spans="1:10" ht="17.5" x14ac:dyDescent="0.35">
      <c r="D1" s="4"/>
    </row>
    <row r="4" spans="1:10" ht="17.5" x14ac:dyDescent="0.35">
      <c r="A4" s="5"/>
      <c r="B4" s="47"/>
      <c r="C4" s="6"/>
      <c r="D4" s="6"/>
    </row>
    <row r="5" spans="1:10" x14ac:dyDescent="0.25">
      <c r="B5" s="6"/>
      <c r="C5" s="6"/>
      <c r="D5" s="6"/>
    </row>
    <row r="6" spans="1:10" x14ac:dyDescent="0.25">
      <c r="B6" s="47"/>
      <c r="C6" s="6"/>
      <c r="D6" s="6"/>
    </row>
    <row r="7" spans="1:10" ht="20" x14ac:dyDescent="0.4">
      <c r="B7" s="6"/>
      <c r="C7" s="6"/>
      <c r="D7" s="6"/>
      <c r="G7" s="1"/>
      <c r="J7" s="3"/>
    </row>
    <row r="8" spans="1:10" ht="15.5" x14ac:dyDescent="0.35">
      <c r="A8" s="11" t="s">
        <v>0</v>
      </c>
      <c r="B8" s="11" t="s">
        <v>86</v>
      </c>
      <c r="C8" s="11" t="s">
        <v>87</v>
      </c>
      <c r="D8" s="6"/>
      <c r="G8" s="1"/>
    </row>
    <row r="9" spans="1:10" x14ac:dyDescent="0.25">
      <c r="A9" s="2">
        <v>-5</v>
      </c>
      <c r="B9" s="6">
        <f>SIN(2*A9)</f>
        <v>0.54402111088936977</v>
      </c>
      <c r="C9" s="6">
        <f>2*COS(A9)</f>
        <v>0.56732437092645249</v>
      </c>
      <c r="D9" s="6"/>
    </row>
    <row r="10" spans="1:10" x14ac:dyDescent="0.25">
      <c r="A10" s="2">
        <f>A9+1</f>
        <v>-4</v>
      </c>
      <c r="B10" s="6">
        <f t="shared" ref="B10:B19" si="0">SIN(2*A10)</f>
        <v>-0.98935824662338179</v>
      </c>
      <c r="C10" s="6">
        <f t="shared" ref="C10:C19" si="1">2*COS(A10)</f>
        <v>-1.3072872417272239</v>
      </c>
      <c r="D10" s="6"/>
    </row>
    <row r="11" spans="1:10" x14ac:dyDescent="0.25">
      <c r="A11" s="2">
        <f t="shared" ref="A11:A19" si="2">A10+1</f>
        <v>-3</v>
      </c>
      <c r="B11" s="6">
        <f t="shared" si="0"/>
        <v>0.27941549819892586</v>
      </c>
      <c r="C11" s="6">
        <f t="shared" si="1"/>
        <v>-1.9799849932008908</v>
      </c>
      <c r="D11" s="6"/>
    </row>
    <row r="12" spans="1:10" x14ac:dyDescent="0.25">
      <c r="A12" s="2">
        <f t="shared" si="2"/>
        <v>-2</v>
      </c>
      <c r="B12" s="6">
        <f t="shared" si="0"/>
        <v>0.7568024953079282</v>
      </c>
      <c r="C12" s="6">
        <f t="shared" si="1"/>
        <v>-0.83229367309428481</v>
      </c>
    </row>
    <row r="13" spans="1:10" x14ac:dyDescent="0.25">
      <c r="A13" s="2">
        <f t="shared" si="2"/>
        <v>-1</v>
      </c>
      <c r="B13" s="6">
        <f t="shared" si="0"/>
        <v>-0.90929742682568171</v>
      </c>
      <c r="C13" s="6">
        <f t="shared" si="1"/>
        <v>1.0806046117362795</v>
      </c>
      <c r="D13" s="6"/>
    </row>
    <row r="14" spans="1:10" x14ac:dyDescent="0.25">
      <c r="A14" s="2">
        <f t="shared" si="2"/>
        <v>0</v>
      </c>
      <c r="B14" s="6">
        <f t="shared" si="0"/>
        <v>0</v>
      </c>
      <c r="C14" s="6">
        <f t="shared" si="1"/>
        <v>2</v>
      </c>
      <c r="D14" s="6"/>
    </row>
    <row r="15" spans="1:10" x14ac:dyDescent="0.25">
      <c r="A15" s="2">
        <f t="shared" si="2"/>
        <v>1</v>
      </c>
      <c r="B15" s="6">
        <f t="shared" si="0"/>
        <v>0.90929742682568171</v>
      </c>
      <c r="C15" s="6">
        <f t="shared" si="1"/>
        <v>1.0806046117362795</v>
      </c>
      <c r="D15" s="6"/>
    </row>
    <row r="16" spans="1:10" x14ac:dyDescent="0.25">
      <c r="A16" s="2">
        <f t="shared" si="2"/>
        <v>2</v>
      </c>
      <c r="B16" s="6">
        <f t="shared" si="0"/>
        <v>-0.7568024953079282</v>
      </c>
      <c r="C16" s="6">
        <f t="shared" si="1"/>
        <v>-0.83229367309428481</v>
      </c>
      <c r="D16" s="6"/>
    </row>
    <row r="17" spans="1:4" x14ac:dyDescent="0.25">
      <c r="A17" s="2">
        <f t="shared" si="2"/>
        <v>3</v>
      </c>
      <c r="B17" s="6">
        <f t="shared" si="0"/>
        <v>-0.27941549819892586</v>
      </c>
      <c r="C17" s="6">
        <f t="shared" si="1"/>
        <v>-1.9799849932008908</v>
      </c>
      <c r="D17" s="6"/>
    </row>
    <row r="18" spans="1:4" x14ac:dyDescent="0.25">
      <c r="A18" s="2">
        <f t="shared" si="2"/>
        <v>4</v>
      </c>
      <c r="B18" s="6">
        <f t="shared" si="0"/>
        <v>0.98935824662338179</v>
      </c>
      <c r="C18" s="6">
        <f t="shared" si="1"/>
        <v>-1.3072872417272239</v>
      </c>
      <c r="D18" s="6"/>
    </row>
    <row r="19" spans="1:4" x14ac:dyDescent="0.25">
      <c r="A19" s="2">
        <f t="shared" si="2"/>
        <v>5</v>
      </c>
      <c r="B19" s="6">
        <f t="shared" si="0"/>
        <v>-0.54402111088936977</v>
      </c>
      <c r="C19" s="6">
        <f t="shared" si="1"/>
        <v>0.56732437092645249</v>
      </c>
      <c r="D19" s="6"/>
    </row>
    <row r="20" spans="1:4" x14ac:dyDescent="0.25">
      <c r="B20" s="47"/>
      <c r="C20" s="6"/>
      <c r="D20" s="6"/>
    </row>
    <row r="21" spans="1:4" x14ac:dyDescent="0.25">
      <c r="B21" s="6"/>
      <c r="C21" s="6"/>
      <c r="D21" s="6"/>
    </row>
    <row r="22" spans="1:4" x14ac:dyDescent="0.25">
      <c r="B22" s="47"/>
      <c r="C22" s="6"/>
      <c r="D22" s="6"/>
    </row>
    <row r="23" spans="1:4" x14ac:dyDescent="0.25">
      <c r="B23" s="6"/>
      <c r="C23" s="6"/>
      <c r="D23" s="6"/>
    </row>
    <row r="24" spans="1:4" x14ac:dyDescent="0.25">
      <c r="B24" s="47"/>
      <c r="C24" s="6"/>
      <c r="D24" s="6"/>
    </row>
    <row r="25" spans="1:4" x14ac:dyDescent="0.25">
      <c r="B25" s="6"/>
      <c r="C25" s="6"/>
      <c r="D25" s="6"/>
    </row>
  </sheetData>
  <pageMargins left="0.75" right="0.75" top="1" bottom="1" header="0.5" footer="0.5"/>
  <pageSetup paperSize="9" orientation="portrait" horizontalDpi="4294967293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11"/>
  <sheetViews>
    <sheetView showGridLines="0" topLeftCell="C3" zoomScale="93" zoomScaleNormal="100" workbookViewId="0">
      <selection activeCell="Q17" sqref="Q17"/>
    </sheetView>
  </sheetViews>
  <sheetFormatPr defaultColWidth="9.1796875" defaultRowHeight="12.5" x14ac:dyDescent="0.25"/>
  <cols>
    <col min="1" max="2" width="9.1796875" style="2"/>
    <col min="3" max="3" width="12.81640625" style="2" bestFit="1" customWidth="1"/>
    <col min="4" max="4" width="12.6328125" style="2" customWidth="1"/>
    <col min="5" max="16384" width="9.1796875" style="2"/>
  </cols>
  <sheetData>
    <row r="1" spans="2:4" ht="13" x14ac:dyDescent="0.3">
      <c r="B1" s="7"/>
    </row>
    <row r="2" spans="2:4" ht="15.5" x14ac:dyDescent="0.35">
      <c r="B2" s="1"/>
    </row>
    <row r="3" spans="2:4" ht="15.5" x14ac:dyDescent="0.35">
      <c r="B3" s="1"/>
    </row>
    <row r="4" spans="2:4" ht="42" customHeight="1" x14ac:dyDescent="0.25">
      <c r="B4" s="58" t="s">
        <v>4</v>
      </c>
      <c r="C4" s="60" t="s">
        <v>5</v>
      </c>
      <c r="D4" s="60" t="s">
        <v>6</v>
      </c>
    </row>
    <row r="5" spans="2:4" ht="13" customHeight="1" x14ac:dyDescent="0.25">
      <c r="B5" s="59"/>
      <c r="C5" s="61"/>
      <c r="D5" s="61"/>
    </row>
    <row r="6" spans="2:4" ht="15.5" x14ac:dyDescent="0.25">
      <c r="B6" s="48" t="s">
        <v>3</v>
      </c>
      <c r="C6" s="49">
        <v>42730</v>
      </c>
      <c r="D6" s="48">
        <v>60</v>
      </c>
    </row>
    <row r="7" spans="2:4" ht="15.5" x14ac:dyDescent="0.25">
      <c r="B7" s="48" t="s">
        <v>2</v>
      </c>
      <c r="C7" s="49">
        <v>34613</v>
      </c>
      <c r="D7" s="48">
        <v>65</v>
      </c>
    </row>
    <row r="8" spans="2:4" ht="15.5" x14ac:dyDescent="0.25">
      <c r="B8" s="48" t="s">
        <v>7</v>
      </c>
      <c r="C8" s="49">
        <v>24765</v>
      </c>
      <c r="D8" s="48">
        <v>67</v>
      </c>
    </row>
    <row r="9" spans="2:4" ht="15.5" x14ac:dyDescent="0.25">
      <c r="B9" s="48" t="s">
        <v>8</v>
      </c>
      <c r="C9" s="49">
        <v>46132</v>
      </c>
      <c r="D9" s="48">
        <v>65</v>
      </c>
    </row>
    <row r="10" spans="2:4" ht="15.5" x14ac:dyDescent="0.25">
      <c r="B10" s="48" t="s">
        <v>9</v>
      </c>
      <c r="C10" s="49">
        <v>19873</v>
      </c>
      <c r="D10" s="48">
        <v>65</v>
      </c>
    </row>
    <row r="11" spans="2:4" ht="15.5" x14ac:dyDescent="0.25">
      <c r="B11" s="48" t="s">
        <v>1</v>
      </c>
      <c r="C11" s="49">
        <v>15847</v>
      </c>
      <c r="D11" s="48">
        <v>60</v>
      </c>
    </row>
  </sheetData>
  <mergeCells count="3">
    <mergeCell ref="B4:B5"/>
    <mergeCell ref="C4:C5"/>
    <mergeCell ref="D4:D5"/>
  </mergeCells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D8"/>
  <sheetViews>
    <sheetView showGridLines="0" zoomScale="121" workbookViewId="0">
      <selection activeCell="O16" sqref="O16"/>
    </sheetView>
  </sheetViews>
  <sheetFormatPr defaultColWidth="9.1796875" defaultRowHeight="12.5" x14ac:dyDescent="0.25"/>
  <cols>
    <col min="1" max="1" width="9.1796875" style="2"/>
    <col min="2" max="2" width="16.453125" style="2" bestFit="1" customWidth="1"/>
    <col min="3" max="16384" width="9.1796875" style="2"/>
  </cols>
  <sheetData>
    <row r="3" spans="2:4" ht="15.5" x14ac:dyDescent="0.35">
      <c r="B3" s="50" t="s">
        <v>95</v>
      </c>
      <c r="C3" s="51" t="s">
        <v>88</v>
      </c>
      <c r="D3" s="51" t="s">
        <v>89</v>
      </c>
    </row>
    <row r="4" spans="2:4" ht="15.5" x14ac:dyDescent="0.35">
      <c r="B4" s="50" t="s">
        <v>90</v>
      </c>
      <c r="C4" s="50">
        <v>1890</v>
      </c>
      <c r="D4" s="50">
        <v>1000</v>
      </c>
    </row>
    <row r="5" spans="2:4" ht="15.5" x14ac:dyDescent="0.35">
      <c r="B5" s="50" t="s">
        <v>91</v>
      </c>
      <c r="C5" s="50">
        <v>1900</v>
      </c>
      <c r="D5" s="50">
        <v>1020</v>
      </c>
    </row>
    <row r="6" spans="2:4" ht="15.5" x14ac:dyDescent="0.35">
      <c r="B6" s="50" t="s">
        <v>92</v>
      </c>
      <c r="C6" s="50">
        <v>1100</v>
      </c>
      <c r="D6" s="50">
        <v>1180</v>
      </c>
    </row>
    <row r="7" spans="2:4" ht="15.5" x14ac:dyDescent="0.35">
      <c r="B7" s="50" t="s">
        <v>93</v>
      </c>
      <c r="C7" s="50">
        <v>1660</v>
      </c>
      <c r="D7" s="50">
        <v>1910</v>
      </c>
    </row>
    <row r="8" spans="2:4" ht="15.5" x14ac:dyDescent="0.35">
      <c r="B8" s="50" t="s">
        <v>94</v>
      </c>
      <c r="C8" s="50">
        <v>1190</v>
      </c>
      <c r="D8" s="50">
        <v>1880</v>
      </c>
    </row>
  </sheetData>
  <phoneticPr fontId="12" type="noConversion"/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5:C16"/>
  <sheetViews>
    <sheetView showGridLines="0" workbookViewId="0">
      <selection activeCell="M8" sqref="M8"/>
    </sheetView>
  </sheetViews>
  <sheetFormatPr defaultColWidth="9.1796875" defaultRowHeight="12.5" x14ac:dyDescent="0.25"/>
  <cols>
    <col min="1" max="1" width="9.1796875" style="2"/>
    <col min="2" max="2" width="15.453125" style="2" customWidth="1"/>
    <col min="3" max="3" width="25.1796875" style="2" customWidth="1"/>
    <col min="4" max="4" width="22.81640625" style="2" customWidth="1"/>
    <col min="5" max="5" width="17.6328125" style="2" customWidth="1"/>
    <col min="6" max="16384" width="9.1796875" style="2"/>
  </cols>
  <sheetData>
    <row r="5" spans="2:3" ht="15.5" x14ac:dyDescent="0.25">
      <c r="B5" s="52" t="s">
        <v>11</v>
      </c>
      <c r="C5" s="52" t="s">
        <v>23</v>
      </c>
    </row>
    <row r="6" spans="2:3" ht="15.5" x14ac:dyDescent="0.35">
      <c r="B6" s="53" t="s">
        <v>12</v>
      </c>
      <c r="C6" s="54">
        <v>1680</v>
      </c>
    </row>
    <row r="7" spans="2:3" ht="15.5" x14ac:dyDescent="0.35">
      <c r="B7" s="53" t="s">
        <v>13</v>
      </c>
      <c r="C7" s="54">
        <v>1057</v>
      </c>
    </row>
    <row r="8" spans="2:3" ht="15.5" x14ac:dyDescent="0.35">
      <c r="B8" s="53" t="s">
        <v>14</v>
      </c>
      <c r="C8" s="54">
        <v>1120</v>
      </c>
    </row>
    <row r="9" spans="2:3" ht="15.5" x14ac:dyDescent="0.35">
      <c r="B9" s="53" t="s">
        <v>15</v>
      </c>
      <c r="C9" s="54">
        <v>976</v>
      </c>
    </row>
    <row r="10" spans="2:3" ht="15.5" x14ac:dyDescent="0.35">
      <c r="B10" s="53" t="s">
        <v>16</v>
      </c>
      <c r="C10" s="54">
        <v>380</v>
      </c>
    </row>
    <row r="11" spans="2:3" ht="15.5" x14ac:dyDescent="0.35">
      <c r="B11" s="53" t="s">
        <v>17</v>
      </c>
      <c r="C11" s="54">
        <v>290</v>
      </c>
    </row>
    <row r="12" spans="2:3" ht="15.5" x14ac:dyDescent="0.35">
      <c r="B12" s="53" t="s">
        <v>18</v>
      </c>
      <c r="C12" s="54">
        <v>1098</v>
      </c>
    </row>
    <row r="13" spans="2:3" ht="15.5" x14ac:dyDescent="0.35">
      <c r="B13" s="53" t="s">
        <v>19</v>
      </c>
      <c r="C13" s="54">
        <v>1540</v>
      </c>
    </row>
    <row r="14" spans="2:3" ht="15.5" x14ac:dyDescent="0.35">
      <c r="B14" s="53" t="s">
        <v>20</v>
      </c>
      <c r="C14" s="54">
        <v>1765</v>
      </c>
    </row>
    <row r="15" spans="2:3" ht="15.5" x14ac:dyDescent="0.35">
      <c r="B15" s="53" t="s">
        <v>21</v>
      </c>
      <c r="C15" s="54">
        <v>1233</v>
      </c>
    </row>
    <row r="16" spans="2:3" ht="15.5" x14ac:dyDescent="0.35">
      <c r="B16" s="53" t="s">
        <v>22</v>
      </c>
      <c r="C16" s="54">
        <v>234</v>
      </c>
    </row>
  </sheetData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CC3A5-EE1C-5247-AA01-B13AE936DA72}">
  <dimension ref="A2:B14"/>
  <sheetViews>
    <sheetView showGridLines="0" zoomScale="117" zoomScaleNormal="100" workbookViewId="0">
      <selection activeCell="A31" sqref="A31"/>
    </sheetView>
  </sheetViews>
  <sheetFormatPr defaultColWidth="10.90625" defaultRowHeight="14.5" x14ac:dyDescent="0.35"/>
  <cols>
    <col min="1" max="1" width="55.36328125" bestFit="1" customWidth="1"/>
    <col min="2" max="2" width="21.1796875" bestFit="1" customWidth="1"/>
  </cols>
  <sheetData>
    <row r="2" spans="1:2" ht="15.5" x14ac:dyDescent="0.35">
      <c r="A2" s="9" t="s">
        <v>24</v>
      </c>
      <c r="B2" s="9" t="s">
        <v>26</v>
      </c>
    </row>
    <row r="3" spans="1:2" x14ac:dyDescent="0.35">
      <c r="A3" t="s">
        <v>25</v>
      </c>
      <c r="B3">
        <v>1550</v>
      </c>
    </row>
    <row r="4" spans="1:2" x14ac:dyDescent="0.35">
      <c r="A4" t="s">
        <v>27</v>
      </c>
      <c r="B4">
        <v>-700</v>
      </c>
    </row>
    <row r="5" spans="1:2" x14ac:dyDescent="0.35">
      <c r="A5" t="s">
        <v>28</v>
      </c>
      <c r="B5">
        <v>-200</v>
      </c>
    </row>
    <row r="6" spans="1:2" x14ac:dyDescent="0.35">
      <c r="A6" t="s">
        <v>29</v>
      </c>
      <c r="B6">
        <v>-250</v>
      </c>
    </row>
    <row r="7" spans="1:2" x14ac:dyDescent="0.35">
      <c r="A7" t="s">
        <v>30</v>
      </c>
      <c r="B7">
        <v>350</v>
      </c>
    </row>
    <row r="8" spans="1:2" x14ac:dyDescent="0.35">
      <c r="A8" t="s">
        <v>32</v>
      </c>
      <c r="B8">
        <v>-100</v>
      </c>
    </row>
    <row r="9" spans="1:2" x14ac:dyDescent="0.35">
      <c r="A9" t="s">
        <v>31</v>
      </c>
      <c r="B9">
        <v>300</v>
      </c>
    </row>
    <row r="10" spans="1:2" x14ac:dyDescent="0.35">
      <c r="A10" t="s">
        <v>33</v>
      </c>
      <c r="B10">
        <v>200</v>
      </c>
    </row>
    <row r="11" spans="1:2" x14ac:dyDescent="0.35">
      <c r="A11" t="s">
        <v>34</v>
      </c>
      <c r="B11">
        <v>50</v>
      </c>
    </row>
    <row r="12" spans="1:2" x14ac:dyDescent="0.35">
      <c r="A12" t="s">
        <v>35</v>
      </c>
      <c r="B12">
        <v>-150</v>
      </c>
    </row>
    <row r="13" spans="1:2" x14ac:dyDescent="0.35">
      <c r="A13" t="s">
        <v>36</v>
      </c>
      <c r="B13">
        <v>100</v>
      </c>
    </row>
    <row r="14" spans="1:2" ht="15.5" x14ac:dyDescent="0.35">
      <c r="A14" s="55" t="s">
        <v>10</v>
      </c>
      <c r="B14" s="56">
        <f>SUM(B3:B13)</f>
        <v>1150</v>
      </c>
    </row>
  </sheetData>
  <phoneticPr fontId="1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396C7-44A8-FB48-B6F5-0DAFB233A1AD}">
  <dimension ref="A2:D19"/>
  <sheetViews>
    <sheetView showGridLines="0" workbookViewId="0">
      <selection activeCell="F39" sqref="F39"/>
    </sheetView>
  </sheetViews>
  <sheetFormatPr defaultColWidth="10.90625" defaultRowHeight="14.5" x14ac:dyDescent="0.35"/>
  <cols>
    <col min="1" max="1" width="37.1796875" bestFit="1" customWidth="1"/>
    <col min="2" max="2" width="14.36328125" bestFit="1" customWidth="1"/>
    <col min="3" max="3" width="14.36328125" customWidth="1"/>
    <col min="4" max="4" width="17.81640625" bestFit="1" customWidth="1"/>
  </cols>
  <sheetData>
    <row r="2" spans="1:4" ht="15.5" x14ac:dyDescent="0.35">
      <c r="A2" s="62" t="s">
        <v>37</v>
      </c>
      <c r="B2" s="62"/>
      <c r="C2" s="62"/>
      <c r="D2" s="62"/>
    </row>
    <row r="3" spans="1:4" ht="16" thickBot="1" x14ac:dyDescent="0.4">
      <c r="A3" s="12" t="s">
        <v>45</v>
      </c>
      <c r="B3" s="12" t="s">
        <v>38</v>
      </c>
      <c r="C3" s="12" t="s">
        <v>39</v>
      </c>
      <c r="D3" s="12" t="s">
        <v>40</v>
      </c>
    </row>
    <row r="4" spans="1:4" ht="15.5" x14ac:dyDescent="0.35">
      <c r="A4" s="13" t="s">
        <v>46</v>
      </c>
      <c r="B4" s="14" t="s">
        <v>41</v>
      </c>
      <c r="C4" s="15" t="s">
        <v>42</v>
      </c>
      <c r="D4" s="16">
        <v>1236</v>
      </c>
    </row>
    <row r="5" spans="1:4" ht="15.5" x14ac:dyDescent="0.35">
      <c r="A5" s="17"/>
      <c r="B5" s="18"/>
      <c r="C5" s="19" t="s">
        <v>43</v>
      </c>
      <c r="D5" s="20">
        <v>2200</v>
      </c>
    </row>
    <row r="6" spans="1:4" ht="16" thickBot="1" x14ac:dyDescent="0.4">
      <c r="A6" s="17"/>
      <c r="B6" s="21"/>
      <c r="C6" s="22" t="s">
        <v>64</v>
      </c>
      <c r="D6" s="23">
        <v>2790</v>
      </c>
    </row>
    <row r="7" spans="1:4" ht="15.5" x14ac:dyDescent="0.35">
      <c r="A7" s="17"/>
      <c r="B7" s="14" t="s">
        <v>44</v>
      </c>
      <c r="C7" s="15" t="s">
        <v>47</v>
      </c>
      <c r="D7" s="16">
        <v>2150</v>
      </c>
    </row>
    <row r="8" spans="1:4" ht="16" thickBot="1" x14ac:dyDescent="0.4">
      <c r="A8" s="17"/>
      <c r="B8" s="21"/>
      <c r="C8" s="22" t="s">
        <v>48</v>
      </c>
      <c r="D8" s="23">
        <v>1700</v>
      </c>
    </row>
    <row r="9" spans="1:4" ht="16" thickBot="1" x14ac:dyDescent="0.4">
      <c r="A9" s="17"/>
      <c r="B9" s="24" t="s">
        <v>49</v>
      </c>
      <c r="C9" s="25" t="s">
        <v>51</v>
      </c>
      <c r="D9" s="26">
        <v>3254</v>
      </c>
    </row>
    <row r="10" spans="1:4" ht="16" thickBot="1" x14ac:dyDescent="0.4">
      <c r="A10" s="17"/>
      <c r="B10" s="24" t="s">
        <v>50</v>
      </c>
      <c r="C10" s="25"/>
      <c r="D10" s="26">
        <v>4398</v>
      </c>
    </row>
    <row r="11" spans="1:4" ht="15.5" x14ac:dyDescent="0.35">
      <c r="A11" s="10" t="s">
        <v>52</v>
      </c>
      <c r="B11" s="27" t="s">
        <v>53</v>
      </c>
      <c r="C11" s="28" t="s">
        <v>54</v>
      </c>
      <c r="D11" s="29">
        <v>1700</v>
      </c>
    </row>
    <row r="12" spans="1:4" ht="15.5" x14ac:dyDescent="0.35">
      <c r="A12" s="10"/>
      <c r="B12" s="30"/>
      <c r="C12" s="31" t="s">
        <v>55</v>
      </c>
      <c r="D12" s="32">
        <v>1200</v>
      </c>
    </row>
    <row r="13" spans="1:4" ht="16" thickBot="1" x14ac:dyDescent="0.4">
      <c r="A13" s="10"/>
      <c r="B13" s="33"/>
      <c r="C13" s="34" t="s">
        <v>56</v>
      </c>
      <c r="D13" s="35">
        <v>890</v>
      </c>
    </row>
    <row r="14" spans="1:4" ht="16" thickBot="1" x14ac:dyDescent="0.4">
      <c r="A14" s="10"/>
      <c r="B14" s="36" t="s">
        <v>57</v>
      </c>
      <c r="C14" s="37"/>
      <c r="D14" s="38">
        <v>2656</v>
      </c>
    </row>
    <row r="15" spans="1:4" ht="16" thickBot="1" x14ac:dyDescent="0.4">
      <c r="A15" s="10"/>
      <c r="B15" s="36" t="s">
        <v>58</v>
      </c>
      <c r="C15" s="37"/>
      <c r="D15" s="38">
        <v>1984</v>
      </c>
    </row>
    <row r="16" spans="1:4" ht="16" thickBot="1" x14ac:dyDescent="0.4">
      <c r="A16" s="39" t="s">
        <v>59</v>
      </c>
      <c r="B16" s="40" t="s">
        <v>60</v>
      </c>
      <c r="C16" s="41"/>
      <c r="D16" s="42">
        <v>729</v>
      </c>
    </row>
    <row r="17" spans="1:4" ht="16" thickBot="1" x14ac:dyDescent="0.4">
      <c r="A17" s="39"/>
      <c r="B17" s="40" t="s">
        <v>61</v>
      </c>
      <c r="C17" s="41"/>
      <c r="D17" s="42">
        <v>450</v>
      </c>
    </row>
    <row r="18" spans="1:4" ht="16" thickBot="1" x14ac:dyDescent="0.4">
      <c r="A18" s="39"/>
      <c r="B18" s="40" t="s">
        <v>62</v>
      </c>
      <c r="C18" s="41"/>
      <c r="D18" s="42">
        <v>456</v>
      </c>
    </row>
    <row r="19" spans="1:4" ht="16" thickBot="1" x14ac:dyDescent="0.4">
      <c r="A19" s="43"/>
      <c r="B19" s="40" t="s">
        <v>63</v>
      </c>
      <c r="C19" s="41"/>
      <c r="D19" s="42">
        <v>651</v>
      </c>
    </row>
  </sheetData>
  <mergeCells count="1">
    <mergeCell ref="A2:D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Спарклайны</vt:lpstr>
      <vt:lpstr>Графики </vt:lpstr>
      <vt:lpstr>Комбинированная диаграмма</vt:lpstr>
      <vt:lpstr>Диаграмма с рис. </vt:lpstr>
      <vt:lpstr>Круговая диаграмма</vt:lpstr>
      <vt:lpstr>Каскадная диаграмма</vt:lpstr>
      <vt:lpstr>Иерархическая диаграмма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Пользователь MS Office</dc:creator>
  <cp:keywords/>
  <dc:description/>
  <cp:lastModifiedBy>Erland Adestio Sadana</cp:lastModifiedBy>
  <dcterms:created xsi:type="dcterms:W3CDTF">2015-03-21T09:11:12Z</dcterms:created>
  <dcterms:modified xsi:type="dcterms:W3CDTF">2026-04-12T00:01:36Z</dcterms:modified>
  <cp:category/>
</cp:coreProperties>
</file>