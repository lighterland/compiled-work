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C7B57589-F740-4725-8368-20329B981E17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2" i="2"/>
  <c r="C33" i="2" s="1"/>
  <c r="B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 l="1"/>
  <c r="D33" i="2" s="1"/>
  <c r="E17" i="1"/>
  <c r="G17" i="1"/>
  <c r="I17" i="1"/>
  <c r="K17" i="1"/>
  <c r="C17" i="1"/>
  <c r="J22" i="1"/>
  <c r="J23" i="1"/>
  <c r="J24" i="1"/>
  <c r="J25" i="1"/>
  <c r="J26" i="1"/>
  <c r="J21" i="1"/>
  <c r="J28" i="1" s="1"/>
  <c r="D22" i="1"/>
  <c r="D23" i="1"/>
  <c r="D24" i="1"/>
  <c r="D25" i="1"/>
  <c r="D26" i="1"/>
  <c r="D21" i="1"/>
  <c r="E28" i="1"/>
  <c r="F22" i="1" s="1"/>
  <c r="G28" i="1"/>
  <c r="H21" i="1" s="1"/>
  <c r="I28" i="1"/>
  <c r="C28" i="1"/>
  <c r="K22" i="1"/>
  <c r="K23" i="1"/>
  <c r="K24" i="1"/>
  <c r="K25" i="1"/>
  <c r="K26" i="1"/>
  <c r="K21" i="1"/>
  <c r="K28" i="1" s="1"/>
  <c r="H14" i="1"/>
  <c r="J13" i="1"/>
  <c r="J14" i="1"/>
  <c r="K13" i="1"/>
  <c r="K14" i="1"/>
  <c r="K12" i="1"/>
  <c r="E15" i="1"/>
  <c r="F12" i="1" s="1"/>
  <c r="G15" i="1"/>
  <c r="H13" i="1" s="1"/>
  <c r="I15" i="1"/>
  <c r="J12" i="1" s="1"/>
  <c r="J15" i="1" s="1"/>
  <c r="K15" i="1"/>
  <c r="C15" i="1"/>
  <c r="D13" i="1" s="1"/>
  <c r="H7" i="1"/>
  <c r="H8" i="1"/>
  <c r="H4" i="1"/>
  <c r="F4" i="1"/>
  <c r="F5" i="1"/>
  <c r="F6" i="1"/>
  <c r="F7" i="1"/>
  <c r="F8" i="1"/>
  <c r="D5" i="1"/>
  <c r="E9" i="1"/>
  <c r="E31" i="1" s="1"/>
  <c r="G9" i="1"/>
  <c r="G31" i="1" s="1"/>
  <c r="I9" i="1"/>
  <c r="J5" i="1" s="1"/>
  <c r="C9" i="1"/>
  <c r="D6" i="1" s="1"/>
  <c r="K5" i="1"/>
  <c r="K6" i="1"/>
  <c r="K7" i="1"/>
  <c r="K8" i="1"/>
  <c r="K4" i="1"/>
  <c r="K9" i="1" s="1"/>
  <c r="K31" i="1" l="1"/>
  <c r="H15" i="1"/>
  <c r="F14" i="1"/>
  <c r="H22" i="1"/>
  <c r="H28" i="1" s="1"/>
  <c r="F13" i="1"/>
  <c r="F15" i="1" s="1"/>
  <c r="D28" i="1"/>
  <c r="H6" i="1"/>
  <c r="F21" i="1"/>
  <c r="H5" i="1"/>
  <c r="H9" i="1" s="1"/>
  <c r="J4" i="1"/>
  <c r="C31" i="1"/>
  <c r="D4" i="1"/>
  <c r="J8" i="1"/>
  <c r="H12" i="1"/>
  <c r="F24" i="1"/>
  <c r="D8" i="1"/>
  <c r="J7" i="1"/>
  <c r="F23" i="1"/>
  <c r="I31" i="1"/>
  <c r="H26" i="1"/>
  <c r="H25" i="1"/>
  <c r="H24" i="1"/>
  <c r="H23" i="1"/>
  <c r="D12" i="1"/>
  <c r="D15" i="1" s="1"/>
  <c r="D14" i="1"/>
  <c r="F26" i="1"/>
  <c r="F25" i="1"/>
  <c r="D7" i="1"/>
  <c r="J6" i="1"/>
  <c r="D9" i="1" l="1"/>
  <c r="J9" i="1"/>
  <c r="F28" i="1"/>
  <c r="F9" i="1"/>
</calcChain>
</file>

<file path=xl/sharedStrings.xml><?xml version="1.0" encoding="utf-8"?>
<sst xmlns="http://schemas.openxmlformats.org/spreadsheetml/2006/main" count="70" uniqueCount="65">
  <si>
    <t>Доход</t>
  </si>
  <si>
    <t>I кв. 2020</t>
  </si>
  <si>
    <t>% от общей выручки</t>
  </si>
  <si>
    <t>II кв. 2020</t>
  </si>
  <si>
    <t>III кв. 2020</t>
  </si>
  <si>
    <t>IV кв. 2020</t>
  </si>
  <si>
    <t>Итого за год</t>
  </si>
  <si>
    <t>Выручка от продаж</t>
  </si>
  <si>
    <t>Магазин №1</t>
  </si>
  <si>
    <t>Магазин №2</t>
  </si>
  <si>
    <t>Магазин №3</t>
  </si>
  <si>
    <t>Магазин №4</t>
  </si>
  <si>
    <t>Магазин №5</t>
  </si>
  <si>
    <t>Итого</t>
  </si>
  <si>
    <t>Себестоимость товаров</t>
  </si>
  <si>
    <t>Товар 1</t>
  </si>
  <si>
    <t>Товар 2</t>
  </si>
  <si>
    <t>Товар 3</t>
  </si>
  <si>
    <t>Валовая прибыль</t>
  </si>
  <si>
    <t>Расходы</t>
  </si>
  <si>
    <t>Операционные расходы</t>
  </si>
  <si>
    <t>З/п сотрудникам</t>
  </si>
  <si>
    <t>Арендная плата</t>
  </si>
  <si>
    <t>Коммунальные услуги</t>
  </si>
  <si>
    <t>Амортизация</t>
  </si>
  <si>
    <t>Страхование</t>
  </si>
  <si>
    <t>Прочие расходы</t>
  </si>
  <si>
    <t>Итого расходы</t>
  </si>
  <si>
    <t>Прибыль</t>
  </si>
  <si>
    <t>ФИО</t>
  </si>
  <si>
    <t>Зарплата, руб.</t>
  </si>
  <si>
    <t>Налог (13%)</t>
  </si>
  <si>
    <t>На руки, руб.</t>
  </si>
  <si>
    <t>Авакян Эльмира Владиковна</t>
  </si>
  <si>
    <t>Арзуманян Ваге Агасиевич</t>
  </si>
  <si>
    <t>Батманов Александр Арсенович</t>
  </si>
  <si>
    <t>Бызина Татьяна Александровна</t>
  </si>
  <si>
    <t>Ван Икэ</t>
  </si>
  <si>
    <t>Герасимов Илья Андреевич</t>
  </si>
  <si>
    <t>Завгородний Кирилл Александрович</t>
  </si>
  <si>
    <t>Казанцева Екатерина Вячеславовна</t>
  </si>
  <si>
    <t>Кононыхин Вадим Юрьевич</t>
  </si>
  <si>
    <t>Лакомов Алексей Максимович</t>
  </si>
  <si>
    <t>Лэй Цзиньжуй</t>
  </si>
  <si>
    <t>Маслова Дарья Алексеевна</t>
  </si>
  <si>
    <t>Михайлов Кирилл Евгеньевич</t>
  </si>
  <si>
    <t>Моос Виктор Вадимович</t>
  </si>
  <si>
    <t>Никанкина Ксения Александровна</t>
  </si>
  <si>
    <t>Она Мофуман Мария Ангелес Мбуй</t>
  </si>
  <si>
    <t>Подмарев Андрей Витальевич</t>
  </si>
  <si>
    <t>Потапов Роман Дмитриевич</t>
  </si>
  <si>
    <t>Рахимов Раимжон Гофур угли</t>
  </si>
  <si>
    <t>Садана Эрланд Адестио</t>
  </si>
  <si>
    <t>Татарой Ксения</t>
  </si>
  <si>
    <t>Тимофеева Алина Игоревна</t>
  </si>
  <si>
    <t>Фомичев Борислав Александрович</t>
  </si>
  <si>
    <t>Хренов Кирилл Михайлович</t>
  </si>
  <si>
    <t>Цао Сунянь</t>
  </si>
  <si>
    <t>Цэнд-Аюуш Хонгорзул</t>
  </si>
  <si>
    <t>Чжан Гуйян</t>
  </si>
  <si>
    <t>Юрьева Валентина Михайловна</t>
  </si>
  <si>
    <t>Янь Каден Блейз</t>
  </si>
  <si>
    <t>Чжу Шинюй</t>
  </si>
  <si>
    <t>Фань Чэнвэй</t>
  </si>
  <si>
    <t>Процент налога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</si>
</sst>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70" formatCode="_-* #,##0.00\ [$₽-419]_-;\-* #,##0.00\ [$₽-419]_-;_-* &quot;-&quot;??\ [$₽-419]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4" borderId="3" applyNumberFormat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164" fontId="0" fillId="0" borderId="0" xfId="2" applyNumberFormat="1" applyFont="1"/>
    <xf numFmtId="10" fontId="0" fillId="0" borderId="0" xfId="2" applyNumberFormat="1" applyFont="1"/>
    <xf numFmtId="165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5" fillId="6" borderId="0" xfId="7"/>
    <xf numFmtId="165" fontId="5" fillId="6" borderId="0" xfId="7" applyNumberFormat="1"/>
    <xf numFmtId="10" fontId="5" fillId="6" borderId="0" xfId="7" applyNumberFormat="1"/>
    <xf numFmtId="164" fontId="5" fillId="6" borderId="0" xfId="7" applyNumberFormat="1"/>
    <xf numFmtId="0" fontId="2" fillId="2" borderId="0" xfId="3"/>
    <xf numFmtId="165" fontId="2" fillId="2" borderId="0" xfId="3" applyNumberFormat="1"/>
    <xf numFmtId="10" fontId="2" fillId="2" borderId="0" xfId="3" applyNumberFormat="1"/>
    <xf numFmtId="0" fontId="3" fillId="3" borderId="2" xfId="4"/>
    <xf numFmtId="165" fontId="3" fillId="3" borderId="2" xfId="4" applyNumberFormat="1"/>
    <xf numFmtId="0" fontId="5" fillId="5" borderId="0" xfId="6"/>
    <xf numFmtId="165" fontId="5" fillId="5" borderId="0" xfId="6" applyNumberFormat="1"/>
    <xf numFmtId="0" fontId="5" fillId="5" borderId="1" xfId="6" applyBorder="1" applyAlignment="1">
      <alignment horizontal="left" vertical="center"/>
    </xf>
    <xf numFmtId="0" fontId="4" fillId="4" borderId="3" xfId="5" applyAlignment="1">
      <alignment horizontal="left"/>
    </xf>
    <xf numFmtId="0" fontId="4" fillId="4" borderId="3" xfId="5" applyAlignment="1"/>
    <xf numFmtId="0" fontId="5" fillId="5" borderId="0" xfId="6" applyAlignment="1">
      <alignment horizontal="left"/>
    </xf>
    <xf numFmtId="0" fontId="1" fillId="7" borderId="0" xfId="8" applyAlignment="1">
      <alignment horizontal="left"/>
    </xf>
    <xf numFmtId="9" fontId="0" fillId="0" borderId="0" xfId="2" applyFont="1"/>
    <xf numFmtId="0" fontId="7" fillId="0" borderId="0" xfId="0" applyFont="1"/>
    <xf numFmtId="0" fontId="1" fillId="8" borderId="0" xfId="9"/>
    <xf numFmtId="170" fontId="1" fillId="8" borderId="0" xfId="9" applyNumberFormat="1"/>
    <xf numFmtId="0" fontId="7" fillId="9" borderId="0" xfId="10" applyFont="1"/>
    <xf numFmtId="0" fontId="4" fillId="5" borderId="0" xfId="6" applyFont="1"/>
    <xf numFmtId="170" fontId="4" fillId="5" borderId="0" xfId="6" applyNumberFormat="1" applyFont="1"/>
  </cellXfs>
  <cellStyles count="11">
    <cellStyle name="20% - Accent1" xfId="9" builtinId="30"/>
    <cellStyle name="60% - Accent1" xfId="10" builtinId="32"/>
    <cellStyle name="60% - Accent3" xfId="8" builtinId="40"/>
    <cellStyle name="Accent1" xfId="6" builtinId="29"/>
    <cellStyle name="Accent3" xfId="7" builtinId="37"/>
    <cellStyle name="Check Cell" xfId="5" builtinId="23"/>
    <cellStyle name="Comma" xfId="1" builtinId="3"/>
    <cellStyle name="Input" xfId="4" builtinId="20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1"/>
  <sheetViews>
    <sheetView workbookViewId="0">
      <selection activeCell="B31" sqref="B31:K31"/>
    </sheetView>
  </sheetViews>
  <sheetFormatPr defaultRowHeight="14.5" x14ac:dyDescent="0.35"/>
  <cols>
    <col min="2" max="11" width="12.6328125" customWidth="1"/>
  </cols>
  <sheetData>
    <row r="1" spans="2:11" ht="15" thickBot="1" x14ac:dyDescent="0.4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</row>
    <row r="2" spans="2:11" s="1" customFormat="1" ht="26" thickTop="1" thickBot="1" x14ac:dyDescent="0.4">
      <c r="C2" s="2" t="s">
        <v>1</v>
      </c>
      <c r="D2" s="2" t="s">
        <v>2</v>
      </c>
      <c r="E2" s="2" t="s">
        <v>3</v>
      </c>
      <c r="F2" s="2" t="s">
        <v>2</v>
      </c>
      <c r="G2" s="2" t="s">
        <v>4</v>
      </c>
      <c r="H2" s="2" t="s">
        <v>2</v>
      </c>
      <c r="I2" s="2" t="s">
        <v>5</v>
      </c>
      <c r="J2" s="2" t="s">
        <v>2</v>
      </c>
      <c r="K2" s="2" t="s">
        <v>6</v>
      </c>
    </row>
    <row r="3" spans="2:11" ht="15.5" thickTop="1" thickBot="1" x14ac:dyDescent="0.4">
      <c r="B3" s="20" t="s">
        <v>7</v>
      </c>
      <c r="C3" s="20"/>
      <c r="D3" s="20"/>
      <c r="E3" s="20"/>
      <c r="F3" s="20"/>
      <c r="G3" s="20"/>
      <c r="H3" s="20"/>
      <c r="I3" s="20"/>
      <c r="J3" s="20"/>
      <c r="K3" s="20"/>
    </row>
    <row r="4" spans="2:11" ht="15" thickTop="1" x14ac:dyDescent="0.35">
      <c r="B4" t="s">
        <v>8</v>
      </c>
      <c r="C4" s="5">
        <v>232476</v>
      </c>
      <c r="D4" s="4">
        <f>C4/$C$9</f>
        <v>0.21742131341642024</v>
      </c>
      <c r="E4" s="5">
        <v>257811</v>
      </c>
      <c r="F4" s="4">
        <f>E4/E$9</f>
        <v>0.24750560895974316</v>
      </c>
      <c r="G4" s="5">
        <v>244654</v>
      </c>
      <c r="H4" s="4">
        <f>G4/G$9</f>
        <v>0.23400333806784215</v>
      </c>
      <c r="I4" s="5">
        <v>252761</v>
      </c>
      <c r="J4" s="4">
        <f>I4/I$9</f>
        <v>0.2380168106476224</v>
      </c>
      <c r="K4" s="5">
        <f>C4+E4+G4+I4</f>
        <v>987702</v>
      </c>
    </row>
    <row r="5" spans="2:11" x14ac:dyDescent="0.35">
      <c r="B5" t="s">
        <v>9</v>
      </c>
      <c r="C5" s="5">
        <v>115828</v>
      </c>
      <c r="D5" s="4">
        <f t="shared" ref="D5:D8" si="0">C5/$C$9</f>
        <v>0.10832720749839606</v>
      </c>
      <c r="E5" s="5">
        <v>127311</v>
      </c>
      <c r="F5" s="4">
        <f t="shared" ref="F5:F8" si="1">E5/$E$9</f>
        <v>0.12222204088372436</v>
      </c>
      <c r="G5" s="5">
        <v>131876</v>
      </c>
      <c r="H5" s="4">
        <f t="shared" ref="H5:H8" si="2">G5/G$9</f>
        <v>0.12613496697799648</v>
      </c>
      <c r="I5" s="5">
        <v>132478</v>
      </c>
      <c r="J5" s="4">
        <f t="shared" ref="J5:J8" si="3">I5/I$9</f>
        <v>0.12475022270435597</v>
      </c>
      <c r="K5" s="5">
        <f t="shared" ref="K5:K8" si="4">C5+E5+G5+I5</f>
        <v>507493</v>
      </c>
    </row>
    <row r="6" spans="2:11" x14ac:dyDescent="0.35">
      <c r="B6" t="s">
        <v>10</v>
      </c>
      <c r="C6" s="5">
        <v>255167</v>
      </c>
      <c r="D6" s="4">
        <f t="shared" si="0"/>
        <v>0.23864288907469031</v>
      </c>
      <c r="E6" s="5">
        <v>242651</v>
      </c>
      <c r="F6" s="4">
        <f t="shared" si="1"/>
        <v>0.23295159446141026</v>
      </c>
      <c r="G6" s="5">
        <v>248512</v>
      </c>
      <c r="H6" s="4">
        <f t="shared" si="2"/>
        <v>0.23769338555640043</v>
      </c>
      <c r="I6" s="5">
        <v>252450</v>
      </c>
      <c r="J6" s="4">
        <f t="shared" si="3"/>
        <v>0.23772395206535926</v>
      </c>
      <c r="K6" s="5">
        <f t="shared" si="4"/>
        <v>998780</v>
      </c>
    </row>
    <row r="7" spans="2:11" x14ac:dyDescent="0.35">
      <c r="B7" t="s">
        <v>11</v>
      </c>
      <c r="C7" s="5">
        <v>212594</v>
      </c>
      <c r="D7" s="4">
        <f t="shared" si="0"/>
        <v>0.19882683246636401</v>
      </c>
      <c r="E7" s="5">
        <v>248766</v>
      </c>
      <c r="F7" s="4">
        <f t="shared" si="1"/>
        <v>0.23882216165516393</v>
      </c>
      <c r="G7" s="5">
        <v>249800</v>
      </c>
      <c r="H7" s="4">
        <f t="shared" si="2"/>
        <v>0.2389253143187807</v>
      </c>
      <c r="I7" s="5">
        <v>251890</v>
      </c>
      <c r="J7" s="4">
        <f t="shared" si="3"/>
        <v>0.23719661828379221</v>
      </c>
      <c r="K7" s="5">
        <f t="shared" si="4"/>
        <v>963050</v>
      </c>
    </row>
    <row r="8" spans="2:11" x14ac:dyDescent="0.35">
      <c r="B8" t="s">
        <v>12</v>
      </c>
      <c r="C8" s="5">
        <v>253177</v>
      </c>
      <c r="D8" s="4">
        <f t="shared" si="0"/>
        <v>0.23678175754412939</v>
      </c>
      <c r="E8" s="5">
        <v>165098</v>
      </c>
      <c r="F8" s="4">
        <f t="shared" si="1"/>
        <v>0.15849859403995825</v>
      </c>
      <c r="G8" s="5">
        <v>170673</v>
      </c>
      <c r="H8" s="4">
        <f t="shared" si="2"/>
        <v>0.16324299507898021</v>
      </c>
      <c r="I8" s="5">
        <v>172367</v>
      </c>
      <c r="J8" s="4">
        <f t="shared" si="3"/>
        <v>0.16231239629887018</v>
      </c>
      <c r="K8" s="5">
        <f t="shared" si="4"/>
        <v>761315</v>
      </c>
    </row>
    <row r="9" spans="2:11" x14ac:dyDescent="0.35">
      <c r="B9" s="12" t="s">
        <v>13</v>
      </c>
      <c r="C9" s="13">
        <f>SUM(C4:C8)</f>
        <v>1069242</v>
      </c>
      <c r="D9" s="14">
        <f t="shared" ref="D9:K9" si="5">SUM(D4:D8)</f>
        <v>1</v>
      </c>
      <c r="E9" s="13">
        <f t="shared" si="5"/>
        <v>1041637</v>
      </c>
      <c r="F9" s="14">
        <f t="shared" si="5"/>
        <v>0.99999999999999989</v>
      </c>
      <c r="G9" s="13">
        <f t="shared" si="5"/>
        <v>1045515</v>
      </c>
      <c r="H9" s="14">
        <f t="shared" si="5"/>
        <v>1</v>
      </c>
      <c r="I9" s="13">
        <f t="shared" si="5"/>
        <v>1061946</v>
      </c>
      <c r="J9" s="14">
        <f t="shared" si="5"/>
        <v>1</v>
      </c>
      <c r="K9" s="13">
        <f t="shared" si="5"/>
        <v>4218340</v>
      </c>
    </row>
    <row r="10" spans="2:11" ht="15" thickBot="1" x14ac:dyDescent="0.4"/>
    <row r="11" spans="2:11" ht="15.5" thickTop="1" thickBot="1" x14ac:dyDescent="0.4">
      <c r="B11" s="21" t="s">
        <v>14</v>
      </c>
      <c r="C11" s="21"/>
      <c r="D11" s="21"/>
      <c r="E11" s="21"/>
      <c r="F11" s="21"/>
      <c r="G11" s="21"/>
      <c r="H11" s="21"/>
      <c r="I11" s="21"/>
      <c r="J11" s="21"/>
      <c r="K11" s="21"/>
    </row>
    <row r="12" spans="2:11" ht="15" thickTop="1" x14ac:dyDescent="0.35">
      <c r="B12" t="s">
        <v>15</v>
      </c>
      <c r="C12" s="5">
        <v>89346</v>
      </c>
      <c r="D12" s="4">
        <f>C12/C$15</f>
        <v>0.32519372368033134</v>
      </c>
      <c r="E12" s="5">
        <v>112678</v>
      </c>
      <c r="F12" s="4">
        <f>E12/E$15</f>
        <v>0.28767798284828727</v>
      </c>
      <c r="G12" s="5">
        <v>32890</v>
      </c>
      <c r="H12" s="4">
        <f>G12/G$15</f>
        <v>0.14488157065894905</v>
      </c>
      <c r="I12" s="5">
        <v>59310</v>
      </c>
      <c r="J12" s="4">
        <f>I12/I$15</f>
        <v>0.33125565497134812</v>
      </c>
      <c r="K12" s="5">
        <f>C12+E12+G12+I12</f>
        <v>294224</v>
      </c>
    </row>
    <row r="13" spans="2:11" x14ac:dyDescent="0.35">
      <c r="B13" t="s">
        <v>16</v>
      </c>
      <c r="C13" s="5">
        <v>112218</v>
      </c>
      <c r="D13" s="4">
        <f t="shared" ref="D13:D14" si="6">C13/C$15</f>
        <v>0.40844122046828535</v>
      </c>
      <c r="E13" s="5">
        <v>64329</v>
      </c>
      <c r="F13" s="4">
        <f t="shared" ref="F13:F14" si="7">E13/E$15</f>
        <v>0.1642382448982718</v>
      </c>
      <c r="G13" s="5">
        <v>115200</v>
      </c>
      <c r="H13" s="4">
        <f t="shared" ref="H13:H14" si="8">G13/G$15</f>
        <v>0.50745992520252148</v>
      </c>
      <c r="I13" s="5">
        <v>76521</v>
      </c>
      <c r="J13" s="4">
        <f t="shared" ref="J13:J14" si="9">I13/I$15</f>
        <v>0.42738179015448546</v>
      </c>
      <c r="K13" s="5">
        <f t="shared" ref="K13:K14" si="10">C13+E13+G13+I13</f>
        <v>368268</v>
      </c>
    </row>
    <row r="14" spans="2:11" x14ac:dyDescent="0.35">
      <c r="B14" t="s">
        <v>17</v>
      </c>
      <c r="C14" s="5">
        <v>73183</v>
      </c>
      <c r="D14" s="4">
        <f t="shared" si="6"/>
        <v>0.26636505585138326</v>
      </c>
      <c r="E14" s="5">
        <v>214674</v>
      </c>
      <c r="F14" s="4">
        <f t="shared" si="7"/>
        <v>0.54808377225344096</v>
      </c>
      <c r="G14" s="5">
        <v>78923</v>
      </c>
      <c r="H14" s="4">
        <f t="shared" si="8"/>
        <v>0.3476585041385295</v>
      </c>
      <c r="I14" s="5">
        <v>43215</v>
      </c>
      <c r="J14" s="4">
        <f t="shared" si="9"/>
        <v>0.24136255487416641</v>
      </c>
      <c r="K14" s="5">
        <f t="shared" si="10"/>
        <v>409995</v>
      </c>
    </row>
    <row r="15" spans="2:11" x14ac:dyDescent="0.35">
      <c r="B15" s="12" t="s">
        <v>13</v>
      </c>
      <c r="C15" s="13">
        <f>SUM(C12:C14)</f>
        <v>274747</v>
      </c>
      <c r="D15" s="14">
        <f t="shared" ref="D15:K15" si="11">SUM(D12:D14)</f>
        <v>1</v>
      </c>
      <c r="E15" s="13">
        <f t="shared" si="11"/>
        <v>391681</v>
      </c>
      <c r="F15" s="13">
        <f t="shared" si="11"/>
        <v>1</v>
      </c>
      <c r="G15" s="13">
        <f t="shared" si="11"/>
        <v>227013</v>
      </c>
      <c r="H15" s="13">
        <f t="shared" si="11"/>
        <v>1</v>
      </c>
      <c r="I15" s="13">
        <f t="shared" si="11"/>
        <v>179046</v>
      </c>
      <c r="J15" s="13">
        <f t="shared" si="11"/>
        <v>1</v>
      </c>
      <c r="K15" s="13">
        <f t="shared" si="11"/>
        <v>1072487</v>
      </c>
    </row>
    <row r="17" spans="2:11" x14ac:dyDescent="0.35">
      <c r="B17" s="15" t="s">
        <v>18</v>
      </c>
      <c r="C17" s="16">
        <f>(C9-C15)</f>
        <v>794495</v>
      </c>
      <c r="D17" s="16"/>
      <c r="E17" s="16">
        <f t="shared" ref="E17:K17" si="12">(E9-E15)</f>
        <v>649956</v>
      </c>
      <c r="F17" s="16"/>
      <c r="G17" s="16">
        <f t="shared" si="12"/>
        <v>818502</v>
      </c>
      <c r="H17" s="16"/>
      <c r="I17" s="16">
        <f t="shared" si="12"/>
        <v>882900</v>
      </c>
      <c r="J17" s="16"/>
      <c r="K17" s="16">
        <f t="shared" si="12"/>
        <v>3145853</v>
      </c>
    </row>
    <row r="19" spans="2:11" x14ac:dyDescent="0.35">
      <c r="B19" s="22" t="s">
        <v>19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2:11" x14ac:dyDescent="0.35">
      <c r="B20" s="23" t="s">
        <v>20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2:11" x14ac:dyDescent="0.35">
      <c r="B21" t="s">
        <v>21</v>
      </c>
      <c r="C21" s="5">
        <v>120000</v>
      </c>
      <c r="D21" s="4">
        <f>C21/C$28</f>
        <v>0.55813953488372092</v>
      </c>
      <c r="E21" s="5">
        <v>120000</v>
      </c>
      <c r="F21" s="4">
        <f>E21/E$28</f>
        <v>0.55427251732101612</v>
      </c>
      <c r="G21" s="5">
        <v>135000</v>
      </c>
      <c r="H21" s="4">
        <f>G21/G$28</f>
        <v>0.56485355648535562</v>
      </c>
      <c r="I21" s="5">
        <v>135000</v>
      </c>
      <c r="J21" s="3">
        <f>I21/I$28</f>
        <v>0.5625</v>
      </c>
      <c r="K21" s="5">
        <f>C21+E21+G21+I21</f>
        <v>510000</v>
      </c>
    </row>
    <row r="22" spans="2:11" x14ac:dyDescent="0.35">
      <c r="B22" t="s">
        <v>22</v>
      </c>
      <c r="C22" s="5">
        <v>75000</v>
      </c>
      <c r="D22" s="4">
        <f t="shared" ref="D22:D26" si="13">C22/C$28</f>
        <v>0.34883720930232559</v>
      </c>
      <c r="E22" s="5">
        <v>75000</v>
      </c>
      <c r="F22" s="4">
        <f t="shared" ref="F22:F26" si="14">E22/E$28</f>
        <v>0.3464203233256351</v>
      </c>
      <c r="G22" s="5">
        <v>80000</v>
      </c>
      <c r="H22" s="4">
        <f t="shared" ref="H22:H26" si="15">G22/G$28</f>
        <v>0.33472803347280333</v>
      </c>
      <c r="I22" s="5">
        <v>80000</v>
      </c>
      <c r="J22" s="3">
        <f t="shared" ref="J22:J26" si="16">I22/I$28</f>
        <v>0.33333333333333331</v>
      </c>
      <c r="K22" s="5">
        <f t="shared" ref="K22:K26" si="17">C22+E22+G22+I22</f>
        <v>310000</v>
      </c>
    </row>
    <row r="23" spans="2:11" x14ac:dyDescent="0.35">
      <c r="B23" t="s">
        <v>23</v>
      </c>
      <c r="C23" s="5">
        <v>10000</v>
      </c>
      <c r="D23" s="4">
        <f t="shared" si="13"/>
        <v>4.6511627906976744E-2</v>
      </c>
      <c r="E23" s="5">
        <v>10000</v>
      </c>
      <c r="F23" s="4">
        <f t="shared" si="14"/>
        <v>4.6189376443418015E-2</v>
      </c>
      <c r="G23" s="5">
        <v>11000</v>
      </c>
      <c r="H23" s="4">
        <f t="shared" si="15"/>
        <v>4.6025104602510462E-2</v>
      </c>
      <c r="I23" s="5">
        <v>11000</v>
      </c>
      <c r="J23" s="3">
        <f t="shared" si="16"/>
        <v>4.583333333333333E-2</v>
      </c>
      <c r="K23" s="5">
        <f t="shared" si="17"/>
        <v>42000</v>
      </c>
    </row>
    <row r="24" spans="2:11" x14ac:dyDescent="0.35">
      <c r="B24" t="s">
        <v>24</v>
      </c>
      <c r="C24" s="5">
        <v>1000</v>
      </c>
      <c r="D24" s="4">
        <f t="shared" si="13"/>
        <v>4.6511627906976744E-3</v>
      </c>
      <c r="E24" s="5">
        <v>1000</v>
      </c>
      <c r="F24" s="4">
        <f t="shared" si="14"/>
        <v>4.6189376443418013E-3</v>
      </c>
      <c r="G24" s="5">
        <v>1000</v>
      </c>
      <c r="H24" s="4">
        <f t="shared" si="15"/>
        <v>4.1841004184100415E-3</v>
      </c>
      <c r="I24" s="5">
        <v>1000</v>
      </c>
      <c r="J24" s="3">
        <f t="shared" si="16"/>
        <v>4.1666666666666666E-3</v>
      </c>
      <c r="K24" s="5">
        <f t="shared" si="17"/>
        <v>4000</v>
      </c>
    </row>
    <row r="25" spans="2:11" x14ac:dyDescent="0.35">
      <c r="B25" t="s">
        <v>25</v>
      </c>
      <c r="C25" s="5">
        <v>7000</v>
      </c>
      <c r="D25" s="4">
        <f t="shared" si="13"/>
        <v>3.255813953488372E-2</v>
      </c>
      <c r="E25" s="5">
        <v>7500</v>
      </c>
      <c r="F25" s="4">
        <f t="shared" si="14"/>
        <v>3.4642032332563508E-2</v>
      </c>
      <c r="G25" s="5">
        <v>8000</v>
      </c>
      <c r="H25" s="4">
        <f t="shared" si="15"/>
        <v>3.3472803347280332E-2</v>
      </c>
      <c r="I25" s="5">
        <v>8000</v>
      </c>
      <c r="J25" s="3">
        <f t="shared" si="16"/>
        <v>3.3333333333333333E-2</v>
      </c>
      <c r="K25" s="5">
        <f t="shared" si="17"/>
        <v>30500</v>
      </c>
    </row>
    <row r="26" spans="2:11" x14ac:dyDescent="0.35">
      <c r="B26" t="s">
        <v>26</v>
      </c>
      <c r="C26" s="5">
        <v>2000</v>
      </c>
      <c r="D26" s="4">
        <f t="shared" si="13"/>
        <v>9.3023255813953487E-3</v>
      </c>
      <c r="E26" s="5">
        <v>3000</v>
      </c>
      <c r="F26" s="4">
        <f t="shared" si="14"/>
        <v>1.3856812933025405E-2</v>
      </c>
      <c r="G26" s="5">
        <v>4000</v>
      </c>
      <c r="H26" s="4">
        <f t="shared" si="15"/>
        <v>1.6736401673640166E-2</v>
      </c>
      <c r="I26" s="5">
        <v>5000</v>
      </c>
      <c r="J26" s="3">
        <f t="shared" si="16"/>
        <v>2.0833333333333332E-2</v>
      </c>
      <c r="K26" s="5">
        <f t="shared" si="17"/>
        <v>14000</v>
      </c>
    </row>
    <row r="27" spans="2:11" x14ac:dyDescent="0.35">
      <c r="D27" s="4"/>
      <c r="F27" s="7"/>
      <c r="H27" s="7"/>
      <c r="J27" s="6"/>
    </row>
    <row r="28" spans="2:11" x14ac:dyDescent="0.35">
      <c r="B28" s="8" t="s">
        <v>27</v>
      </c>
      <c r="C28" s="9">
        <f>SUM(C21:C26)</f>
        <v>215000</v>
      </c>
      <c r="D28" s="10">
        <f t="shared" ref="D28:K28" si="18">SUM(D21:D26)</f>
        <v>1</v>
      </c>
      <c r="E28" s="9">
        <f t="shared" si="18"/>
        <v>216500</v>
      </c>
      <c r="F28" s="10">
        <f t="shared" si="18"/>
        <v>1</v>
      </c>
      <c r="G28" s="9">
        <f t="shared" si="18"/>
        <v>239000</v>
      </c>
      <c r="H28" s="10">
        <f t="shared" si="18"/>
        <v>0.99999999999999989</v>
      </c>
      <c r="I28" s="9">
        <f t="shared" si="18"/>
        <v>240000</v>
      </c>
      <c r="J28" s="11">
        <f t="shared" si="18"/>
        <v>0.99999999999999989</v>
      </c>
      <c r="K28" s="9">
        <f t="shared" si="18"/>
        <v>910500</v>
      </c>
    </row>
    <row r="31" spans="2:11" x14ac:dyDescent="0.35">
      <c r="B31" s="17" t="s">
        <v>28</v>
      </c>
      <c r="C31" s="18">
        <f>C9-C15-C28</f>
        <v>579495</v>
      </c>
      <c r="D31" s="18"/>
      <c r="E31" s="18">
        <f>E9-E15-E28</f>
        <v>433456</v>
      </c>
      <c r="F31" s="18"/>
      <c r="G31" s="18">
        <f>G9-G15-G28</f>
        <v>579502</v>
      </c>
      <c r="H31" s="18"/>
      <c r="I31" s="18">
        <f>I9-I15-I28</f>
        <v>642900</v>
      </c>
      <c r="J31" s="18"/>
      <c r="K31" s="18">
        <f>K9-K15-K28</f>
        <v>2235353</v>
      </c>
    </row>
  </sheetData>
  <mergeCells count="5">
    <mergeCell ref="B1:K1"/>
    <mergeCell ref="B3:K3"/>
    <mergeCell ref="B11:K11"/>
    <mergeCell ref="B19:K19"/>
    <mergeCell ref="B20:K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7B9F-EDCC-4E32-AA4A-28F5E7FC4E03}">
  <dimension ref="A1:F33"/>
  <sheetViews>
    <sheetView tabSelected="1" workbookViewId="0">
      <selection activeCell="F3" sqref="F3"/>
    </sheetView>
  </sheetViews>
  <sheetFormatPr defaultRowHeight="14.5" x14ac:dyDescent="0.35"/>
  <cols>
    <col min="1" max="1" width="33.08984375" bestFit="1" customWidth="1"/>
    <col min="2" max="2" width="14.08984375" bestFit="1" customWidth="1"/>
    <col min="3" max="3" width="12.7265625" bestFit="1" customWidth="1"/>
    <col min="4" max="4" width="14.08984375" bestFit="1" customWidth="1"/>
  </cols>
  <sheetData>
    <row r="1" spans="1:6" x14ac:dyDescent="0.35">
      <c r="A1" s="28" t="s">
        <v>29</v>
      </c>
      <c r="B1" s="28" t="s">
        <v>30</v>
      </c>
      <c r="C1" s="28" t="s">
        <v>31</v>
      </c>
      <c r="D1" s="28" t="s">
        <v>32</v>
      </c>
      <c r="E1" s="25"/>
      <c r="F1" s="25" t="s">
        <v>64</v>
      </c>
    </row>
    <row r="2" spans="1:6" x14ac:dyDescent="0.35">
      <c r="A2" s="26" t="s">
        <v>33</v>
      </c>
      <c r="B2" s="27">
        <v>52300</v>
      </c>
      <c r="C2" s="27">
        <f>B2*$F$2</f>
        <v>7845</v>
      </c>
      <c r="D2" s="27">
        <f>B2-C2</f>
        <v>44455</v>
      </c>
      <c r="F2" s="24">
        <v>0.15</v>
      </c>
    </row>
    <row r="3" spans="1:6" x14ac:dyDescent="0.35">
      <c r="A3" s="26" t="s">
        <v>34</v>
      </c>
      <c r="B3" s="27">
        <v>47800</v>
      </c>
      <c r="C3" s="27">
        <f t="shared" ref="C3:C33" si="0">B3*$F$2</f>
        <v>7170</v>
      </c>
      <c r="D3" s="27">
        <f t="shared" ref="D3:D32" si="1">B3-C3</f>
        <v>40630</v>
      </c>
    </row>
    <row r="4" spans="1:6" x14ac:dyDescent="0.35">
      <c r="A4" s="26" t="s">
        <v>35</v>
      </c>
      <c r="B4" s="27">
        <v>61200</v>
      </c>
      <c r="C4" s="27">
        <f t="shared" si="0"/>
        <v>9180</v>
      </c>
      <c r="D4" s="27">
        <f t="shared" si="1"/>
        <v>52020</v>
      </c>
    </row>
    <row r="5" spans="1:6" x14ac:dyDescent="0.35">
      <c r="A5" s="26" t="s">
        <v>36</v>
      </c>
      <c r="B5" s="27">
        <v>55400</v>
      </c>
      <c r="C5" s="27">
        <f t="shared" si="0"/>
        <v>8310</v>
      </c>
      <c r="D5" s="27">
        <f t="shared" si="1"/>
        <v>47090</v>
      </c>
    </row>
    <row r="6" spans="1:6" x14ac:dyDescent="0.35">
      <c r="A6" s="26" t="s">
        <v>37</v>
      </c>
      <c r="B6" s="27">
        <v>49900</v>
      </c>
      <c r="C6" s="27">
        <f t="shared" si="0"/>
        <v>7485</v>
      </c>
      <c r="D6" s="27">
        <f t="shared" si="1"/>
        <v>42415</v>
      </c>
    </row>
    <row r="7" spans="1:6" x14ac:dyDescent="0.35">
      <c r="A7" s="26" t="s">
        <v>38</v>
      </c>
      <c r="B7" s="27">
        <v>73500</v>
      </c>
      <c r="C7" s="27">
        <f t="shared" si="0"/>
        <v>11025</v>
      </c>
      <c r="D7" s="27">
        <f t="shared" si="1"/>
        <v>62475</v>
      </c>
    </row>
    <row r="8" spans="1:6" x14ac:dyDescent="0.35">
      <c r="A8" s="26" t="s">
        <v>39</v>
      </c>
      <c r="B8" s="27">
        <v>68200</v>
      </c>
      <c r="C8" s="27">
        <f t="shared" si="0"/>
        <v>10230</v>
      </c>
      <c r="D8" s="27">
        <f t="shared" si="1"/>
        <v>57970</v>
      </c>
    </row>
    <row r="9" spans="1:6" x14ac:dyDescent="0.35">
      <c r="A9" s="26" t="s">
        <v>40</v>
      </c>
      <c r="B9" s="27">
        <v>45600</v>
      </c>
      <c r="C9" s="27">
        <f t="shared" si="0"/>
        <v>6840</v>
      </c>
      <c r="D9" s="27">
        <f t="shared" si="1"/>
        <v>38760</v>
      </c>
    </row>
    <row r="10" spans="1:6" x14ac:dyDescent="0.35">
      <c r="A10" s="26" t="s">
        <v>41</v>
      </c>
      <c r="B10" s="27">
        <v>58700</v>
      </c>
      <c r="C10" s="27">
        <f t="shared" si="0"/>
        <v>8805</v>
      </c>
      <c r="D10" s="27">
        <f t="shared" si="1"/>
        <v>49895</v>
      </c>
    </row>
    <row r="11" spans="1:6" x14ac:dyDescent="0.35">
      <c r="A11" s="26" t="s">
        <v>42</v>
      </c>
      <c r="B11" s="27">
        <v>62900</v>
      </c>
      <c r="C11" s="27">
        <f t="shared" si="0"/>
        <v>9435</v>
      </c>
      <c r="D11" s="27">
        <f t="shared" si="1"/>
        <v>53465</v>
      </c>
    </row>
    <row r="12" spans="1:6" x14ac:dyDescent="0.35">
      <c r="A12" s="26" t="s">
        <v>43</v>
      </c>
      <c r="B12" s="27">
        <v>51400</v>
      </c>
      <c r="C12" s="27">
        <f t="shared" si="0"/>
        <v>7710</v>
      </c>
      <c r="D12" s="27">
        <f t="shared" si="1"/>
        <v>43690</v>
      </c>
    </row>
    <row r="13" spans="1:6" x14ac:dyDescent="0.35">
      <c r="A13" s="26" t="s">
        <v>44</v>
      </c>
      <c r="B13" s="27">
        <v>77300</v>
      </c>
      <c r="C13" s="27">
        <f t="shared" si="0"/>
        <v>11595</v>
      </c>
      <c r="D13" s="27">
        <f t="shared" si="1"/>
        <v>65705</v>
      </c>
    </row>
    <row r="14" spans="1:6" x14ac:dyDescent="0.35">
      <c r="A14" s="26" t="s">
        <v>45</v>
      </c>
      <c r="B14" s="27">
        <v>64800</v>
      </c>
      <c r="C14" s="27">
        <f t="shared" si="0"/>
        <v>9720</v>
      </c>
      <c r="D14" s="27">
        <f t="shared" si="1"/>
        <v>55080</v>
      </c>
    </row>
    <row r="15" spans="1:6" x14ac:dyDescent="0.35">
      <c r="A15" s="26" t="s">
        <v>46</v>
      </c>
      <c r="B15" s="27">
        <v>59100</v>
      </c>
      <c r="C15" s="27">
        <f t="shared" si="0"/>
        <v>8865</v>
      </c>
      <c r="D15" s="27">
        <f t="shared" si="1"/>
        <v>50235</v>
      </c>
    </row>
    <row r="16" spans="1:6" x14ac:dyDescent="0.35">
      <c r="A16" s="26" t="s">
        <v>47</v>
      </c>
      <c r="B16" s="27">
        <v>53600</v>
      </c>
      <c r="C16" s="27">
        <f t="shared" si="0"/>
        <v>8040</v>
      </c>
      <c r="D16" s="27">
        <f t="shared" si="1"/>
        <v>45560</v>
      </c>
    </row>
    <row r="17" spans="1:4" x14ac:dyDescent="0.35">
      <c r="A17" s="26" t="s">
        <v>48</v>
      </c>
      <c r="B17" s="27">
        <v>48200</v>
      </c>
      <c r="C17" s="27">
        <f t="shared" si="0"/>
        <v>7230</v>
      </c>
      <c r="D17" s="27">
        <f t="shared" si="1"/>
        <v>40970</v>
      </c>
    </row>
    <row r="18" spans="1:4" x14ac:dyDescent="0.35">
      <c r="A18" s="26" t="s">
        <v>49</v>
      </c>
      <c r="B18" s="27">
        <v>70400</v>
      </c>
      <c r="C18" s="27">
        <f t="shared" si="0"/>
        <v>10560</v>
      </c>
      <c r="D18" s="27">
        <f t="shared" si="1"/>
        <v>59840</v>
      </c>
    </row>
    <row r="19" spans="1:4" x14ac:dyDescent="0.35">
      <c r="A19" s="26" t="s">
        <v>50</v>
      </c>
      <c r="B19" s="27">
        <v>66900</v>
      </c>
      <c r="C19" s="27">
        <f t="shared" si="0"/>
        <v>10035</v>
      </c>
      <c r="D19" s="27">
        <f t="shared" si="1"/>
        <v>56865</v>
      </c>
    </row>
    <row r="20" spans="1:4" x14ac:dyDescent="0.35">
      <c r="A20" s="26" t="s">
        <v>51</v>
      </c>
      <c r="B20" s="27">
        <v>57300</v>
      </c>
      <c r="C20" s="27">
        <f t="shared" si="0"/>
        <v>8595</v>
      </c>
      <c r="D20" s="27">
        <f t="shared" si="1"/>
        <v>48705</v>
      </c>
    </row>
    <row r="21" spans="1:4" x14ac:dyDescent="0.35">
      <c r="A21" s="26" t="s">
        <v>52</v>
      </c>
      <c r="B21" s="27">
        <v>54700</v>
      </c>
      <c r="C21" s="27">
        <f t="shared" si="0"/>
        <v>8205</v>
      </c>
      <c r="D21" s="27">
        <f t="shared" si="1"/>
        <v>46495</v>
      </c>
    </row>
    <row r="22" spans="1:4" x14ac:dyDescent="0.35">
      <c r="A22" s="26" t="s">
        <v>53</v>
      </c>
      <c r="B22" s="27">
        <v>46500</v>
      </c>
      <c r="C22" s="27">
        <f t="shared" si="0"/>
        <v>6975</v>
      </c>
      <c r="D22" s="27">
        <f t="shared" si="1"/>
        <v>39525</v>
      </c>
    </row>
    <row r="23" spans="1:4" x14ac:dyDescent="0.35">
      <c r="A23" s="26" t="s">
        <v>54</v>
      </c>
      <c r="B23" s="27">
        <v>72800</v>
      </c>
      <c r="C23" s="27">
        <f t="shared" si="0"/>
        <v>10920</v>
      </c>
      <c r="D23" s="27">
        <f t="shared" si="1"/>
        <v>61880</v>
      </c>
    </row>
    <row r="24" spans="1:4" x14ac:dyDescent="0.35">
      <c r="A24" s="26" t="s">
        <v>55</v>
      </c>
      <c r="B24" s="27">
        <v>60300</v>
      </c>
      <c r="C24" s="27">
        <f t="shared" si="0"/>
        <v>9045</v>
      </c>
      <c r="D24" s="27">
        <f t="shared" si="1"/>
        <v>51255</v>
      </c>
    </row>
    <row r="25" spans="1:4" x14ac:dyDescent="0.35">
      <c r="A25" s="26" t="s">
        <v>56</v>
      </c>
      <c r="B25" s="27">
        <v>63700</v>
      </c>
      <c r="C25" s="27">
        <f t="shared" si="0"/>
        <v>9555</v>
      </c>
      <c r="D25" s="27">
        <f t="shared" si="1"/>
        <v>54145</v>
      </c>
    </row>
    <row r="26" spans="1:4" x14ac:dyDescent="0.35">
      <c r="A26" s="26" t="s">
        <v>57</v>
      </c>
      <c r="B26" s="27">
        <v>50900</v>
      </c>
      <c r="C26" s="27">
        <f t="shared" si="0"/>
        <v>7635</v>
      </c>
      <c r="D26" s="27">
        <f t="shared" si="1"/>
        <v>43265</v>
      </c>
    </row>
    <row r="27" spans="1:4" x14ac:dyDescent="0.35">
      <c r="A27" s="26" t="s">
        <v>58</v>
      </c>
      <c r="B27" s="27">
        <v>74200</v>
      </c>
      <c r="C27" s="27">
        <f t="shared" si="0"/>
        <v>11130</v>
      </c>
      <c r="D27" s="27">
        <f t="shared" si="1"/>
        <v>63070</v>
      </c>
    </row>
    <row r="28" spans="1:4" x14ac:dyDescent="0.35">
      <c r="A28" s="26" t="s">
        <v>59</v>
      </c>
      <c r="B28" s="27">
        <v>69500</v>
      </c>
      <c r="C28" s="27">
        <f t="shared" si="0"/>
        <v>10425</v>
      </c>
      <c r="D28" s="27">
        <f t="shared" si="1"/>
        <v>59075</v>
      </c>
    </row>
    <row r="29" spans="1:4" x14ac:dyDescent="0.35">
      <c r="A29" s="26" t="s">
        <v>60</v>
      </c>
      <c r="B29" s="27">
        <v>56800</v>
      </c>
      <c r="C29" s="27">
        <f t="shared" si="0"/>
        <v>8520</v>
      </c>
      <c r="D29" s="27">
        <f t="shared" si="1"/>
        <v>48280</v>
      </c>
    </row>
    <row r="30" spans="1:4" x14ac:dyDescent="0.35">
      <c r="A30" s="26" t="s">
        <v>61</v>
      </c>
      <c r="B30" s="27">
        <v>65100</v>
      </c>
      <c r="C30" s="27">
        <f t="shared" si="0"/>
        <v>9765</v>
      </c>
      <c r="D30" s="27">
        <f t="shared" si="1"/>
        <v>55335</v>
      </c>
    </row>
    <row r="31" spans="1:4" x14ac:dyDescent="0.35">
      <c r="A31" s="26" t="s">
        <v>62</v>
      </c>
      <c r="B31" s="27">
        <v>52700</v>
      </c>
      <c r="C31" s="27">
        <f t="shared" si="0"/>
        <v>7905</v>
      </c>
      <c r="D31" s="27">
        <f t="shared" si="1"/>
        <v>44795</v>
      </c>
    </row>
    <row r="32" spans="1:4" x14ac:dyDescent="0.35">
      <c r="A32" s="26" t="s">
        <v>63</v>
      </c>
      <c r="B32" s="27">
        <v>58900</v>
      </c>
      <c r="C32" s="27">
        <f t="shared" si="0"/>
        <v>8835</v>
      </c>
      <c r="D32" s="27">
        <f t="shared" si="1"/>
        <v>50065</v>
      </c>
    </row>
    <row r="33" spans="1:4" x14ac:dyDescent="0.35">
      <c r="A33" s="29" t="s">
        <v>13</v>
      </c>
      <c r="B33" s="30">
        <f>SUM(B2:B32)</f>
        <v>1850600</v>
      </c>
      <c r="C33" s="30">
        <f t="shared" ref="C33:D33" si="2">SUM(C2:C32)</f>
        <v>277590</v>
      </c>
      <c r="D33" s="30">
        <f t="shared" si="2"/>
        <v>1573010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</dc:creator>
  <cp:lastModifiedBy>Erland Adestio Sadana</cp:lastModifiedBy>
  <dcterms:created xsi:type="dcterms:W3CDTF">2015-06-05T18:17:20Z</dcterms:created>
  <dcterms:modified xsi:type="dcterms:W3CDTF">2026-03-02T12:19:14Z</dcterms:modified>
</cp:coreProperties>
</file>