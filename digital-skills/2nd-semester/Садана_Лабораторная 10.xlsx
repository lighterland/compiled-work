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30AC8884-1E0F-4AEA-8566-4AD8FE1F5D0C}" xr6:coauthVersionLast="47" xr6:coauthVersionMax="47" xr10:uidLastSave="{00000000-0000-0000-0000-000000000000}"/>
  <bookViews>
    <workbookView xWindow="-110" yWindow="-110" windowWidth="29020" windowHeight="17500" activeTab="1" xr2:uid="{18687304-436A-7C4C-B30C-480218A5FA82}"/>
  </bookViews>
  <sheets>
    <sheet name="Задание 1" sheetId="1" r:id="rId1"/>
    <sheet name="Задание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J12" i="2"/>
  <c r="J11" i="2"/>
  <c r="J10" i="2"/>
  <c r="J9" i="2"/>
  <c r="J8" i="2"/>
  <c r="J7" i="2"/>
  <c r="J6" i="2"/>
  <c r="J4" i="2"/>
  <c r="I18" i="1"/>
  <c r="H18" i="1"/>
  <c r="H11" i="1"/>
  <c r="H12" i="1"/>
</calcChain>
</file>

<file path=xl/sharedStrings.xml><?xml version="1.0" encoding="utf-8"?>
<sst xmlns="http://schemas.openxmlformats.org/spreadsheetml/2006/main" count="458" uniqueCount="111">
  <si>
    <t>Город</t>
  </si>
  <si>
    <t>Код потока</t>
  </si>
  <si>
    <t>Выручка</t>
  </si>
  <si>
    <t>Аналитика</t>
  </si>
  <si>
    <t>Самара</t>
  </si>
  <si>
    <t>Воронеж</t>
  </si>
  <si>
    <t>Омск</t>
  </si>
  <si>
    <t>Дизайн</t>
  </si>
  <si>
    <t>Маркетинг</t>
  </si>
  <si>
    <t>Программирование</t>
  </si>
  <si>
    <t>Курс</t>
  </si>
  <si>
    <t>Список курсов</t>
  </si>
  <si>
    <t>На листе представлена таблица с данными по преподаваемым курсам онлайн-школы. В таблице указаны название курса, город, код потока, количество слушателей и выручка</t>
  </si>
  <si>
    <t>Количество слушателей</t>
  </si>
  <si>
    <t>Всего слушателей</t>
  </si>
  <si>
    <t>Всего выручка</t>
  </si>
  <si>
    <t>Список городов</t>
  </si>
  <si>
    <t>Общая информация по выбанному курсу</t>
  </si>
  <si>
    <t>Выбрать курс</t>
  </si>
  <si>
    <r>
      <t xml:space="preserve">2. С помощью функции СЧЕТЕСЛИ и СУММЕСЛИ заполните таблицу </t>
    </r>
    <r>
      <rPr>
        <b/>
        <sz val="12"/>
        <color theme="1"/>
        <rFont val="Calibri"/>
        <family val="2"/>
      </rPr>
      <t>Общая информация по курсу</t>
    </r>
  </si>
  <si>
    <r>
      <t xml:space="preserve">3. С помощью функции СЧЕТЕСЛИМН и СУММЕСЛИМН заполните таблицу </t>
    </r>
    <r>
      <rPr>
        <b/>
        <sz val="12"/>
        <color theme="1"/>
        <rFont val="Calibri"/>
        <family val="2"/>
      </rPr>
      <t>Информация по выбранному городу и курсу</t>
    </r>
  </si>
  <si>
    <t>Информация по выбранному городу и курсу</t>
  </si>
  <si>
    <t>По данным таблицы заполните столбец «Результат». Используйте функции условного суммирования, подсчета и среднего с несколькими критериями.</t>
  </si>
  <si>
    <t>Учебный центр</t>
  </si>
  <si>
    <t>Уровень</t>
  </si>
  <si>
    <t>Центр 1</t>
  </si>
  <si>
    <t>Стандарт</t>
  </si>
  <si>
    <t>Центр 2</t>
  </si>
  <si>
    <t>Базовый</t>
  </si>
  <si>
    <t>Центр 3</t>
  </si>
  <si>
    <t>Центр 4</t>
  </si>
  <si>
    <t>Центр 5</t>
  </si>
  <si>
    <t>Центр 6</t>
  </si>
  <si>
    <t>Центр 7</t>
  </si>
  <si>
    <t>Центр 8</t>
  </si>
  <si>
    <t>Центр 9</t>
  </si>
  <si>
    <t>Центр 10</t>
  </si>
  <si>
    <t>Центр 11</t>
  </si>
  <si>
    <t>Премиум</t>
  </si>
  <si>
    <t>Центр 12</t>
  </si>
  <si>
    <t>Центр 13</t>
  </si>
  <si>
    <t>Центр 14</t>
  </si>
  <si>
    <t>Центр 15</t>
  </si>
  <si>
    <t>Центр 16</t>
  </si>
  <si>
    <t>Центр 17</t>
  </si>
  <si>
    <t>Центр 18</t>
  </si>
  <si>
    <t>Центр 19</t>
  </si>
  <si>
    <t>Центр 20</t>
  </si>
  <si>
    <t>Центр 21</t>
  </si>
  <si>
    <t>Центр 22</t>
  </si>
  <si>
    <t>Центр 23</t>
  </si>
  <si>
    <t>Центр 24</t>
  </si>
  <si>
    <t>Центр 25</t>
  </si>
  <si>
    <t>Центр 26</t>
  </si>
  <si>
    <t>Центр 27</t>
  </si>
  <si>
    <t>Центр 28</t>
  </si>
  <si>
    <t>Центр 29</t>
  </si>
  <si>
    <t>Центр 30</t>
  </si>
  <si>
    <t>Центр 31</t>
  </si>
  <si>
    <t>Центр 32</t>
  </si>
  <si>
    <t>Центр 33</t>
  </si>
  <si>
    <t>Центр 34</t>
  </si>
  <si>
    <t>Центр 35</t>
  </si>
  <si>
    <t>Центр 36</t>
  </si>
  <si>
    <t>Центр 37</t>
  </si>
  <si>
    <t>Центр 38</t>
  </si>
  <si>
    <t>Центр 39</t>
  </si>
  <si>
    <t>Центр 40</t>
  </si>
  <si>
    <t>Центр 41</t>
  </si>
  <si>
    <t>Центр 42</t>
  </si>
  <si>
    <t>Центр 43</t>
  </si>
  <si>
    <t>Центр 44</t>
  </si>
  <si>
    <t>Центр 45</t>
  </si>
  <si>
    <t>Центр 46</t>
  </si>
  <si>
    <t>Центр 47</t>
  </si>
  <si>
    <t>Центр 48</t>
  </si>
  <si>
    <t>Центр 49</t>
  </si>
  <si>
    <t>Центр 50</t>
  </si>
  <si>
    <t>Центр 51</t>
  </si>
  <si>
    <t>Центр 52</t>
  </si>
  <si>
    <t>Центр 53</t>
  </si>
  <si>
    <t>Центр 54</t>
  </si>
  <si>
    <t>Центр 55</t>
  </si>
  <si>
    <t>Центр 56</t>
  </si>
  <si>
    <t>Центр 57</t>
  </si>
  <si>
    <t>Центр 58</t>
  </si>
  <si>
    <t>Центр 59</t>
  </si>
  <si>
    <t>Центр 60</t>
  </si>
  <si>
    <t>Центр 61</t>
  </si>
  <si>
    <t>Центр 62</t>
  </si>
  <si>
    <t>Центр 63</t>
  </si>
  <si>
    <t>Центр 64</t>
  </si>
  <si>
    <t>Центр 65</t>
  </si>
  <si>
    <t>Центр 66</t>
  </si>
  <si>
    <t>Центр 67</t>
  </si>
  <si>
    <t>Центр 68</t>
  </si>
  <si>
    <t>Центр 69</t>
  </si>
  <si>
    <t>Результат</t>
  </si>
  <si>
    <t>Выручка программ уровня Базовый в городе Воронеж</t>
  </si>
  <si>
    <t>Средняя выручка программ по Аналитике в Омске</t>
  </si>
  <si>
    <t>Среднее количество слушателей Дизайна в центрах Самары</t>
  </si>
  <si>
    <t>Вопрос</t>
  </si>
  <si>
    <t>Количество учебных центров уровня Стандарт в городе Самара</t>
  </si>
  <si>
    <t>Рассчитайте выручку всех курсов, где количество слушателей меньше 15</t>
  </si>
  <si>
    <t>Количество слушателй</t>
  </si>
  <si>
    <t>Общая выручка всех программ уровня Премиум</t>
  </si>
  <si>
    <t>Сколько слушателей на программе Аналитика?</t>
  </si>
  <si>
    <t>Сколько слушателей в Омске?</t>
  </si>
  <si>
    <t>На какую сумму купили курсов по Программированию?</t>
  </si>
  <si>
    <t>Выбрать город</t>
  </si>
  <si>
    <r>
      <t xml:space="preserve">1. В ячейке </t>
    </r>
    <r>
      <rPr>
        <b/>
        <sz val="12"/>
        <color theme="1"/>
        <rFont val="Calibri"/>
        <family val="2"/>
      </rPr>
      <t xml:space="preserve">G7 </t>
    </r>
    <r>
      <rPr>
        <sz val="12"/>
        <color theme="1"/>
        <rFont val="Calibri"/>
        <family val="2"/>
      </rPr>
      <t xml:space="preserve">создайте выпадающий список с названиями курсов, в ячейке </t>
    </r>
    <r>
      <rPr>
        <b/>
        <sz val="12"/>
        <color theme="1"/>
        <rFont val="Calibri"/>
        <family val="2"/>
      </rPr>
      <t>G18</t>
    </r>
    <r>
      <rPr>
        <sz val="12"/>
        <color theme="1"/>
        <rFont val="Calibri"/>
        <family val="2"/>
      </rPr>
      <t xml:space="preserve"> сделайте выпадающий список с городами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</si>
</sst>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5" x14ac:knownFonts="1">
    <font>
      <sz val="12"/>
      <color theme="1"/>
      <name val="Aptos Narrow"/>
      <family val="2"/>
      <charset val="204"/>
      <scheme val="minor"/>
    </font>
    <font>
      <b/>
      <sz val="11"/>
      <color rgb="FFFFFFFF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2" fillId="0" borderId="0" xfId="0" applyFont="1"/>
    <xf numFmtId="0" fontId="2" fillId="4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4" fillId="0" borderId="4" xfId="0" applyFont="1" applyBorder="1" applyAlignment="1">
      <alignment horizontal="left"/>
    </xf>
    <xf numFmtId="164" fontId="2" fillId="4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7AD2-7DCB-9C4A-99A9-701323B81A36}">
  <dimension ref="A1:M74"/>
  <sheetViews>
    <sheetView showGridLines="0" zoomScale="113" zoomScaleNormal="90" workbookViewId="0">
      <selection activeCell="H17" sqref="H17"/>
    </sheetView>
  </sheetViews>
  <sheetFormatPr defaultColWidth="10.83203125" defaultRowHeight="15.5" x14ac:dyDescent="0.35"/>
  <cols>
    <col min="1" max="1" width="17.83203125" style="8" bestFit="1" customWidth="1"/>
    <col min="2" max="2" width="8.6640625" style="8" bestFit="1" customWidth="1"/>
    <col min="3" max="3" width="10.1640625" style="8" bestFit="1" customWidth="1"/>
    <col min="4" max="4" width="20.33203125" style="8" bestFit="1" customWidth="1"/>
    <col min="5" max="5" width="16.5" style="8" customWidth="1"/>
    <col min="6" max="6" width="10.83203125" style="8"/>
    <col min="7" max="7" width="19" style="8" customWidth="1"/>
    <col min="8" max="8" width="22.1640625" style="8" customWidth="1"/>
    <col min="9" max="9" width="20.83203125" style="8" customWidth="1"/>
    <col min="10" max="10" width="15" style="8" customWidth="1"/>
    <col min="11" max="11" width="20.1640625" style="8" customWidth="1"/>
    <col min="12" max="12" width="14.5" style="8" bestFit="1" customWidth="1"/>
    <col min="13" max="13" width="18" style="8" bestFit="1" customWidth="1"/>
    <col min="14" max="16384" width="10.83203125" style="8"/>
  </cols>
  <sheetData>
    <row r="1" spans="1:13" x14ac:dyDescent="0.35">
      <c r="A1" s="14" t="s">
        <v>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110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5">
      <c r="A3" s="14" t="s">
        <v>19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5">
      <c r="A4" s="14" t="s">
        <v>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5">
      <c r="K5" s="1" t="s">
        <v>11</v>
      </c>
      <c r="L5" s="1" t="s">
        <v>16</v>
      </c>
    </row>
    <row r="6" spans="1:13" ht="16" thickBot="1" x14ac:dyDescent="0.4">
      <c r="A6" s="1" t="s">
        <v>10</v>
      </c>
      <c r="B6" s="1" t="s">
        <v>0</v>
      </c>
      <c r="C6" s="1" t="s">
        <v>1</v>
      </c>
      <c r="D6" s="1" t="s">
        <v>13</v>
      </c>
      <c r="E6" s="1" t="s">
        <v>2</v>
      </c>
      <c r="G6" s="6" t="s">
        <v>18</v>
      </c>
      <c r="K6" s="2" t="s">
        <v>3</v>
      </c>
      <c r="L6" s="2" t="s">
        <v>4</v>
      </c>
    </row>
    <row r="7" spans="1:13" ht="16" thickBot="1" x14ac:dyDescent="0.4">
      <c r="A7" s="2" t="s">
        <v>3</v>
      </c>
      <c r="B7" s="2" t="s">
        <v>4</v>
      </c>
      <c r="C7" s="3">
        <v>43135</v>
      </c>
      <c r="D7" s="4">
        <v>41</v>
      </c>
      <c r="E7" s="5">
        <v>268091</v>
      </c>
      <c r="G7" s="7" t="s">
        <v>8</v>
      </c>
      <c r="K7" s="2" t="s">
        <v>7</v>
      </c>
      <c r="L7" s="2" t="s">
        <v>5</v>
      </c>
    </row>
    <row r="8" spans="1:13" x14ac:dyDescent="0.35">
      <c r="A8" s="2" t="s">
        <v>3</v>
      </c>
      <c r="B8" s="2" t="s">
        <v>4</v>
      </c>
      <c r="C8" s="3">
        <v>41972</v>
      </c>
      <c r="D8" s="4">
        <v>27</v>
      </c>
      <c r="E8" s="5">
        <v>175891</v>
      </c>
      <c r="K8" s="2" t="s">
        <v>8</v>
      </c>
      <c r="L8" s="2" t="s">
        <v>6</v>
      </c>
    </row>
    <row r="9" spans="1:13" x14ac:dyDescent="0.35">
      <c r="A9" s="2" t="s">
        <v>3</v>
      </c>
      <c r="B9" s="2" t="s">
        <v>4</v>
      </c>
      <c r="C9" s="3">
        <v>73197</v>
      </c>
      <c r="D9" s="4">
        <v>66</v>
      </c>
      <c r="E9" s="5">
        <v>415105</v>
      </c>
      <c r="K9" s="2" t="s">
        <v>9</v>
      </c>
      <c r="L9" s="2"/>
    </row>
    <row r="10" spans="1:13" x14ac:dyDescent="0.35">
      <c r="A10" s="2" t="s">
        <v>3</v>
      </c>
      <c r="B10" s="2" t="s">
        <v>4</v>
      </c>
      <c r="C10" s="3">
        <v>94124</v>
      </c>
      <c r="D10" s="4">
        <v>24</v>
      </c>
      <c r="E10" s="5">
        <v>143852</v>
      </c>
      <c r="G10" s="15" t="s">
        <v>17</v>
      </c>
      <c r="H10" s="15"/>
    </row>
    <row r="11" spans="1:13" x14ac:dyDescent="0.35">
      <c r="A11" s="2" t="s">
        <v>3</v>
      </c>
      <c r="B11" s="2" t="s">
        <v>4</v>
      </c>
      <c r="C11" s="3">
        <v>73118</v>
      </c>
      <c r="D11" s="4">
        <v>34</v>
      </c>
      <c r="E11" s="5">
        <v>205514</v>
      </c>
      <c r="G11" s="1" t="s">
        <v>14</v>
      </c>
      <c r="H11" s="16">
        <f>SUMIF(A7:A74,G7,E7:E74)</f>
        <v>4306718</v>
      </c>
    </row>
    <row r="12" spans="1:13" x14ac:dyDescent="0.35">
      <c r="A12" s="2" t="s">
        <v>3</v>
      </c>
      <c r="B12" s="2" t="s">
        <v>4</v>
      </c>
      <c r="C12" s="3">
        <v>89860</v>
      </c>
      <c r="D12" s="4">
        <v>37</v>
      </c>
      <c r="E12" s="5">
        <v>222229</v>
      </c>
      <c r="G12" s="1" t="s">
        <v>15</v>
      </c>
      <c r="H12" s="9">
        <f>SUMIF(A7:A74,G7,D7:D74)</f>
        <v>820</v>
      </c>
    </row>
    <row r="13" spans="1:13" x14ac:dyDescent="0.35">
      <c r="A13" s="2" t="s">
        <v>3</v>
      </c>
      <c r="B13" s="2" t="s">
        <v>4</v>
      </c>
      <c r="C13" s="3">
        <v>97371</v>
      </c>
      <c r="D13" s="4">
        <v>22</v>
      </c>
      <c r="E13" s="5">
        <v>147081</v>
      </c>
    </row>
    <row r="14" spans="1:13" x14ac:dyDescent="0.35">
      <c r="A14" s="2" t="s">
        <v>3</v>
      </c>
      <c r="B14" s="2" t="s">
        <v>5</v>
      </c>
      <c r="C14" s="3">
        <v>68607</v>
      </c>
      <c r="D14" s="4">
        <v>32</v>
      </c>
      <c r="E14" s="5">
        <v>222638</v>
      </c>
    </row>
    <row r="15" spans="1:13" x14ac:dyDescent="0.35">
      <c r="A15" s="2" t="s">
        <v>3</v>
      </c>
      <c r="B15" s="2" t="s">
        <v>5</v>
      </c>
      <c r="C15" s="3">
        <v>58191</v>
      </c>
      <c r="D15" s="4">
        <v>43</v>
      </c>
      <c r="E15" s="5">
        <v>265069</v>
      </c>
    </row>
    <row r="16" spans="1:13" x14ac:dyDescent="0.35">
      <c r="A16" s="2" t="s">
        <v>3</v>
      </c>
      <c r="B16" s="2" t="s">
        <v>5</v>
      </c>
      <c r="C16" s="3">
        <v>60864</v>
      </c>
      <c r="D16" s="4">
        <v>56</v>
      </c>
      <c r="E16" s="5">
        <v>358003</v>
      </c>
      <c r="G16" s="15" t="s">
        <v>21</v>
      </c>
      <c r="H16" s="15"/>
      <c r="I16" s="15"/>
    </row>
    <row r="17" spans="1:9" ht="16" thickBot="1" x14ac:dyDescent="0.4">
      <c r="A17" s="2" t="s">
        <v>3</v>
      </c>
      <c r="B17" s="2" t="s">
        <v>5</v>
      </c>
      <c r="C17" s="3">
        <v>70945</v>
      </c>
      <c r="D17" s="4">
        <v>63</v>
      </c>
      <c r="E17" s="5">
        <v>440863</v>
      </c>
      <c r="G17" s="6" t="s">
        <v>109</v>
      </c>
      <c r="H17" s="1" t="s">
        <v>13</v>
      </c>
      <c r="I17" s="1" t="s">
        <v>2</v>
      </c>
    </row>
    <row r="18" spans="1:9" ht="16" thickBot="1" x14ac:dyDescent="0.4">
      <c r="A18" s="2" t="s">
        <v>3</v>
      </c>
      <c r="B18" s="2" t="s">
        <v>5</v>
      </c>
      <c r="C18" s="3">
        <v>56688</v>
      </c>
      <c r="D18" s="4">
        <v>42</v>
      </c>
      <c r="E18" s="5">
        <v>281308</v>
      </c>
      <c r="G18" s="7" t="s">
        <v>4</v>
      </c>
      <c r="H18" s="9">
        <f>SUMIFS(D7:D74,B7:B74,G18,A7:A74,G7)</f>
        <v>276</v>
      </c>
      <c r="I18" s="16">
        <f>SUMIFS(E7:E74,B7:B74,G18,A7:A74,G7)</f>
        <v>1465606</v>
      </c>
    </row>
    <row r="19" spans="1:9" x14ac:dyDescent="0.35">
      <c r="A19" s="2" t="s">
        <v>3</v>
      </c>
      <c r="B19" s="2" t="s">
        <v>5</v>
      </c>
      <c r="C19" s="3">
        <v>43900</v>
      </c>
      <c r="D19" s="4">
        <v>51</v>
      </c>
      <c r="E19" s="5">
        <v>303803</v>
      </c>
    </row>
    <row r="20" spans="1:9" x14ac:dyDescent="0.35">
      <c r="A20" s="2" t="s">
        <v>3</v>
      </c>
      <c r="B20" s="2" t="s">
        <v>6</v>
      </c>
      <c r="C20" s="3">
        <v>53776</v>
      </c>
      <c r="D20" s="4">
        <v>33</v>
      </c>
      <c r="E20" s="5">
        <v>217938</v>
      </c>
    </row>
    <row r="21" spans="1:9" x14ac:dyDescent="0.35">
      <c r="A21" s="2" t="s">
        <v>3</v>
      </c>
      <c r="B21" s="2" t="s">
        <v>6</v>
      </c>
      <c r="C21" s="3">
        <v>91597</v>
      </c>
      <c r="D21" s="4">
        <v>29</v>
      </c>
      <c r="E21" s="5">
        <v>183694</v>
      </c>
    </row>
    <row r="22" spans="1:9" x14ac:dyDescent="0.35">
      <c r="A22" s="2" t="s">
        <v>3</v>
      </c>
      <c r="B22" s="2" t="s">
        <v>6</v>
      </c>
      <c r="C22" s="3">
        <v>76978</v>
      </c>
      <c r="D22" s="4">
        <v>42</v>
      </c>
      <c r="E22" s="5">
        <v>272253</v>
      </c>
    </row>
    <row r="23" spans="1:9" x14ac:dyDescent="0.35">
      <c r="A23" s="2" t="s">
        <v>3</v>
      </c>
      <c r="B23" s="2" t="s">
        <v>6</v>
      </c>
      <c r="C23" s="3">
        <v>45259</v>
      </c>
      <c r="D23" s="4">
        <v>55</v>
      </c>
      <c r="E23" s="5">
        <v>366454</v>
      </c>
    </row>
    <row r="24" spans="1:9" x14ac:dyDescent="0.35">
      <c r="A24" s="2" t="s">
        <v>3</v>
      </c>
      <c r="B24" s="2" t="s">
        <v>6</v>
      </c>
      <c r="C24" s="3">
        <v>96316</v>
      </c>
      <c r="D24" s="4">
        <v>46</v>
      </c>
      <c r="E24" s="5">
        <v>282541</v>
      </c>
    </row>
    <row r="25" spans="1:9" x14ac:dyDescent="0.35">
      <c r="A25" s="2" t="s">
        <v>7</v>
      </c>
      <c r="B25" s="2" t="s">
        <v>4</v>
      </c>
      <c r="C25" s="3">
        <v>68057</v>
      </c>
      <c r="D25" s="4">
        <v>29</v>
      </c>
      <c r="E25" s="5">
        <v>160323</v>
      </c>
    </row>
    <row r="26" spans="1:9" x14ac:dyDescent="0.35">
      <c r="A26" s="2" t="s">
        <v>7</v>
      </c>
      <c r="B26" s="2" t="s">
        <v>4</v>
      </c>
      <c r="C26" s="3">
        <v>73545</v>
      </c>
      <c r="D26" s="4">
        <v>33</v>
      </c>
      <c r="E26" s="5">
        <v>211331</v>
      </c>
    </row>
    <row r="27" spans="1:9" x14ac:dyDescent="0.35">
      <c r="A27" s="2" t="s">
        <v>7</v>
      </c>
      <c r="B27" s="2" t="s">
        <v>4</v>
      </c>
      <c r="C27" s="3">
        <v>84115</v>
      </c>
      <c r="D27" s="4">
        <v>18</v>
      </c>
      <c r="E27" s="5">
        <v>109531</v>
      </c>
    </row>
    <row r="28" spans="1:9" x14ac:dyDescent="0.35">
      <c r="A28" s="2" t="s">
        <v>7</v>
      </c>
      <c r="B28" s="2" t="s">
        <v>4</v>
      </c>
      <c r="C28" s="3">
        <v>97041</v>
      </c>
      <c r="D28" s="4">
        <v>19</v>
      </c>
      <c r="E28" s="5">
        <v>107441</v>
      </c>
    </row>
    <row r="29" spans="1:9" x14ac:dyDescent="0.35">
      <c r="A29" s="2" t="s">
        <v>7</v>
      </c>
      <c r="B29" s="2" t="s">
        <v>4</v>
      </c>
      <c r="C29" s="3">
        <v>78174</v>
      </c>
      <c r="D29" s="4">
        <v>37</v>
      </c>
      <c r="E29" s="5">
        <v>240886</v>
      </c>
    </row>
    <row r="30" spans="1:9" x14ac:dyDescent="0.35">
      <c r="A30" s="2" t="s">
        <v>7</v>
      </c>
      <c r="B30" s="2" t="s">
        <v>5</v>
      </c>
      <c r="C30" s="3">
        <v>48400</v>
      </c>
      <c r="D30" s="4">
        <v>63</v>
      </c>
      <c r="E30" s="5">
        <v>400282</v>
      </c>
    </row>
    <row r="31" spans="1:9" x14ac:dyDescent="0.35">
      <c r="A31" s="2" t="s">
        <v>7</v>
      </c>
      <c r="B31" s="2" t="s">
        <v>5</v>
      </c>
      <c r="C31" s="3">
        <v>69937</v>
      </c>
      <c r="D31" s="4">
        <v>24</v>
      </c>
      <c r="E31" s="5">
        <v>158106</v>
      </c>
    </row>
    <row r="32" spans="1:9" x14ac:dyDescent="0.35">
      <c r="A32" s="2" t="s">
        <v>7</v>
      </c>
      <c r="B32" s="2" t="s">
        <v>5</v>
      </c>
      <c r="C32" s="3">
        <v>53512</v>
      </c>
      <c r="D32" s="4">
        <v>36</v>
      </c>
      <c r="E32" s="5">
        <v>215015</v>
      </c>
    </row>
    <row r="33" spans="1:5" x14ac:dyDescent="0.35">
      <c r="A33" s="2" t="s">
        <v>7</v>
      </c>
      <c r="B33" s="2" t="s">
        <v>5</v>
      </c>
      <c r="C33" s="3">
        <v>68137</v>
      </c>
      <c r="D33" s="4">
        <v>42</v>
      </c>
      <c r="E33" s="5">
        <v>242012</v>
      </c>
    </row>
    <row r="34" spans="1:5" x14ac:dyDescent="0.35">
      <c r="A34" s="2" t="s">
        <v>7</v>
      </c>
      <c r="B34" s="2" t="s">
        <v>5</v>
      </c>
      <c r="C34" s="3">
        <v>59002</v>
      </c>
      <c r="D34" s="4">
        <v>23</v>
      </c>
      <c r="E34" s="5">
        <v>142116</v>
      </c>
    </row>
    <row r="35" spans="1:5" x14ac:dyDescent="0.35">
      <c r="A35" s="2" t="s">
        <v>7</v>
      </c>
      <c r="B35" s="2" t="s">
        <v>6</v>
      </c>
      <c r="C35" s="3">
        <v>97680</v>
      </c>
      <c r="D35" s="4">
        <v>21</v>
      </c>
      <c r="E35" s="5">
        <v>121513</v>
      </c>
    </row>
    <row r="36" spans="1:5" x14ac:dyDescent="0.35">
      <c r="A36" s="2" t="s">
        <v>7</v>
      </c>
      <c r="B36" s="2" t="s">
        <v>6</v>
      </c>
      <c r="C36" s="3">
        <v>60829</v>
      </c>
      <c r="D36" s="4">
        <v>24</v>
      </c>
      <c r="E36" s="5">
        <v>149456</v>
      </c>
    </row>
    <row r="37" spans="1:5" x14ac:dyDescent="0.35">
      <c r="A37" s="2" t="s">
        <v>7</v>
      </c>
      <c r="B37" s="2" t="s">
        <v>6</v>
      </c>
      <c r="C37" s="3">
        <v>94808</v>
      </c>
      <c r="D37" s="4">
        <v>25</v>
      </c>
      <c r="E37" s="5">
        <v>158965</v>
      </c>
    </row>
    <row r="38" spans="1:5" x14ac:dyDescent="0.35">
      <c r="A38" s="2" t="s">
        <v>7</v>
      </c>
      <c r="B38" s="2" t="s">
        <v>6</v>
      </c>
      <c r="C38" s="3">
        <v>72466</v>
      </c>
      <c r="D38" s="4">
        <v>63</v>
      </c>
      <c r="E38" s="5">
        <v>370228</v>
      </c>
    </row>
    <row r="39" spans="1:5" x14ac:dyDescent="0.35">
      <c r="A39" s="2" t="s">
        <v>7</v>
      </c>
      <c r="B39" s="2" t="s">
        <v>6</v>
      </c>
      <c r="C39" s="3">
        <v>69489</v>
      </c>
      <c r="D39" s="4">
        <v>28</v>
      </c>
      <c r="E39" s="5">
        <v>153793</v>
      </c>
    </row>
    <row r="40" spans="1:5" x14ac:dyDescent="0.35">
      <c r="A40" s="2" t="s">
        <v>8</v>
      </c>
      <c r="B40" s="2" t="s">
        <v>4</v>
      </c>
      <c r="C40" s="3">
        <v>43862</v>
      </c>
      <c r="D40" s="4">
        <v>35</v>
      </c>
      <c r="E40" s="5">
        <v>200276</v>
      </c>
    </row>
    <row r="41" spans="1:5" x14ac:dyDescent="0.35">
      <c r="A41" s="2" t="s">
        <v>8</v>
      </c>
      <c r="B41" s="2" t="s">
        <v>4</v>
      </c>
      <c r="C41" s="3">
        <v>56900</v>
      </c>
      <c r="D41" s="4">
        <v>19</v>
      </c>
      <c r="E41" s="5">
        <v>96798</v>
      </c>
    </row>
    <row r="42" spans="1:5" x14ac:dyDescent="0.35">
      <c r="A42" s="2" t="s">
        <v>8</v>
      </c>
      <c r="B42" s="2" t="s">
        <v>4</v>
      </c>
      <c r="C42" s="3">
        <v>67528</v>
      </c>
      <c r="D42" s="4">
        <v>51</v>
      </c>
      <c r="E42" s="5">
        <v>254609</v>
      </c>
    </row>
    <row r="43" spans="1:5" x14ac:dyDescent="0.35">
      <c r="A43" s="2" t="s">
        <v>8</v>
      </c>
      <c r="B43" s="2" t="s">
        <v>4</v>
      </c>
      <c r="C43" s="3">
        <v>97986</v>
      </c>
      <c r="D43" s="4">
        <v>45</v>
      </c>
      <c r="E43" s="5">
        <v>247557</v>
      </c>
    </row>
    <row r="44" spans="1:5" x14ac:dyDescent="0.35">
      <c r="A44" s="2" t="s">
        <v>8</v>
      </c>
      <c r="B44" s="2" t="s">
        <v>4</v>
      </c>
      <c r="C44" s="3">
        <v>56820</v>
      </c>
      <c r="D44" s="4">
        <v>61</v>
      </c>
      <c r="E44" s="5">
        <v>326658</v>
      </c>
    </row>
    <row r="45" spans="1:5" x14ac:dyDescent="0.35">
      <c r="A45" s="2" t="s">
        <v>8</v>
      </c>
      <c r="B45" s="2" t="s">
        <v>4</v>
      </c>
      <c r="C45" s="3">
        <v>58805</v>
      </c>
      <c r="D45" s="4">
        <v>47</v>
      </c>
      <c r="E45" s="5">
        <v>249702</v>
      </c>
    </row>
    <row r="46" spans="1:5" x14ac:dyDescent="0.35">
      <c r="A46" s="2" t="s">
        <v>8</v>
      </c>
      <c r="B46" s="2" t="s">
        <v>4</v>
      </c>
      <c r="C46" s="3">
        <v>73760</v>
      </c>
      <c r="D46" s="4">
        <v>18</v>
      </c>
      <c r="E46" s="5">
        <v>90006</v>
      </c>
    </row>
    <row r="47" spans="1:5" x14ac:dyDescent="0.35">
      <c r="A47" s="2" t="s">
        <v>8</v>
      </c>
      <c r="B47" s="2" t="s">
        <v>5</v>
      </c>
      <c r="C47" s="3">
        <v>71241</v>
      </c>
      <c r="D47" s="4">
        <v>39</v>
      </c>
      <c r="E47" s="5">
        <v>193835</v>
      </c>
    </row>
    <row r="48" spans="1:5" x14ac:dyDescent="0.35">
      <c r="A48" s="2" t="s">
        <v>8</v>
      </c>
      <c r="B48" s="2" t="s">
        <v>5</v>
      </c>
      <c r="C48" s="3">
        <v>76474</v>
      </c>
      <c r="D48" s="4">
        <v>51</v>
      </c>
      <c r="E48" s="5">
        <v>264233</v>
      </c>
    </row>
    <row r="49" spans="1:5" x14ac:dyDescent="0.35">
      <c r="A49" s="2" t="s">
        <v>8</v>
      </c>
      <c r="B49" s="2" t="s">
        <v>5</v>
      </c>
      <c r="C49" s="3">
        <v>66416</v>
      </c>
      <c r="D49" s="4">
        <v>45</v>
      </c>
      <c r="E49" s="5">
        <v>248820</v>
      </c>
    </row>
    <row r="50" spans="1:5" x14ac:dyDescent="0.35">
      <c r="A50" s="2" t="s">
        <v>8</v>
      </c>
      <c r="B50" s="2" t="s">
        <v>5</v>
      </c>
      <c r="C50" s="3">
        <v>77616</v>
      </c>
      <c r="D50" s="4">
        <v>42</v>
      </c>
      <c r="E50" s="5">
        <v>207206</v>
      </c>
    </row>
    <row r="51" spans="1:5" x14ac:dyDescent="0.35">
      <c r="A51" s="2" t="s">
        <v>8</v>
      </c>
      <c r="B51" s="2" t="s">
        <v>5</v>
      </c>
      <c r="C51" s="3">
        <v>68208</v>
      </c>
      <c r="D51" s="4">
        <v>67</v>
      </c>
      <c r="E51" s="5">
        <v>326350</v>
      </c>
    </row>
    <row r="52" spans="1:5" x14ac:dyDescent="0.35">
      <c r="A52" s="2" t="s">
        <v>8</v>
      </c>
      <c r="B52" s="2" t="s">
        <v>5</v>
      </c>
      <c r="C52" s="3">
        <v>41185</v>
      </c>
      <c r="D52" s="4">
        <v>42</v>
      </c>
      <c r="E52" s="5">
        <v>225330</v>
      </c>
    </row>
    <row r="53" spans="1:5" x14ac:dyDescent="0.35">
      <c r="A53" s="2" t="s">
        <v>8</v>
      </c>
      <c r="B53" s="2" t="s">
        <v>5</v>
      </c>
      <c r="C53" s="3">
        <v>44314</v>
      </c>
      <c r="D53" s="4">
        <v>36</v>
      </c>
      <c r="E53" s="5">
        <v>177395</v>
      </c>
    </row>
    <row r="54" spans="1:5" x14ac:dyDescent="0.35">
      <c r="A54" s="2" t="s">
        <v>8</v>
      </c>
      <c r="B54" s="2" t="s">
        <v>6</v>
      </c>
      <c r="C54" s="3">
        <v>80860</v>
      </c>
      <c r="D54" s="4">
        <v>43</v>
      </c>
      <c r="E54" s="5">
        <v>243356</v>
      </c>
    </row>
    <row r="55" spans="1:5" x14ac:dyDescent="0.35">
      <c r="A55" s="2" t="s">
        <v>8</v>
      </c>
      <c r="B55" s="2" t="s">
        <v>6</v>
      </c>
      <c r="C55" s="3">
        <v>93397</v>
      </c>
      <c r="D55" s="4">
        <v>45</v>
      </c>
      <c r="E55" s="5">
        <v>223813</v>
      </c>
    </row>
    <row r="56" spans="1:5" x14ac:dyDescent="0.35">
      <c r="A56" s="2" t="s">
        <v>8</v>
      </c>
      <c r="B56" s="2" t="s">
        <v>6</v>
      </c>
      <c r="C56" s="3">
        <v>97494</v>
      </c>
      <c r="D56" s="4">
        <v>41</v>
      </c>
      <c r="E56" s="5">
        <v>229654</v>
      </c>
    </row>
    <row r="57" spans="1:5" x14ac:dyDescent="0.35">
      <c r="A57" s="2" t="s">
        <v>8</v>
      </c>
      <c r="B57" s="2" t="s">
        <v>6</v>
      </c>
      <c r="C57" s="3">
        <v>70300</v>
      </c>
      <c r="D57" s="4">
        <v>35</v>
      </c>
      <c r="E57" s="5">
        <v>194373</v>
      </c>
    </row>
    <row r="58" spans="1:5" x14ac:dyDescent="0.35">
      <c r="A58" s="2" t="s">
        <v>8</v>
      </c>
      <c r="B58" s="2" t="s">
        <v>6</v>
      </c>
      <c r="C58" s="3">
        <v>92690</v>
      </c>
      <c r="D58" s="4">
        <v>58</v>
      </c>
      <c r="E58" s="5">
        <v>306747</v>
      </c>
    </row>
    <row r="59" spans="1:5" x14ac:dyDescent="0.35">
      <c r="A59" s="2" t="s">
        <v>9</v>
      </c>
      <c r="B59" s="2" t="s">
        <v>4</v>
      </c>
      <c r="C59" s="3">
        <v>83567</v>
      </c>
      <c r="D59" s="4">
        <v>47</v>
      </c>
      <c r="E59" s="5">
        <v>393925</v>
      </c>
    </row>
    <row r="60" spans="1:5" x14ac:dyDescent="0.35">
      <c r="A60" s="2" t="s">
        <v>9</v>
      </c>
      <c r="B60" s="2" t="s">
        <v>4</v>
      </c>
      <c r="C60" s="3">
        <v>51068</v>
      </c>
      <c r="D60" s="4">
        <v>61</v>
      </c>
      <c r="E60" s="5">
        <v>452054</v>
      </c>
    </row>
    <row r="61" spans="1:5" x14ac:dyDescent="0.35">
      <c r="A61" s="2" t="s">
        <v>9</v>
      </c>
      <c r="B61" s="2" t="s">
        <v>4</v>
      </c>
      <c r="C61" s="3">
        <v>81574</v>
      </c>
      <c r="D61" s="4">
        <v>16</v>
      </c>
      <c r="E61" s="5">
        <v>128961</v>
      </c>
    </row>
    <row r="62" spans="1:5" x14ac:dyDescent="0.35">
      <c r="A62" s="2" t="s">
        <v>9</v>
      </c>
      <c r="B62" s="2" t="s">
        <v>4</v>
      </c>
      <c r="C62" s="3">
        <v>83113</v>
      </c>
      <c r="D62" s="4">
        <v>51</v>
      </c>
      <c r="E62" s="5">
        <v>402837</v>
      </c>
    </row>
    <row r="63" spans="1:5" x14ac:dyDescent="0.35">
      <c r="A63" s="2" t="s">
        <v>9</v>
      </c>
      <c r="B63" s="2" t="s">
        <v>4</v>
      </c>
      <c r="C63" s="3">
        <v>82184</v>
      </c>
      <c r="D63" s="4">
        <v>44</v>
      </c>
      <c r="E63" s="5">
        <v>312574</v>
      </c>
    </row>
    <row r="64" spans="1:5" x14ac:dyDescent="0.35">
      <c r="A64" s="2" t="s">
        <v>9</v>
      </c>
      <c r="B64" s="2" t="s">
        <v>4</v>
      </c>
      <c r="C64" s="3">
        <v>48626</v>
      </c>
      <c r="D64" s="4">
        <v>32</v>
      </c>
      <c r="E64" s="5">
        <v>246293</v>
      </c>
    </row>
    <row r="65" spans="1:5" x14ac:dyDescent="0.35">
      <c r="A65" s="2" t="s">
        <v>9</v>
      </c>
      <c r="B65" s="2" t="s">
        <v>5</v>
      </c>
      <c r="C65" s="3">
        <v>88070</v>
      </c>
      <c r="D65" s="4">
        <v>32</v>
      </c>
      <c r="E65" s="5">
        <v>267240</v>
      </c>
    </row>
    <row r="66" spans="1:5" x14ac:dyDescent="0.35">
      <c r="A66" s="2" t="s">
        <v>9</v>
      </c>
      <c r="B66" s="2" t="s">
        <v>5</v>
      </c>
      <c r="C66" s="3">
        <v>44030</v>
      </c>
      <c r="D66" s="4">
        <v>52</v>
      </c>
      <c r="E66" s="5">
        <v>436099</v>
      </c>
    </row>
    <row r="67" spans="1:5" x14ac:dyDescent="0.35">
      <c r="A67" s="2" t="s">
        <v>9</v>
      </c>
      <c r="B67" s="2" t="s">
        <v>5</v>
      </c>
      <c r="C67" s="3">
        <v>91255</v>
      </c>
      <c r="D67" s="4">
        <v>20</v>
      </c>
      <c r="E67" s="5">
        <v>169701</v>
      </c>
    </row>
    <row r="68" spans="1:5" x14ac:dyDescent="0.35">
      <c r="A68" s="2" t="s">
        <v>9</v>
      </c>
      <c r="B68" s="2" t="s">
        <v>5</v>
      </c>
      <c r="C68" s="3">
        <v>59709</v>
      </c>
      <c r="D68" s="4">
        <v>24</v>
      </c>
      <c r="E68" s="5">
        <v>192852</v>
      </c>
    </row>
    <row r="69" spans="1:5" x14ac:dyDescent="0.35">
      <c r="A69" s="2" t="s">
        <v>9</v>
      </c>
      <c r="B69" s="2" t="s">
        <v>5</v>
      </c>
      <c r="C69" s="3">
        <v>50258</v>
      </c>
      <c r="D69" s="4">
        <v>37</v>
      </c>
      <c r="E69" s="5">
        <v>293313</v>
      </c>
    </row>
    <row r="70" spans="1:5" x14ac:dyDescent="0.35">
      <c r="A70" s="2" t="s">
        <v>9</v>
      </c>
      <c r="B70" s="2" t="s">
        <v>6</v>
      </c>
      <c r="C70" s="3">
        <v>63928</v>
      </c>
      <c r="D70" s="4">
        <v>25</v>
      </c>
      <c r="E70" s="5">
        <v>179579</v>
      </c>
    </row>
    <row r="71" spans="1:5" x14ac:dyDescent="0.35">
      <c r="A71" s="2" t="s">
        <v>9</v>
      </c>
      <c r="B71" s="2" t="s">
        <v>6</v>
      </c>
      <c r="C71" s="3">
        <v>53756</v>
      </c>
      <c r="D71" s="4">
        <v>41</v>
      </c>
      <c r="E71" s="5">
        <v>302085</v>
      </c>
    </row>
    <row r="72" spans="1:5" x14ac:dyDescent="0.35">
      <c r="A72" s="2" t="s">
        <v>9</v>
      </c>
      <c r="B72" s="2" t="s">
        <v>6</v>
      </c>
      <c r="C72" s="3">
        <v>47291</v>
      </c>
      <c r="D72" s="4">
        <v>57</v>
      </c>
      <c r="E72" s="5">
        <v>485159</v>
      </c>
    </row>
    <row r="73" spans="1:5" x14ac:dyDescent="0.35">
      <c r="A73" s="2" t="s">
        <v>9</v>
      </c>
      <c r="B73" s="2" t="s">
        <v>6</v>
      </c>
      <c r="C73" s="3">
        <v>71392</v>
      </c>
      <c r="D73" s="4">
        <v>61</v>
      </c>
      <c r="E73" s="5">
        <v>497335</v>
      </c>
    </row>
    <row r="74" spans="1:5" x14ac:dyDescent="0.35">
      <c r="A74" s="2" t="s">
        <v>9</v>
      </c>
      <c r="B74" s="2" t="s">
        <v>6</v>
      </c>
      <c r="C74" s="3">
        <v>95220</v>
      </c>
      <c r="D74" s="4">
        <v>47</v>
      </c>
      <c r="E74" s="5">
        <v>381229</v>
      </c>
    </row>
  </sheetData>
  <mergeCells count="6">
    <mergeCell ref="A1:M1"/>
    <mergeCell ref="A2:M2"/>
    <mergeCell ref="A3:M3"/>
    <mergeCell ref="G10:H10"/>
    <mergeCell ref="G16:I16"/>
    <mergeCell ref="A4:M4"/>
  </mergeCells>
  <dataValidations count="2">
    <dataValidation type="list" allowBlank="1" showInputMessage="1" showErrorMessage="1" sqref="G7" xr:uid="{6F6F44A6-A33D-4B1D-B27A-6360C2D3DF3F}">
      <formula1>$K$6:$K$9</formula1>
    </dataValidation>
    <dataValidation type="list" allowBlank="1" showInputMessage="1" showErrorMessage="1" sqref="G18" xr:uid="{DE246BD2-90BB-46CA-B8CA-2B6A7D815FD9}">
      <formula1>$L$6:$L$8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1387-23FD-514A-8615-4F55A58CC111}">
  <dimension ref="A1:L72"/>
  <sheetViews>
    <sheetView showGridLines="0" tabSelected="1" workbookViewId="0">
      <selection activeCell="J5" sqref="J5"/>
    </sheetView>
  </sheetViews>
  <sheetFormatPr defaultColWidth="10.83203125" defaultRowHeight="15.5" x14ac:dyDescent="0.35"/>
  <cols>
    <col min="1" max="1" width="18.33203125" style="8" bestFit="1" customWidth="1"/>
    <col min="2" max="2" width="8.83203125" style="8" bestFit="1" customWidth="1"/>
    <col min="3" max="3" width="13.33203125" style="8" bestFit="1" customWidth="1"/>
    <col min="4" max="4" width="9.1640625" style="8" bestFit="1" customWidth="1"/>
    <col min="5" max="5" width="22.1640625" style="8" customWidth="1"/>
    <col min="6" max="6" width="11.6640625" style="8" bestFit="1" customWidth="1"/>
    <col min="7" max="8" width="10.83203125" style="8"/>
    <col min="9" max="9" width="68" style="8" customWidth="1"/>
    <col min="10" max="10" width="19.1640625" style="8" customWidth="1"/>
    <col min="11" max="16384" width="10.83203125" style="8"/>
  </cols>
  <sheetData>
    <row r="1" spans="1:12" x14ac:dyDescent="0.35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x14ac:dyDescent="0.35">
      <c r="A3" s="1" t="s">
        <v>10</v>
      </c>
      <c r="B3" s="1" t="s">
        <v>0</v>
      </c>
      <c r="C3" s="1" t="s">
        <v>23</v>
      </c>
      <c r="D3" s="1" t="s">
        <v>24</v>
      </c>
      <c r="E3" s="1" t="s">
        <v>104</v>
      </c>
      <c r="F3" s="1" t="s">
        <v>2</v>
      </c>
      <c r="I3" s="10" t="s">
        <v>101</v>
      </c>
      <c r="J3" s="10" t="s">
        <v>97</v>
      </c>
    </row>
    <row r="4" spans="1:12" x14ac:dyDescent="0.35">
      <c r="A4" s="2" t="s">
        <v>3</v>
      </c>
      <c r="B4" s="2" t="s">
        <v>5</v>
      </c>
      <c r="C4" s="2" t="s">
        <v>25</v>
      </c>
      <c r="D4" s="2" t="s">
        <v>26</v>
      </c>
      <c r="E4" s="4">
        <v>36</v>
      </c>
      <c r="F4" s="5">
        <v>274515</v>
      </c>
      <c r="H4" s="12"/>
      <c r="I4" s="11" t="s">
        <v>105</v>
      </c>
      <c r="J4" s="5">
        <f>SUMIFS(F4:F72,D4:D72,"Премиум")</f>
        <v>7957693</v>
      </c>
    </row>
    <row r="5" spans="1:12" x14ac:dyDescent="0.35">
      <c r="A5" s="2" t="s">
        <v>7</v>
      </c>
      <c r="B5" s="2" t="s">
        <v>5</v>
      </c>
      <c r="C5" s="2" t="s">
        <v>27</v>
      </c>
      <c r="D5" s="2" t="s">
        <v>28</v>
      </c>
      <c r="E5" s="4">
        <v>10</v>
      </c>
      <c r="F5" s="5">
        <v>55573</v>
      </c>
      <c r="H5" s="12"/>
      <c r="I5" s="11" t="s">
        <v>102</v>
      </c>
      <c r="J5" s="17">
        <f>COUNTIFS(B4:B72,"Самара",D4:D72,D4)</f>
        <v>13</v>
      </c>
    </row>
    <row r="6" spans="1:12" x14ac:dyDescent="0.35">
      <c r="A6" s="2" t="s">
        <v>8</v>
      </c>
      <c r="B6" s="2" t="s">
        <v>6</v>
      </c>
      <c r="C6" s="2" t="s">
        <v>29</v>
      </c>
      <c r="D6" s="2" t="s">
        <v>26</v>
      </c>
      <c r="E6" s="4">
        <v>58</v>
      </c>
      <c r="F6" s="5">
        <v>404999</v>
      </c>
      <c r="H6" s="12"/>
      <c r="I6" s="11" t="s">
        <v>98</v>
      </c>
      <c r="J6" s="5">
        <f>SUMIFS(F4:F72,D4:D72,"Базовый",B4:B72,"Воронеж")</f>
        <v>1492253</v>
      </c>
    </row>
    <row r="7" spans="1:12" x14ac:dyDescent="0.35">
      <c r="A7" s="2" t="s">
        <v>9</v>
      </c>
      <c r="B7" s="2" t="s">
        <v>6</v>
      </c>
      <c r="C7" s="2" t="s">
        <v>30</v>
      </c>
      <c r="D7" s="2" t="s">
        <v>28</v>
      </c>
      <c r="E7" s="4">
        <v>64</v>
      </c>
      <c r="F7" s="5">
        <v>515304</v>
      </c>
      <c r="H7" s="12"/>
      <c r="I7" s="11" t="s">
        <v>99</v>
      </c>
      <c r="J7" s="5">
        <f>AVERAGEIFS(F4:F72,A4:A72,A4,B4:B72,B6)</f>
        <v>313927</v>
      </c>
    </row>
    <row r="8" spans="1:12" x14ac:dyDescent="0.35">
      <c r="A8" s="2" t="s">
        <v>3</v>
      </c>
      <c r="B8" s="2" t="s">
        <v>4</v>
      </c>
      <c r="C8" s="2" t="s">
        <v>31</v>
      </c>
      <c r="D8" s="2" t="s">
        <v>28</v>
      </c>
      <c r="E8" s="4">
        <v>56</v>
      </c>
      <c r="F8" s="5">
        <v>355309</v>
      </c>
      <c r="H8" s="12"/>
      <c r="I8" s="11" t="s">
        <v>100</v>
      </c>
      <c r="J8" s="17">
        <f>AVERAGEIFS(E4:E72,A4:A72,A5,B4:B72,B8)</f>
        <v>45.75</v>
      </c>
    </row>
    <row r="9" spans="1:12" x14ac:dyDescent="0.35">
      <c r="A9" s="2" t="s">
        <v>7</v>
      </c>
      <c r="B9" s="2" t="s">
        <v>4</v>
      </c>
      <c r="C9" s="2" t="s">
        <v>32</v>
      </c>
      <c r="D9" s="2" t="s">
        <v>26</v>
      </c>
      <c r="E9" s="4">
        <v>46</v>
      </c>
      <c r="F9" s="5">
        <v>336989</v>
      </c>
      <c r="H9" s="12"/>
      <c r="I9" s="11" t="s">
        <v>103</v>
      </c>
      <c r="J9" s="5">
        <f>SUMIFS(F4:F72,E4:E72,"&lt;15")</f>
        <v>557144</v>
      </c>
    </row>
    <row r="10" spans="1:12" x14ac:dyDescent="0.35">
      <c r="A10" s="2" t="s">
        <v>8</v>
      </c>
      <c r="B10" s="2" t="s">
        <v>5</v>
      </c>
      <c r="C10" s="2" t="s">
        <v>33</v>
      </c>
      <c r="D10" s="2" t="s">
        <v>26</v>
      </c>
      <c r="E10" s="4">
        <v>74</v>
      </c>
      <c r="F10" s="5">
        <v>520253</v>
      </c>
      <c r="H10" s="12"/>
      <c r="I10" s="11" t="s">
        <v>106</v>
      </c>
      <c r="J10" s="17">
        <f>SUMIFS(E4:E72,A4:A72,A4)</f>
        <v>881</v>
      </c>
    </row>
    <row r="11" spans="1:12" x14ac:dyDescent="0.35">
      <c r="A11" s="2" t="s">
        <v>9</v>
      </c>
      <c r="B11" s="2" t="s">
        <v>5</v>
      </c>
      <c r="C11" s="2" t="s">
        <v>34</v>
      </c>
      <c r="D11" s="2" t="s">
        <v>26</v>
      </c>
      <c r="E11" s="4">
        <v>53</v>
      </c>
      <c r="F11" s="5">
        <v>488292</v>
      </c>
      <c r="H11" s="12"/>
      <c r="I11" s="11" t="s">
        <v>107</v>
      </c>
      <c r="J11" s="17">
        <f>SUMIFS(E4:E72,B4:B72,B6)</f>
        <v>814</v>
      </c>
    </row>
    <row r="12" spans="1:12" x14ac:dyDescent="0.35">
      <c r="A12" s="2" t="s">
        <v>3</v>
      </c>
      <c r="B12" s="2" t="s">
        <v>5</v>
      </c>
      <c r="C12" s="2" t="s">
        <v>35</v>
      </c>
      <c r="D12" s="2" t="s">
        <v>26</v>
      </c>
      <c r="E12" s="4">
        <v>67</v>
      </c>
      <c r="F12" s="5">
        <v>573871</v>
      </c>
      <c r="H12" s="12"/>
      <c r="I12" s="11" t="s">
        <v>108</v>
      </c>
      <c r="J12" s="5">
        <f>SUMIFS(F4:F72,A4:A72,A7)</f>
        <v>6241588</v>
      </c>
    </row>
    <row r="13" spans="1:12" x14ac:dyDescent="0.35">
      <c r="A13" s="2" t="s">
        <v>7</v>
      </c>
      <c r="B13" s="2" t="s">
        <v>6</v>
      </c>
      <c r="C13" s="2" t="s">
        <v>36</v>
      </c>
      <c r="D13" s="2" t="s">
        <v>26</v>
      </c>
      <c r="E13" s="4">
        <v>56</v>
      </c>
      <c r="F13" s="5">
        <v>437871</v>
      </c>
      <c r="H13" s="12"/>
    </row>
    <row r="14" spans="1:12" x14ac:dyDescent="0.35">
      <c r="A14" s="2" t="s">
        <v>8</v>
      </c>
      <c r="B14" s="2" t="s">
        <v>5</v>
      </c>
      <c r="C14" s="2" t="s">
        <v>37</v>
      </c>
      <c r="D14" s="2" t="s">
        <v>38</v>
      </c>
      <c r="E14" s="4">
        <v>31</v>
      </c>
      <c r="F14" s="5">
        <v>273083</v>
      </c>
    </row>
    <row r="15" spans="1:12" x14ac:dyDescent="0.35">
      <c r="A15" s="2" t="s">
        <v>9</v>
      </c>
      <c r="B15" s="2" t="s">
        <v>5</v>
      </c>
      <c r="C15" s="2" t="s">
        <v>39</v>
      </c>
      <c r="D15" s="2" t="s">
        <v>38</v>
      </c>
      <c r="E15" s="4">
        <v>18</v>
      </c>
      <c r="F15" s="5">
        <v>216091</v>
      </c>
    </row>
    <row r="16" spans="1:12" x14ac:dyDescent="0.35">
      <c r="A16" s="2" t="s">
        <v>3</v>
      </c>
      <c r="B16" s="2" t="s">
        <v>6</v>
      </c>
      <c r="C16" s="2" t="s">
        <v>40</v>
      </c>
      <c r="D16" s="2" t="s">
        <v>38</v>
      </c>
      <c r="E16" s="4">
        <v>12</v>
      </c>
      <c r="F16" s="5">
        <v>121225</v>
      </c>
    </row>
    <row r="17" spans="1:6" x14ac:dyDescent="0.35">
      <c r="A17" s="2" t="s">
        <v>7</v>
      </c>
      <c r="B17" s="2" t="s">
        <v>6</v>
      </c>
      <c r="C17" s="2" t="s">
        <v>41</v>
      </c>
      <c r="D17" s="2" t="s">
        <v>28</v>
      </c>
      <c r="E17" s="4">
        <v>60</v>
      </c>
      <c r="F17" s="5">
        <v>361810</v>
      </c>
    </row>
    <row r="18" spans="1:6" x14ac:dyDescent="0.35">
      <c r="A18" s="2" t="s">
        <v>8</v>
      </c>
      <c r="B18" s="2" t="s">
        <v>5</v>
      </c>
      <c r="C18" s="2" t="s">
        <v>42</v>
      </c>
      <c r="D18" s="2" t="s">
        <v>26</v>
      </c>
      <c r="E18" s="4">
        <v>40</v>
      </c>
      <c r="F18" s="5">
        <v>242764</v>
      </c>
    </row>
    <row r="19" spans="1:6" x14ac:dyDescent="0.35">
      <c r="A19" s="2" t="s">
        <v>9</v>
      </c>
      <c r="B19" s="2" t="s">
        <v>4</v>
      </c>
      <c r="C19" s="2" t="s">
        <v>43</v>
      </c>
      <c r="D19" s="2" t="s">
        <v>26</v>
      </c>
      <c r="E19" s="4">
        <v>16</v>
      </c>
      <c r="F19" s="5">
        <v>143484</v>
      </c>
    </row>
    <row r="20" spans="1:6" x14ac:dyDescent="0.35">
      <c r="A20" s="2" t="s">
        <v>3</v>
      </c>
      <c r="B20" s="2" t="s">
        <v>6</v>
      </c>
      <c r="C20" s="2" t="s">
        <v>44</v>
      </c>
      <c r="D20" s="2" t="s">
        <v>28</v>
      </c>
      <c r="E20" s="4">
        <v>63</v>
      </c>
      <c r="F20" s="5">
        <v>378341</v>
      </c>
    </row>
    <row r="21" spans="1:6" x14ac:dyDescent="0.35">
      <c r="A21" s="2" t="s">
        <v>7</v>
      </c>
      <c r="B21" s="2" t="s">
        <v>6</v>
      </c>
      <c r="C21" s="2" t="s">
        <v>45</v>
      </c>
      <c r="D21" s="2" t="s">
        <v>38</v>
      </c>
      <c r="E21" s="4">
        <v>12</v>
      </c>
      <c r="F21" s="5">
        <v>107380</v>
      </c>
    </row>
    <row r="22" spans="1:6" x14ac:dyDescent="0.35">
      <c r="A22" s="2" t="s">
        <v>8</v>
      </c>
      <c r="B22" s="2" t="s">
        <v>5</v>
      </c>
      <c r="C22" s="2" t="s">
        <v>46</v>
      </c>
      <c r="D22" s="2" t="s">
        <v>38</v>
      </c>
      <c r="E22" s="4">
        <v>34</v>
      </c>
      <c r="F22" s="5">
        <v>275291</v>
      </c>
    </row>
    <row r="23" spans="1:6" x14ac:dyDescent="0.35">
      <c r="A23" s="2" t="s">
        <v>9</v>
      </c>
      <c r="B23" s="2" t="s">
        <v>6</v>
      </c>
      <c r="C23" s="2" t="s">
        <v>47</v>
      </c>
      <c r="D23" s="2" t="s">
        <v>38</v>
      </c>
      <c r="E23" s="4">
        <v>51</v>
      </c>
      <c r="F23" s="5">
        <v>645267</v>
      </c>
    </row>
    <row r="24" spans="1:6" x14ac:dyDescent="0.35">
      <c r="A24" s="2" t="s">
        <v>3</v>
      </c>
      <c r="B24" s="2" t="s">
        <v>6</v>
      </c>
      <c r="C24" s="2" t="s">
        <v>48</v>
      </c>
      <c r="D24" s="2" t="s">
        <v>26</v>
      </c>
      <c r="E24" s="4">
        <v>16</v>
      </c>
      <c r="F24" s="5">
        <v>116136</v>
      </c>
    </row>
    <row r="25" spans="1:6" x14ac:dyDescent="0.35">
      <c r="A25" s="2" t="s">
        <v>7</v>
      </c>
      <c r="B25" s="2" t="s">
        <v>5</v>
      </c>
      <c r="C25" s="2" t="s">
        <v>49</v>
      </c>
      <c r="D25" s="2" t="s">
        <v>38</v>
      </c>
      <c r="E25" s="4">
        <v>60</v>
      </c>
      <c r="F25" s="5">
        <v>529447</v>
      </c>
    </row>
    <row r="26" spans="1:6" x14ac:dyDescent="0.35">
      <c r="A26" s="2" t="s">
        <v>8</v>
      </c>
      <c r="B26" s="2" t="s">
        <v>6</v>
      </c>
      <c r="C26" s="2" t="s">
        <v>50</v>
      </c>
      <c r="D26" s="2" t="s">
        <v>28</v>
      </c>
      <c r="E26" s="4">
        <v>30</v>
      </c>
      <c r="F26" s="5">
        <v>144063</v>
      </c>
    </row>
    <row r="27" spans="1:6" x14ac:dyDescent="0.35">
      <c r="A27" s="2" t="s">
        <v>9</v>
      </c>
      <c r="B27" s="2" t="s">
        <v>5</v>
      </c>
      <c r="C27" s="2" t="s">
        <v>51</v>
      </c>
      <c r="D27" s="2" t="s">
        <v>38</v>
      </c>
      <c r="E27" s="4">
        <v>13</v>
      </c>
      <c r="F27" s="5">
        <v>159967</v>
      </c>
    </row>
    <row r="28" spans="1:6" x14ac:dyDescent="0.35">
      <c r="A28" s="2" t="s">
        <v>3</v>
      </c>
      <c r="B28" s="2" t="s">
        <v>6</v>
      </c>
      <c r="C28" s="2" t="s">
        <v>52</v>
      </c>
      <c r="D28" s="2" t="s">
        <v>26</v>
      </c>
      <c r="E28" s="4">
        <v>54</v>
      </c>
      <c r="F28" s="5">
        <v>396421</v>
      </c>
    </row>
    <row r="29" spans="1:6" x14ac:dyDescent="0.35">
      <c r="A29" s="2" t="s">
        <v>7</v>
      </c>
      <c r="B29" s="2" t="s">
        <v>5</v>
      </c>
      <c r="C29" s="2" t="s">
        <v>53</v>
      </c>
      <c r="D29" s="2" t="s">
        <v>26</v>
      </c>
      <c r="E29" s="4">
        <v>54</v>
      </c>
      <c r="F29" s="5">
        <v>363177</v>
      </c>
    </row>
    <row r="30" spans="1:6" x14ac:dyDescent="0.35">
      <c r="A30" s="2" t="s">
        <v>8</v>
      </c>
      <c r="B30" s="2" t="s">
        <v>5</v>
      </c>
      <c r="C30" s="2" t="s">
        <v>54</v>
      </c>
      <c r="D30" s="2" t="s">
        <v>38</v>
      </c>
      <c r="E30" s="4">
        <v>67</v>
      </c>
      <c r="F30" s="5">
        <v>564057</v>
      </c>
    </row>
    <row r="31" spans="1:6" x14ac:dyDescent="0.35">
      <c r="A31" s="2" t="s">
        <v>9</v>
      </c>
      <c r="B31" s="2" t="s">
        <v>6</v>
      </c>
      <c r="C31" s="2" t="s">
        <v>55</v>
      </c>
      <c r="D31" s="2" t="s">
        <v>28</v>
      </c>
      <c r="E31" s="4">
        <v>64</v>
      </c>
      <c r="F31" s="5">
        <v>517754</v>
      </c>
    </row>
    <row r="32" spans="1:6" x14ac:dyDescent="0.35">
      <c r="A32" s="2" t="s">
        <v>3</v>
      </c>
      <c r="B32" s="2" t="s">
        <v>5</v>
      </c>
      <c r="C32" s="2" t="s">
        <v>56</v>
      </c>
      <c r="D32" s="2" t="s">
        <v>38</v>
      </c>
      <c r="E32" s="4">
        <v>75</v>
      </c>
      <c r="F32" s="5">
        <v>737809</v>
      </c>
    </row>
    <row r="33" spans="1:6" x14ac:dyDescent="0.35">
      <c r="A33" s="2" t="s">
        <v>7</v>
      </c>
      <c r="B33" s="2" t="s">
        <v>4</v>
      </c>
      <c r="C33" s="2" t="s">
        <v>57</v>
      </c>
      <c r="D33" s="2" t="s">
        <v>28</v>
      </c>
      <c r="E33" s="4">
        <v>29</v>
      </c>
      <c r="F33" s="5">
        <v>155405</v>
      </c>
    </row>
    <row r="34" spans="1:6" x14ac:dyDescent="0.35">
      <c r="A34" s="2" t="s">
        <v>8</v>
      </c>
      <c r="B34" s="2" t="s">
        <v>4</v>
      </c>
      <c r="C34" s="2" t="s">
        <v>58</v>
      </c>
      <c r="D34" s="2" t="s">
        <v>26</v>
      </c>
      <c r="E34" s="4">
        <v>34</v>
      </c>
      <c r="F34" s="5">
        <v>224095</v>
      </c>
    </row>
    <row r="35" spans="1:6" x14ac:dyDescent="0.35">
      <c r="A35" s="2" t="s">
        <v>9</v>
      </c>
      <c r="B35" s="2" t="s">
        <v>5</v>
      </c>
      <c r="C35" s="2" t="s">
        <v>59</v>
      </c>
      <c r="D35" s="2" t="s">
        <v>26</v>
      </c>
      <c r="E35" s="4">
        <v>16</v>
      </c>
      <c r="F35" s="5">
        <v>155204</v>
      </c>
    </row>
    <row r="36" spans="1:6" x14ac:dyDescent="0.35">
      <c r="A36" s="2" t="s">
        <v>3</v>
      </c>
      <c r="B36" s="2" t="s">
        <v>4</v>
      </c>
      <c r="C36" s="2" t="s">
        <v>60</v>
      </c>
      <c r="D36" s="2" t="s">
        <v>28</v>
      </c>
      <c r="E36" s="4">
        <v>38</v>
      </c>
      <c r="F36" s="5">
        <v>221290</v>
      </c>
    </row>
    <row r="37" spans="1:6" x14ac:dyDescent="0.35">
      <c r="A37" s="2" t="s">
        <v>7</v>
      </c>
      <c r="B37" s="2" t="s">
        <v>4</v>
      </c>
      <c r="C37" s="2" t="s">
        <v>61</v>
      </c>
      <c r="D37" s="2" t="s">
        <v>28</v>
      </c>
      <c r="E37" s="4">
        <v>56</v>
      </c>
      <c r="F37" s="5">
        <v>352601</v>
      </c>
    </row>
    <row r="38" spans="1:6" x14ac:dyDescent="0.35">
      <c r="A38" s="2" t="s">
        <v>8</v>
      </c>
      <c r="B38" s="2" t="s">
        <v>5</v>
      </c>
      <c r="C38" s="2" t="s">
        <v>62</v>
      </c>
      <c r="D38" s="2" t="s">
        <v>38</v>
      </c>
      <c r="E38" s="4">
        <v>15</v>
      </c>
      <c r="F38" s="5">
        <v>118381</v>
      </c>
    </row>
    <row r="39" spans="1:6" x14ac:dyDescent="0.35">
      <c r="A39" s="2" t="s">
        <v>9</v>
      </c>
      <c r="B39" s="2" t="s">
        <v>5</v>
      </c>
      <c r="C39" s="2" t="s">
        <v>63</v>
      </c>
      <c r="D39" s="2" t="s">
        <v>28</v>
      </c>
      <c r="E39" s="4">
        <v>34</v>
      </c>
      <c r="F39" s="5">
        <v>257969</v>
      </c>
    </row>
    <row r="40" spans="1:6" x14ac:dyDescent="0.35">
      <c r="A40" s="2" t="s">
        <v>3</v>
      </c>
      <c r="B40" s="2" t="s">
        <v>4</v>
      </c>
      <c r="C40" s="2" t="s">
        <v>64</v>
      </c>
      <c r="D40" s="2" t="s">
        <v>26</v>
      </c>
      <c r="E40" s="4">
        <v>69</v>
      </c>
      <c r="F40" s="5">
        <v>600697</v>
      </c>
    </row>
    <row r="41" spans="1:6" x14ac:dyDescent="0.35">
      <c r="A41" s="2" t="s">
        <v>7</v>
      </c>
      <c r="B41" s="2" t="s">
        <v>5</v>
      </c>
      <c r="C41" s="2" t="s">
        <v>65</v>
      </c>
      <c r="D41" s="2" t="s">
        <v>38</v>
      </c>
      <c r="E41" s="4">
        <v>32</v>
      </c>
      <c r="F41" s="5">
        <v>312151</v>
      </c>
    </row>
    <row r="42" spans="1:6" x14ac:dyDescent="0.35">
      <c r="A42" s="2" t="s">
        <v>8</v>
      </c>
      <c r="B42" s="2" t="s">
        <v>4</v>
      </c>
      <c r="C42" s="2" t="s">
        <v>66</v>
      </c>
      <c r="D42" s="2" t="s">
        <v>26</v>
      </c>
      <c r="E42" s="4">
        <v>63</v>
      </c>
      <c r="F42" s="5">
        <v>381092</v>
      </c>
    </row>
    <row r="43" spans="1:6" x14ac:dyDescent="0.35">
      <c r="A43" s="2" t="s">
        <v>9</v>
      </c>
      <c r="B43" s="2" t="s">
        <v>6</v>
      </c>
      <c r="C43" s="2" t="s">
        <v>67</v>
      </c>
      <c r="D43" s="2" t="s">
        <v>38</v>
      </c>
      <c r="E43" s="4">
        <v>60</v>
      </c>
      <c r="F43" s="5">
        <v>773134</v>
      </c>
    </row>
    <row r="44" spans="1:6" x14ac:dyDescent="0.35">
      <c r="A44" s="2" t="s">
        <v>3</v>
      </c>
      <c r="B44" s="2" t="s">
        <v>5</v>
      </c>
      <c r="C44" s="2" t="s">
        <v>68</v>
      </c>
      <c r="D44" s="2" t="s">
        <v>38</v>
      </c>
      <c r="E44" s="4">
        <v>25</v>
      </c>
      <c r="F44" s="5">
        <v>234858</v>
      </c>
    </row>
    <row r="45" spans="1:6" x14ac:dyDescent="0.35">
      <c r="A45" s="2" t="s">
        <v>7</v>
      </c>
      <c r="B45" s="2" t="s">
        <v>5</v>
      </c>
      <c r="C45" s="2" t="s">
        <v>69</v>
      </c>
      <c r="D45" s="2" t="s">
        <v>38</v>
      </c>
      <c r="E45" s="4">
        <v>49</v>
      </c>
      <c r="F45" s="5">
        <v>468114</v>
      </c>
    </row>
    <row r="46" spans="1:6" x14ac:dyDescent="0.35">
      <c r="A46" s="2" t="s">
        <v>8</v>
      </c>
      <c r="B46" s="2" t="s">
        <v>6</v>
      </c>
      <c r="C46" s="2" t="s">
        <v>70</v>
      </c>
      <c r="D46" s="2" t="s">
        <v>26</v>
      </c>
      <c r="E46" s="4">
        <v>22</v>
      </c>
      <c r="F46" s="5">
        <v>138584</v>
      </c>
    </row>
    <row r="47" spans="1:6" x14ac:dyDescent="0.35">
      <c r="A47" s="2" t="s">
        <v>9</v>
      </c>
      <c r="B47" s="2" t="s">
        <v>6</v>
      </c>
      <c r="C47" s="2" t="s">
        <v>71</v>
      </c>
      <c r="D47" s="2" t="s">
        <v>26</v>
      </c>
      <c r="E47" s="4">
        <v>41</v>
      </c>
      <c r="F47" s="5">
        <v>392034</v>
      </c>
    </row>
    <row r="48" spans="1:6" x14ac:dyDescent="0.35">
      <c r="A48" s="2" t="s">
        <v>3</v>
      </c>
      <c r="B48" s="2" t="s">
        <v>4</v>
      </c>
      <c r="C48" s="2" t="s">
        <v>72</v>
      </c>
      <c r="D48" s="2" t="s">
        <v>26</v>
      </c>
      <c r="E48" s="4">
        <v>59</v>
      </c>
      <c r="F48" s="5">
        <v>490258</v>
      </c>
    </row>
    <row r="49" spans="1:6" x14ac:dyDescent="0.35">
      <c r="A49" s="2" t="s">
        <v>7</v>
      </c>
      <c r="B49" s="2" t="s">
        <v>4</v>
      </c>
      <c r="C49" s="2" t="s">
        <v>73</v>
      </c>
      <c r="D49" s="2" t="s">
        <v>26</v>
      </c>
      <c r="E49" s="4">
        <v>70</v>
      </c>
      <c r="F49" s="5">
        <v>474922</v>
      </c>
    </row>
    <row r="50" spans="1:6" x14ac:dyDescent="0.35">
      <c r="A50" s="2" t="s">
        <v>8</v>
      </c>
      <c r="B50" s="2" t="s">
        <v>5</v>
      </c>
      <c r="C50" s="2" t="s">
        <v>74</v>
      </c>
      <c r="D50" s="2" t="s">
        <v>26</v>
      </c>
      <c r="E50" s="4">
        <v>46</v>
      </c>
      <c r="F50" s="5">
        <v>290357</v>
      </c>
    </row>
    <row r="51" spans="1:6" x14ac:dyDescent="0.35">
      <c r="A51" s="2" t="s">
        <v>9</v>
      </c>
      <c r="B51" s="2" t="s">
        <v>4</v>
      </c>
      <c r="C51" s="2" t="s">
        <v>75</v>
      </c>
      <c r="D51" s="2" t="s">
        <v>26</v>
      </c>
      <c r="E51" s="4">
        <v>13</v>
      </c>
      <c r="F51" s="5">
        <v>112999</v>
      </c>
    </row>
    <row r="52" spans="1:6" x14ac:dyDescent="0.35">
      <c r="A52" s="2" t="s">
        <v>3</v>
      </c>
      <c r="B52" s="2" t="s">
        <v>4</v>
      </c>
      <c r="C52" s="2" t="s">
        <v>76</v>
      </c>
      <c r="D52" s="2" t="s">
        <v>28</v>
      </c>
      <c r="E52" s="4">
        <v>65</v>
      </c>
      <c r="F52" s="5">
        <v>402563</v>
      </c>
    </row>
    <row r="53" spans="1:6" x14ac:dyDescent="0.35">
      <c r="A53" s="2" t="s">
        <v>7</v>
      </c>
      <c r="B53" s="2" t="s">
        <v>4</v>
      </c>
      <c r="C53" s="2" t="s">
        <v>77</v>
      </c>
      <c r="D53" s="2" t="s">
        <v>38</v>
      </c>
      <c r="E53" s="4">
        <v>55</v>
      </c>
      <c r="F53" s="5">
        <v>485316</v>
      </c>
    </row>
    <row r="54" spans="1:6" x14ac:dyDescent="0.35">
      <c r="A54" s="2" t="s">
        <v>8</v>
      </c>
      <c r="B54" s="2" t="s">
        <v>5</v>
      </c>
      <c r="C54" s="2" t="s">
        <v>78</v>
      </c>
      <c r="D54" s="2" t="s">
        <v>38</v>
      </c>
      <c r="E54" s="4">
        <v>31</v>
      </c>
      <c r="F54" s="5">
        <v>225816</v>
      </c>
    </row>
    <row r="55" spans="1:6" x14ac:dyDescent="0.35">
      <c r="A55" s="2" t="s">
        <v>9</v>
      </c>
      <c r="B55" s="2" t="s">
        <v>4</v>
      </c>
      <c r="C55" s="2" t="s">
        <v>79</v>
      </c>
      <c r="D55" s="2" t="s">
        <v>28</v>
      </c>
      <c r="E55" s="4">
        <v>35</v>
      </c>
      <c r="F55" s="5">
        <v>252537</v>
      </c>
    </row>
    <row r="56" spans="1:6" x14ac:dyDescent="0.35">
      <c r="A56" s="2" t="s">
        <v>3</v>
      </c>
      <c r="B56" s="2" t="s">
        <v>4</v>
      </c>
      <c r="C56" s="2" t="s">
        <v>80</v>
      </c>
      <c r="D56" s="2" t="s">
        <v>26</v>
      </c>
      <c r="E56" s="4">
        <v>63</v>
      </c>
      <c r="F56" s="5">
        <v>541674</v>
      </c>
    </row>
    <row r="57" spans="1:6" x14ac:dyDescent="0.35">
      <c r="A57" s="2" t="s">
        <v>7</v>
      </c>
      <c r="B57" s="2" t="s">
        <v>4</v>
      </c>
      <c r="C57" s="2" t="s">
        <v>81</v>
      </c>
      <c r="D57" s="2" t="s">
        <v>28</v>
      </c>
      <c r="E57" s="4">
        <v>25</v>
      </c>
      <c r="F57" s="5">
        <v>133566</v>
      </c>
    </row>
    <row r="58" spans="1:6" x14ac:dyDescent="0.35">
      <c r="A58" s="2" t="s">
        <v>8</v>
      </c>
      <c r="B58" s="2" t="s">
        <v>4</v>
      </c>
      <c r="C58" s="2" t="s">
        <v>82</v>
      </c>
      <c r="D58" s="2" t="s">
        <v>26</v>
      </c>
      <c r="E58" s="4">
        <v>32</v>
      </c>
      <c r="F58" s="5">
        <v>192385</v>
      </c>
    </row>
    <row r="59" spans="1:6" x14ac:dyDescent="0.35">
      <c r="A59" s="2" t="s">
        <v>9</v>
      </c>
      <c r="B59" s="2" t="s">
        <v>5</v>
      </c>
      <c r="C59" s="2" t="s">
        <v>83</v>
      </c>
      <c r="D59" s="2" t="s">
        <v>28</v>
      </c>
      <c r="E59" s="4">
        <v>65</v>
      </c>
      <c r="F59" s="5">
        <v>517543</v>
      </c>
    </row>
    <row r="60" spans="1:6" x14ac:dyDescent="0.35">
      <c r="A60" s="2" t="s">
        <v>3</v>
      </c>
      <c r="B60" s="2" t="s">
        <v>4</v>
      </c>
      <c r="C60" s="2" t="s">
        <v>84</v>
      </c>
      <c r="D60" s="2" t="s">
        <v>26</v>
      </c>
      <c r="E60" s="4">
        <v>16</v>
      </c>
      <c r="F60" s="5">
        <v>129323</v>
      </c>
    </row>
    <row r="61" spans="1:6" x14ac:dyDescent="0.35">
      <c r="A61" s="2" t="s">
        <v>7</v>
      </c>
      <c r="B61" s="2" t="s">
        <v>4</v>
      </c>
      <c r="C61" s="2" t="s">
        <v>85</v>
      </c>
      <c r="D61" s="2" t="s">
        <v>38</v>
      </c>
      <c r="E61" s="4">
        <v>68</v>
      </c>
      <c r="F61" s="5">
        <v>616297</v>
      </c>
    </row>
    <row r="62" spans="1:6" x14ac:dyDescent="0.35">
      <c r="A62" s="2" t="s">
        <v>8</v>
      </c>
      <c r="B62" s="2" t="s">
        <v>4</v>
      </c>
      <c r="C62" s="2" t="s">
        <v>86</v>
      </c>
      <c r="D62" s="2" t="s">
        <v>28</v>
      </c>
      <c r="E62" s="4">
        <v>68</v>
      </c>
      <c r="F62" s="5">
        <v>352810</v>
      </c>
    </row>
    <row r="63" spans="1:6" x14ac:dyDescent="0.35">
      <c r="A63" s="2" t="s">
        <v>9</v>
      </c>
      <c r="B63" s="2" t="s">
        <v>6</v>
      </c>
      <c r="C63" s="2" t="s">
        <v>87</v>
      </c>
      <c r="D63" s="2" t="s">
        <v>38</v>
      </c>
      <c r="E63" s="4">
        <v>19</v>
      </c>
      <c r="F63" s="5">
        <v>207662</v>
      </c>
    </row>
    <row r="64" spans="1:6" x14ac:dyDescent="0.35">
      <c r="A64" s="2" t="s">
        <v>3</v>
      </c>
      <c r="B64" s="2" t="s">
        <v>5</v>
      </c>
      <c r="C64" s="2" t="s">
        <v>88</v>
      </c>
      <c r="D64" s="2" t="s">
        <v>28</v>
      </c>
      <c r="E64" s="4">
        <v>68</v>
      </c>
      <c r="F64" s="5">
        <v>392838</v>
      </c>
    </row>
    <row r="65" spans="1:6" x14ac:dyDescent="0.35">
      <c r="A65" s="2" t="s">
        <v>7</v>
      </c>
      <c r="B65" s="2" t="s">
        <v>5</v>
      </c>
      <c r="C65" s="2" t="s">
        <v>89</v>
      </c>
      <c r="D65" s="2" t="s">
        <v>28</v>
      </c>
      <c r="E65" s="4">
        <v>49</v>
      </c>
      <c r="F65" s="5">
        <v>268330</v>
      </c>
    </row>
    <row r="66" spans="1:6" x14ac:dyDescent="0.35">
      <c r="A66" s="2" t="s">
        <v>8</v>
      </c>
      <c r="B66" s="2" t="s">
        <v>4</v>
      </c>
      <c r="C66" s="2" t="s">
        <v>90</v>
      </c>
      <c r="D66" s="2" t="s">
        <v>26</v>
      </c>
      <c r="E66" s="4">
        <v>46</v>
      </c>
      <c r="F66" s="5">
        <v>311283</v>
      </c>
    </row>
    <row r="67" spans="1:6" x14ac:dyDescent="0.35">
      <c r="A67" s="2" t="s">
        <v>9</v>
      </c>
      <c r="B67" s="2" t="s">
        <v>5</v>
      </c>
      <c r="C67" s="2" t="s">
        <v>91</v>
      </c>
      <c r="D67" s="2" t="s">
        <v>38</v>
      </c>
      <c r="E67" s="4">
        <v>43</v>
      </c>
      <c r="F67" s="5">
        <v>520238</v>
      </c>
    </row>
    <row r="68" spans="1:6" x14ac:dyDescent="0.35">
      <c r="A68" s="2" t="s">
        <v>3</v>
      </c>
      <c r="B68" s="2" t="s">
        <v>6</v>
      </c>
      <c r="C68" s="2" t="s">
        <v>92</v>
      </c>
      <c r="D68" s="2" t="s">
        <v>26</v>
      </c>
      <c r="E68" s="4">
        <v>75</v>
      </c>
      <c r="F68" s="5">
        <v>557512</v>
      </c>
    </row>
    <row r="69" spans="1:6" x14ac:dyDescent="0.35">
      <c r="A69" s="2" t="s">
        <v>7</v>
      </c>
      <c r="B69" s="2" t="s">
        <v>4</v>
      </c>
      <c r="C69" s="2" t="s">
        <v>93</v>
      </c>
      <c r="D69" s="2" t="s">
        <v>26</v>
      </c>
      <c r="E69" s="4">
        <v>17</v>
      </c>
      <c r="F69" s="5">
        <v>129044</v>
      </c>
    </row>
    <row r="70" spans="1:6" x14ac:dyDescent="0.35">
      <c r="A70" s="2" t="s">
        <v>8</v>
      </c>
      <c r="B70" s="2" t="s">
        <v>6</v>
      </c>
      <c r="C70" s="2" t="s">
        <v>94</v>
      </c>
      <c r="D70" s="2" t="s">
        <v>28</v>
      </c>
      <c r="E70" s="4">
        <v>28</v>
      </c>
      <c r="F70" s="5">
        <v>139945</v>
      </c>
    </row>
    <row r="71" spans="1:6" x14ac:dyDescent="0.35">
      <c r="A71" s="2" t="s">
        <v>9</v>
      </c>
      <c r="B71" s="2" t="s">
        <v>6</v>
      </c>
      <c r="C71" s="2" t="s">
        <v>95</v>
      </c>
      <c r="D71" s="2" t="s">
        <v>38</v>
      </c>
      <c r="E71" s="4">
        <v>29</v>
      </c>
      <c r="F71" s="5">
        <v>366109</v>
      </c>
    </row>
    <row r="72" spans="1:6" x14ac:dyDescent="0.35">
      <c r="A72" s="2" t="s">
        <v>3</v>
      </c>
      <c r="B72" s="2" t="s">
        <v>5</v>
      </c>
      <c r="C72" s="2" t="s">
        <v>96</v>
      </c>
      <c r="D72" s="2" t="s">
        <v>26</v>
      </c>
      <c r="E72" s="4">
        <v>24</v>
      </c>
      <c r="F72" s="5">
        <v>191148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2026-03-20T14:05:01Z</dcterms:created>
  <dcterms:modified xsi:type="dcterms:W3CDTF">2026-04-02T16:09:25Z</dcterms:modified>
</cp:coreProperties>
</file>