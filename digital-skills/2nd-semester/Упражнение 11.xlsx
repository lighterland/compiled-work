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14604BAE-3AE5-4CC8-8322-DC62DBF9EAA7}" xr6:coauthVersionLast="47" xr6:coauthVersionMax="47" xr10:uidLastSave="{00000000-0000-0000-0000-000000000000}"/>
  <bookViews>
    <workbookView xWindow="-110" yWindow="-110" windowWidth="29020" windowHeight="17500" xr2:uid="{83A884EE-28FD-194E-93A3-BFAE9C9FB6CF}"/>
  </bookViews>
  <sheets>
    <sheet name="Текстовые функции" sheetId="1" r:id="rId1"/>
    <sheet name="Функции даты и времен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2" l="1"/>
  <c r="D43" i="2" s="1"/>
  <c r="D28" i="2"/>
  <c r="D27" i="2"/>
  <c r="D26" i="2"/>
  <c r="D25" i="2"/>
  <c r="B28" i="2"/>
  <c r="B27" i="2"/>
  <c r="B26" i="2"/>
  <c r="B25" i="2"/>
  <c r="D17" i="2"/>
  <c r="D18" i="2"/>
  <c r="D19" i="2"/>
  <c r="D20" i="2"/>
  <c r="D16" i="2"/>
  <c r="C17" i="2"/>
  <c r="C18" i="2"/>
  <c r="C19" i="2"/>
  <c r="C20" i="2"/>
  <c r="C16" i="2"/>
  <c r="B17" i="2"/>
  <c r="B18" i="2"/>
  <c r="B19" i="2"/>
  <c r="B20" i="2"/>
  <c r="B16" i="2"/>
  <c r="D7" i="2"/>
  <c r="D8" i="2"/>
  <c r="D9" i="2"/>
  <c r="D10" i="2"/>
  <c r="D6" i="2"/>
  <c r="D60" i="1"/>
  <c r="D61" i="1"/>
  <c r="D62" i="1"/>
  <c r="D63" i="1"/>
  <c r="D59" i="1"/>
  <c r="B60" i="1"/>
  <c r="B61" i="1"/>
  <c r="B62" i="1"/>
  <c r="B63" i="1"/>
  <c r="B59" i="1"/>
  <c r="C60" i="1"/>
  <c r="C61" i="1"/>
  <c r="C62" i="1"/>
  <c r="C63" i="1"/>
  <c r="C59" i="1"/>
  <c r="D50" i="1"/>
  <c r="D51" i="1"/>
  <c r="D52" i="1"/>
  <c r="D53" i="1"/>
  <c r="D49" i="1"/>
  <c r="C50" i="1"/>
  <c r="C51" i="1"/>
  <c r="C52" i="1"/>
  <c r="C53" i="1"/>
  <c r="C49" i="1"/>
  <c r="B40" i="1"/>
  <c r="B41" i="1"/>
  <c r="B42" i="1"/>
  <c r="B43" i="1"/>
  <c r="B39" i="1"/>
  <c r="C40" i="1"/>
  <c r="C41" i="1"/>
  <c r="C42" i="1"/>
  <c r="C43" i="1"/>
  <c r="C39" i="1"/>
  <c r="D29" i="1"/>
  <c r="D30" i="1"/>
  <c r="D31" i="1"/>
  <c r="D32" i="1"/>
  <c r="D33" i="1"/>
  <c r="D28" i="1"/>
  <c r="C29" i="1"/>
  <c r="C30" i="1"/>
  <c r="C31" i="1"/>
  <c r="C32" i="1"/>
  <c r="C33" i="1"/>
  <c r="C28" i="1"/>
  <c r="B29" i="1"/>
  <c r="B30" i="1"/>
  <c r="B31" i="1"/>
  <c r="B32" i="1"/>
  <c r="B33" i="1"/>
  <c r="B28" i="1"/>
  <c r="B18" i="1"/>
  <c r="B19" i="1"/>
  <c r="B20" i="1"/>
  <c r="B21" i="1"/>
  <c r="B17" i="1"/>
  <c r="E6" i="1"/>
  <c r="E7" i="1"/>
  <c r="E8" i="1"/>
  <c r="E9" i="1"/>
  <c r="E10" i="1"/>
  <c r="E5" i="1"/>
  <c r="D6" i="1"/>
  <c r="D7" i="1"/>
  <c r="D8" i="1"/>
  <c r="D9" i="1"/>
  <c r="D10" i="1"/>
  <c r="D5" i="1"/>
  <c r="C6" i="1"/>
  <c r="C7" i="1"/>
  <c r="C8" i="1"/>
  <c r="C9" i="1"/>
  <c r="C10" i="1"/>
  <c r="C5" i="1"/>
  <c r="B6" i="1"/>
  <c r="B7" i="1"/>
  <c r="B8" i="1"/>
  <c r="B9" i="1"/>
  <c r="B10" i="1"/>
  <c r="B5" i="1"/>
  <c r="C43" i="2" l="1"/>
</calcChain>
</file>

<file path=xl/sharedStrings.xml><?xml version="1.0" encoding="utf-8"?>
<sst xmlns="http://schemas.openxmlformats.org/spreadsheetml/2006/main" count="120" uniqueCount="110">
  <si>
    <t>Приведите названия программ к нужному виду: верхний регистр, нижний регистр, оформление как заголовка и подсчет числа символов.</t>
  </si>
  <si>
    <t>Все буквы большие</t>
  </si>
  <si>
    <t>Все буквы маленькие</t>
  </si>
  <si>
    <t>Оформление как заголовок</t>
  </si>
  <si>
    <t>Число символов</t>
  </si>
  <si>
    <t>аналитика ДАННЫХ для бизнеса</t>
  </si>
  <si>
    <t>проектИРОВАНИЕ баз данных</t>
  </si>
  <si>
    <t>ОСНОВЫ кибербезопасности</t>
  </si>
  <si>
    <t>веб-ДИЗАЙН и UI</t>
  </si>
  <si>
    <t>цифровая ТРАНСФОРМАЦИЯ компаний</t>
  </si>
  <si>
    <t>статистика в EXCEL</t>
  </si>
  <si>
    <t>Очистите строки с лишними пробелами. После обработки запись должна выглядеть аккуратно и без двойных пробелов.</t>
  </si>
  <si>
    <t>Исходная строка</t>
  </si>
  <si>
    <t>После очистки</t>
  </si>
  <si>
    <t xml:space="preserve">  Северный   филиал  </t>
  </si>
  <si>
    <t>Центральный    офис</t>
  </si>
  <si>
    <t xml:space="preserve">  Отдел   дистанционного   обучения</t>
  </si>
  <si>
    <t xml:space="preserve">Лаборатория   цифровых   сервисов  </t>
  </si>
  <si>
    <t xml:space="preserve">  Библиотека  корпуса  Б </t>
  </si>
  <si>
    <t>Используемые функции: ПРОПИСН, СТРОЧН, ПРОПНАЧ, ДЛСТР</t>
  </si>
  <si>
    <t>Используемые функции: СЖПРОБЕЛЫ</t>
  </si>
  <si>
    <t>Разбор символов и поиск фрагментов</t>
  </si>
  <si>
    <t>Код заявки</t>
  </si>
  <si>
    <t>Коды заявок</t>
  </si>
  <si>
    <t>Код сервиса (первые 3 буквы)</t>
  </si>
  <si>
    <t>Номер пакета (3 числа между тире)</t>
  </si>
  <si>
    <t>EDU-415-SPOT</t>
  </si>
  <si>
    <t>NET-802-NWPY</t>
  </si>
  <si>
    <t>LAB-197-SERT</t>
  </si>
  <si>
    <t>CRM-563-CTUY</t>
  </si>
  <si>
    <t>BIO-228-WSTR</t>
  </si>
  <si>
    <t>ART-944-NEPK</t>
  </si>
  <si>
    <t>Разберите код заявки на части. Используйте функции ЛЕВСИМВ, ПРАВСИМВ, ПСТР</t>
  </si>
  <si>
    <t>Используемые функции: НАЙТИ и ПОИСК</t>
  </si>
  <si>
    <t>Текст</t>
  </si>
  <si>
    <t>Точное положение</t>
  </si>
  <si>
    <t>Гибкий поиск</t>
  </si>
  <si>
    <t>Что искать</t>
  </si>
  <si>
    <t>Сервис Support открыт по будням</t>
  </si>
  <si>
    <t>Support</t>
  </si>
  <si>
    <t>support отдел принимает заявки до 18:00</t>
  </si>
  <si>
    <t>Архивный MODUL перемещён</t>
  </si>
  <si>
    <t>modul</t>
  </si>
  <si>
    <t>модуль Modul активен у всех групп</t>
  </si>
  <si>
    <t>Modul</t>
  </si>
  <si>
    <t>Пакет premium доступен в тесте</t>
  </si>
  <si>
    <t>Premium</t>
  </si>
  <si>
    <t>Соберите фамилию и имя в одну строку двумя способами: через функцию СЦЕПИТЬ и через знак соединения (&amp;).</t>
  </si>
  <si>
    <t>Фамилия</t>
  </si>
  <si>
    <t>Имя</t>
  </si>
  <si>
    <t>Вариант 1</t>
  </si>
  <si>
    <t>Вариант 2</t>
  </si>
  <si>
    <t>Беляев</t>
  </si>
  <si>
    <t>Никита</t>
  </si>
  <si>
    <t>Соколова</t>
  </si>
  <si>
    <t>Ирина</t>
  </si>
  <si>
    <t>Ткачева</t>
  </si>
  <si>
    <t>Мария</t>
  </si>
  <si>
    <t>Громов</t>
  </si>
  <si>
    <t>Павел</t>
  </si>
  <si>
    <t>Назаров</t>
  </si>
  <si>
    <t>Роман</t>
  </si>
  <si>
    <t>Каталог участников</t>
  </si>
  <si>
    <t>Исправьте коды. В одном столбце замените все вхождения фрагмента, в другом — только часть строки по позиции.</t>
  </si>
  <si>
    <t>Используйте функции ЗАМЕНИТЬ и ПОДСТАВИТЬ</t>
  </si>
  <si>
    <t>Исходный артикул</t>
  </si>
  <si>
    <t>Заменить XR на ZK</t>
  </si>
  <si>
    <t>Поменять первые 2 символа на LM</t>
  </si>
  <si>
    <t>ABXR772</t>
  </si>
  <si>
    <t>XR99014</t>
  </si>
  <si>
    <t>TR53129</t>
  </si>
  <si>
    <t>QWXR448</t>
  </si>
  <si>
    <t>XR14580</t>
  </si>
  <si>
    <t>Поменять последнюю цифру на букву R</t>
  </si>
  <si>
    <t xml:space="preserve"> Календарные операции</t>
  </si>
  <si>
    <t>Год</t>
  </si>
  <si>
    <t>Месяц</t>
  </si>
  <si>
    <t>День</t>
  </si>
  <si>
    <t>Дата начала</t>
  </si>
  <si>
    <t>Сборка даты</t>
  </si>
  <si>
    <t>Из готовой даты извлеките год, месяц и день. Функции: День, Месяц, Год</t>
  </si>
  <si>
    <t>Дата события</t>
  </si>
  <si>
    <t>Разбор даты</t>
  </si>
  <si>
    <t>Показатель</t>
  </si>
  <si>
    <t>Результат</t>
  </si>
  <si>
    <t>Текущая дата</t>
  </si>
  <si>
    <t>Текущий день</t>
  </si>
  <si>
    <t>Текущая дата и время</t>
  </si>
  <si>
    <t>Текущий час</t>
  </si>
  <si>
    <t>Текущий год</t>
  </si>
  <si>
    <t>Текущая минута</t>
  </si>
  <si>
    <t>Текущий месяц</t>
  </si>
  <si>
    <t>Текущая секунда</t>
  </si>
  <si>
    <t>Текущий момент</t>
  </si>
  <si>
    <t>Определите текущую дату, текущую дату и время.  Функции СЕГОДНЯ, ТДАТА, ГОД, МЕСЯЦ, ДЕНЬ, ЧАС, МИНУТЫ, СЕКУНДЫ</t>
  </si>
  <si>
    <t>Сроки и график</t>
  </si>
  <si>
    <t>Значение</t>
  </si>
  <si>
    <t>Сегодня</t>
  </si>
  <si>
    <t>Дата итоговой защиты</t>
  </si>
  <si>
    <t>Календарных дней осталось</t>
  </si>
  <si>
    <t>Рабочих дней осталось</t>
  </si>
  <si>
    <t>До ключевой даты</t>
  </si>
  <si>
    <t>Рассчитайте, сколько полных месяцев и полных лет остаётся до даты презентации программы.</t>
  </si>
  <si>
    <t>Месяцев осталось</t>
  </si>
  <si>
    <t>Лет осталось</t>
  </si>
  <si>
    <t>Полный срок до даты</t>
  </si>
  <si>
    <t>Дата презентации</t>
  </si>
  <si>
    <t>Регион (правые 4 буквы)</t>
  </si>
  <si>
    <t>Найдите позицию ключевого слова в строке. В одном столбце учитывается точное совпадение регистра, в другом — поиск без учета регистра.</t>
  </si>
  <si>
    <t>По трем числовым полям соберите полную дату старта проекта, используя функцию 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</si>
</sst>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2"/>
      <color theme="1"/>
      <name val="Aptos Narrow"/>
      <family val="2"/>
      <charset val="204"/>
      <scheme val="minor"/>
    </font>
    <font>
      <sz val="12"/>
      <color theme="0"/>
      <name val="Calibri"/>
      <family val="2"/>
    </font>
    <font>
      <b/>
      <sz val="11"/>
      <color rgb="FF1F2937"/>
      <name val="Calibri"/>
      <family val="2"/>
    </font>
    <font>
      <sz val="11"/>
      <color rgb="FF1F2937"/>
      <name val="Calibri"/>
      <family val="2"/>
    </font>
    <font>
      <sz val="12"/>
      <color theme="1"/>
      <name val="Calibri"/>
      <family val="2"/>
    </font>
    <font>
      <b/>
      <sz val="12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0F766E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038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  <border>
      <left style="medium">
        <color rgb="FF0F766E"/>
      </left>
      <right style="medium">
        <color rgb="FF0F766E"/>
      </right>
      <top style="medium">
        <color rgb="FF0F766E"/>
      </top>
      <bottom style="medium">
        <color rgb="FF0F766E"/>
      </bottom>
      <diagonal/>
    </border>
    <border>
      <left style="medium">
        <color rgb="FF203864"/>
      </left>
      <right style="medium">
        <color rgb="FF203864"/>
      </right>
      <top style="medium">
        <color rgb="FF203864"/>
      </top>
      <bottom style="medium">
        <color rgb="FF2038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14" fontId="3" fillId="5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10" borderId="1" xfId="0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22" fontId="3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5" fillId="9" borderId="3" xfId="0" applyFont="1" applyFill="1" applyBorder="1" applyAlignment="1">
      <alignment horizontal="left" vertical="center"/>
    </xf>
    <xf numFmtId="0" fontId="5" fillId="9" borderId="3" xfId="0" applyFont="1" applyFill="1" applyBorder="1"/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22883</xdr:colOff>
      <xdr:row>39</xdr:row>
      <xdr:rowOff>68648</xdr:rowOff>
    </xdr:from>
    <xdr:to>
      <xdr:col>12</xdr:col>
      <xdr:colOff>465667</xdr:colOff>
      <xdr:row>48</xdr:row>
      <xdr:rowOff>49430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7E30AAB2-EA65-7949-ACE8-6E4994E2833E}"/>
            </a:ext>
          </a:extLst>
        </xdr:cNvPr>
        <xdr:cNvSpPr/>
      </xdr:nvSpPr>
      <xdr:spPr>
        <a:xfrm>
          <a:off x="6829170" y="7989037"/>
          <a:ext cx="6138772" cy="17945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= РАЗНДАТ </a:t>
          </a:r>
          <a:r>
            <a:rPr lang="ru-RU" sz="1200" b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(начальнная дата;</a:t>
          </a:r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 конечная дата; единица)</a:t>
          </a:r>
        </a:p>
        <a:p>
          <a:pPr algn="l"/>
          <a:endParaRPr lang="ru-RU" sz="1200" b="0" baseline="0">
            <a:solidFill>
              <a:srgbClr val="00206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"</a:t>
          </a:r>
          <a:r>
            <a:rPr lang="en-US" sz="1200" b="1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Y</a:t>
          </a:r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" - количество полных лет в периоде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"</a:t>
          </a:r>
          <a:r>
            <a:rPr lang="en-US" sz="1200" b="1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M</a:t>
          </a:r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" - количество полных месяцев в периоде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"</a:t>
          </a:r>
          <a:r>
            <a:rPr lang="en-US" sz="1200" b="1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D</a:t>
          </a:r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" - количество полных дней в периоде</a:t>
          </a:r>
          <a:endParaRPr lang="ru-RU" sz="1200" b="0">
            <a:solidFill>
              <a:srgbClr val="00206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"</a:t>
          </a:r>
          <a:r>
            <a:rPr lang="en-US" sz="1200" b="1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MD</a:t>
          </a:r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" - разница в днях между начальной и конечной датой. Месяцы и годы не учитываются</a:t>
          </a:r>
          <a:endParaRPr lang="ru-RU" sz="1200" b="0">
            <a:solidFill>
              <a:srgbClr val="00206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"</a:t>
          </a:r>
          <a:r>
            <a:rPr lang="en-US" sz="1200" b="1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YM</a:t>
          </a:r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" - разница в месяцах между начальной и конечной датой. Дни и годы не учитываются</a:t>
          </a:r>
          <a:endParaRPr lang="ru-RU" sz="1200" b="0">
            <a:solidFill>
              <a:srgbClr val="00206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"</a:t>
          </a:r>
          <a:r>
            <a:rPr lang="en-US" sz="1200" b="1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YD</a:t>
          </a:r>
          <a:r>
            <a:rPr lang="ru-RU" sz="1200" b="0" baseline="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" - разница в днях между начальной и конечной датой. Годы не учитываются</a:t>
          </a:r>
          <a:endParaRPr lang="ru-RU" sz="1200" b="0">
            <a:solidFill>
              <a:srgbClr val="00206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200" b="0">
            <a:solidFill>
              <a:srgbClr val="002060"/>
            </a:solidFill>
          </a:endParaRPr>
        </a:p>
        <a:p>
          <a:pPr algn="l"/>
          <a:endParaRPr lang="ru-RU" sz="1200" b="0">
            <a:solidFill>
              <a:srgbClr val="00206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4E9E-B4F4-2D41-B279-AB19B3266CB0}">
  <dimension ref="A1:E63"/>
  <sheetViews>
    <sheetView tabSelected="1" topLeftCell="A19" workbookViewId="0">
      <selection activeCell="D60" sqref="D60"/>
    </sheetView>
  </sheetViews>
  <sheetFormatPr defaultColWidth="10.83203125" defaultRowHeight="15.5" x14ac:dyDescent="0.35"/>
  <cols>
    <col min="1" max="1" width="32.33203125" style="5" customWidth="1"/>
    <col min="2" max="2" width="26.5" style="5" customWidth="1"/>
    <col min="3" max="3" width="32" style="5" customWidth="1"/>
    <col min="4" max="4" width="34.6640625" style="5" customWidth="1"/>
    <col min="5" max="5" width="23" style="5" customWidth="1"/>
    <col min="6" max="16384" width="10.83203125" style="5"/>
  </cols>
  <sheetData>
    <row r="1" spans="1:5" ht="25" customHeight="1" x14ac:dyDescent="0.35">
      <c r="A1" s="22" t="s">
        <v>0</v>
      </c>
      <c r="B1" s="22"/>
      <c r="C1" s="22"/>
      <c r="D1" s="22"/>
      <c r="E1" s="22"/>
    </row>
    <row r="2" spans="1:5" ht="25" customHeight="1" x14ac:dyDescent="0.35">
      <c r="A2" s="22" t="s">
        <v>19</v>
      </c>
      <c r="B2" s="22"/>
      <c r="C2" s="22"/>
      <c r="D2" s="22"/>
      <c r="E2" s="22"/>
    </row>
    <row r="4" spans="1:5" x14ac:dyDescent="0.3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29" x14ac:dyDescent="0.35">
      <c r="A5" s="2" t="s">
        <v>5</v>
      </c>
      <c r="B5" s="4" t="str">
        <f>UPPER(A5)</f>
        <v>АНАЛИТИКА ДАННЫХ ДЛЯ БИЗНЕСА</v>
      </c>
      <c r="C5" s="4" t="str">
        <f>LOWER(A5)</f>
        <v>аналитика данных для бизнеса</v>
      </c>
      <c r="D5" s="4" t="str">
        <f>PROPER(A5)</f>
        <v>Аналитика Данных Для Бизнеса</v>
      </c>
      <c r="E5" s="4">
        <f>LEN(A5)</f>
        <v>28</v>
      </c>
    </row>
    <row r="6" spans="1:5" x14ac:dyDescent="0.35">
      <c r="A6" s="2" t="s">
        <v>6</v>
      </c>
      <c r="B6" s="4" t="str">
        <f t="shared" ref="B6:B10" si="0">UPPER(A6)</f>
        <v>ПРОЕКТИРОВАНИЕ БАЗ ДАННЫХ</v>
      </c>
      <c r="C6" s="4" t="str">
        <f t="shared" ref="C6:C10" si="1">LOWER(A6)</f>
        <v>проектирование баз данных</v>
      </c>
      <c r="D6" s="4" t="str">
        <f t="shared" ref="D6:D10" si="2">PROPER(A6)</f>
        <v>Проектирование Баз Данных</v>
      </c>
      <c r="E6" s="4">
        <f t="shared" ref="E6:E10" si="3">LEN(A6)</f>
        <v>25</v>
      </c>
    </row>
    <row r="7" spans="1:5" x14ac:dyDescent="0.35">
      <c r="A7" s="2" t="s">
        <v>7</v>
      </c>
      <c r="B7" s="4" t="str">
        <f t="shared" si="0"/>
        <v>ОСНОВЫ КИБЕРБЕЗОПАСНОСТИ</v>
      </c>
      <c r="C7" s="4" t="str">
        <f t="shared" si="1"/>
        <v>основы кибербезопасности</v>
      </c>
      <c r="D7" s="4" t="str">
        <f t="shared" si="2"/>
        <v>Основы Кибербезопасности</v>
      </c>
      <c r="E7" s="4">
        <f t="shared" si="3"/>
        <v>24</v>
      </c>
    </row>
    <row r="8" spans="1:5" x14ac:dyDescent="0.35">
      <c r="A8" s="2" t="s">
        <v>8</v>
      </c>
      <c r="B8" s="4" t="str">
        <f t="shared" si="0"/>
        <v>ВЕБ-ДИЗАЙН И UI</v>
      </c>
      <c r="C8" s="4" t="str">
        <f t="shared" si="1"/>
        <v>веб-дизайн и ui</v>
      </c>
      <c r="D8" s="4" t="str">
        <f t="shared" si="2"/>
        <v>Веб-Дизайн И Ui</v>
      </c>
      <c r="E8" s="4">
        <f t="shared" si="3"/>
        <v>15</v>
      </c>
    </row>
    <row r="9" spans="1:5" ht="29" x14ac:dyDescent="0.35">
      <c r="A9" s="2" t="s">
        <v>9</v>
      </c>
      <c r="B9" s="4" t="str">
        <f t="shared" si="0"/>
        <v>ЦИФРОВАЯ ТРАНСФОРМАЦИЯ КОМПАНИЙ</v>
      </c>
      <c r="C9" s="4" t="str">
        <f t="shared" si="1"/>
        <v>цифровая трансформация компаний</v>
      </c>
      <c r="D9" s="4" t="str">
        <f t="shared" si="2"/>
        <v>Цифровая Трансформация Компаний</v>
      </c>
      <c r="E9" s="4">
        <f t="shared" si="3"/>
        <v>31</v>
      </c>
    </row>
    <row r="10" spans="1:5" x14ac:dyDescent="0.35">
      <c r="A10" s="2" t="s">
        <v>10</v>
      </c>
      <c r="B10" s="4" t="str">
        <f t="shared" si="0"/>
        <v>СТАТИСТИКА В EXCEL</v>
      </c>
      <c r="C10" s="4" t="str">
        <f t="shared" si="1"/>
        <v>статистика в excel</v>
      </c>
      <c r="D10" s="4" t="str">
        <f t="shared" si="2"/>
        <v>Статистика В Excel</v>
      </c>
      <c r="E10" s="4">
        <f t="shared" si="3"/>
        <v>18</v>
      </c>
    </row>
    <row r="13" spans="1:5" ht="24" customHeight="1" x14ac:dyDescent="0.35">
      <c r="A13" s="22" t="s">
        <v>11</v>
      </c>
      <c r="B13" s="22"/>
      <c r="C13" s="22"/>
      <c r="D13" s="22"/>
      <c r="E13" s="22"/>
    </row>
    <row r="14" spans="1:5" x14ac:dyDescent="0.35">
      <c r="A14" s="22" t="s">
        <v>20</v>
      </c>
      <c r="B14" s="22"/>
      <c r="C14" s="22"/>
      <c r="D14" s="22"/>
      <c r="E14" s="22"/>
    </row>
    <row r="16" spans="1:5" x14ac:dyDescent="0.35">
      <c r="A16" s="7" t="s">
        <v>12</v>
      </c>
      <c r="B16" s="1" t="s">
        <v>13</v>
      </c>
    </row>
    <row r="17" spans="1:5" x14ac:dyDescent="0.35">
      <c r="A17" s="2" t="s">
        <v>14</v>
      </c>
      <c r="B17" s="4" t="str">
        <f>TRIM(A17)</f>
        <v>Северный филиал</v>
      </c>
    </row>
    <row r="18" spans="1:5" x14ac:dyDescent="0.35">
      <c r="A18" s="2" t="s">
        <v>15</v>
      </c>
      <c r="B18" s="4" t="str">
        <f t="shared" ref="B18:B21" si="4">TRIM(A18)</f>
        <v>Центральный офис</v>
      </c>
    </row>
    <row r="19" spans="1:5" ht="29" x14ac:dyDescent="0.35">
      <c r="A19" s="2" t="s">
        <v>16</v>
      </c>
      <c r="B19" s="4" t="str">
        <f t="shared" si="4"/>
        <v>Отдел дистанционного обучения</v>
      </c>
    </row>
    <row r="20" spans="1:5" ht="29" x14ac:dyDescent="0.35">
      <c r="A20" s="2" t="s">
        <v>17</v>
      </c>
      <c r="B20" s="4" t="str">
        <f t="shared" si="4"/>
        <v>Лаборатория цифровых сервисов</v>
      </c>
    </row>
    <row r="21" spans="1:5" x14ac:dyDescent="0.35">
      <c r="A21" s="2" t="s">
        <v>18</v>
      </c>
      <c r="B21" s="4" t="str">
        <f t="shared" si="4"/>
        <v>Библиотека корпуса Б</v>
      </c>
    </row>
    <row r="24" spans="1:5" x14ac:dyDescent="0.35">
      <c r="A24" s="22" t="s">
        <v>21</v>
      </c>
      <c r="B24" s="22"/>
      <c r="C24" s="22"/>
      <c r="D24" s="22"/>
      <c r="E24" s="22"/>
    </row>
    <row r="25" spans="1:5" ht="16" thickBot="1" x14ac:dyDescent="0.4">
      <c r="A25" s="22" t="s">
        <v>32</v>
      </c>
      <c r="B25" s="22"/>
      <c r="C25" s="22"/>
      <c r="D25" s="22"/>
      <c r="E25" s="22"/>
    </row>
    <row r="26" spans="1:5" ht="16" thickBot="1" x14ac:dyDescent="0.4">
      <c r="A26" s="25" t="s">
        <v>23</v>
      </c>
      <c r="B26" s="26"/>
      <c r="C26" s="26"/>
      <c r="D26" s="26"/>
    </row>
    <row r="27" spans="1:5" x14ac:dyDescent="0.35">
      <c r="A27" s="1" t="s">
        <v>22</v>
      </c>
      <c r="B27" s="1" t="s">
        <v>24</v>
      </c>
      <c r="C27" s="1" t="s">
        <v>25</v>
      </c>
      <c r="D27" s="1" t="s">
        <v>107</v>
      </c>
    </row>
    <row r="28" spans="1:5" x14ac:dyDescent="0.35">
      <c r="A28" s="8" t="s">
        <v>26</v>
      </c>
      <c r="B28" s="4" t="str">
        <f>LEFT(A28,3)</f>
        <v>EDU</v>
      </c>
      <c r="C28" s="4" t="str">
        <f>MID(A28,5,3)</f>
        <v>415</v>
      </c>
      <c r="D28" s="4" t="str">
        <f>RIGHT(A28,4)</f>
        <v>SPOT</v>
      </c>
    </row>
    <row r="29" spans="1:5" x14ac:dyDescent="0.35">
      <c r="A29" s="8" t="s">
        <v>27</v>
      </c>
      <c r="B29" s="4" t="str">
        <f t="shared" ref="B29:B33" si="5">LEFT(A29,3)</f>
        <v>NET</v>
      </c>
      <c r="C29" s="4" t="str">
        <f t="shared" ref="C29:C33" si="6">MID(A29,5,3)</f>
        <v>802</v>
      </c>
      <c r="D29" s="4" t="str">
        <f t="shared" ref="D29:D33" si="7">RIGHT(A29,4)</f>
        <v>NWPY</v>
      </c>
    </row>
    <row r="30" spans="1:5" x14ac:dyDescent="0.35">
      <c r="A30" s="8" t="s">
        <v>28</v>
      </c>
      <c r="B30" s="4" t="str">
        <f t="shared" si="5"/>
        <v>LAB</v>
      </c>
      <c r="C30" s="4" t="str">
        <f t="shared" si="6"/>
        <v>197</v>
      </c>
      <c r="D30" s="4" t="str">
        <f t="shared" si="7"/>
        <v>SERT</v>
      </c>
    </row>
    <row r="31" spans="1:5" x14ac:dyDescent="0.35">
      <c r="A31" s="8" t="s">
        <v>29</v>
      </c>
      <c r="B31" s="4" t="str">
        <f t="shared" si="5"/>
        <v>CRM</v>
      </c>
      <c r="C31" s="4" t="str">
        <f t="shared" si="6"/>
        <v>563</v>
      </c>
      <c r="D31" s="4" t="str">
        <f t="shared" si="7"/>
        <v>CTUY</v>
      </c>
    </row>
    <row r="32" spans="1:5" x14ac:dyDescent="0.35">
      <c r="A32" s="8" t="s">
        <v>30</v>
      </c>
      <c r="B32" s="4" t="str">
        <f t="shared" si="5"/>
        <v>BIO</v>
      </c>
      <c r="C32" s="4" t="str">
        <f t="shared" si="6"/>
        <v>228</v>
      </c>
      <c r="D32" s="4" t="str">
        <f t="shared" si="7"/>
        <v>WSTR</v>
      </c>
    </row>
    <row r="33" spans="1:5" x14ac:dyDescent="0.35">
      <c r="A33" s="8" t="s">
        <v>31</v>
      </c>
      <c r="B33" s="4" t="str">
        <f t="shared" si="5"/>
        <v>ART</v>
      </c>
      <c r="C33" s="4" t="str">
        <f t="shared" si="6"/>
        <v>944</v>
      </c>
      <c r="D33" s="4" t="str">
        <f t="shared" si="7"/>
        <v>NEPK</v>
      </c>
    </row>
    <row r="34" spans="1:5" x14ac:dyDescent="0.35">
      <c r="A34" s="10"/>
      <c r="B34" s="11"/>
      <c r="C34" s="11"/>
      <c r="D34" s="11"/>
    </row>
    <row r="36" spans="1:5" x14ac:dyDescent="0.35">
      <c r="A36" s="22" t="s">
        <v>108</v>
      </c>
      <c r="B36" s="22"/>
      <c r="C36" s="22"/>
      <c r="D36" s="22"/>
      <c r="E36" s="22"/>
    </row>
    <row r="37" spans="1:5" x14ac:dyDescent="0.35">
      <c r="A37" s="22" t="s">
        <v>33</v>
      </c>
      <c r="B37" s="22"/>
      <c r="C37" s="22"/>
      <c r="D37" s="22"/>
      <c r="E37" s="22"/>
    </row>
    <row r="38" spans="1:5" x14ac:dyDescent="0.35">
      <c r="A38" s="1" t="s">
        <v>34</v>
      </c>
      <c r="B38" s="1" t="s">
        <v>35</v>
      </c>
      <c r="C38" s="1" t="s">
        <v>36</v>
      </c>
      <c r="D38" s="1" t="s">
        <v>37</v>
      </c>
    </row>
    <row r="39" spans="1:5" x14ac:dyDescent="0.35">
      <c r="A39" s="2" t="s">
        <v>38</v>
      </c>
      <c r="B39" s="4">
        <f>IFERROR(FIND(D39,A39),"Не найдено (учёт регистра)")</f>
        <v>8</v>
      </c>
      <c r="C39" s="4">
        <f>SEARCH(D39,A39)</f>
        <v>8</v>
      </c>
      <c r="D39" s="9" t="s">
        <v>39</v>
      </c>
    </row>
    <row r="40" spans="1:5" ht="29" x14ac:dyDescent="0.35">
      <c r="A40" s="2" t="s">
        <v>40</v>
      </c>
      <c r="B40" s="4" t="str">
        <f t="shared" ref="B40:B43" si="8">IFERROR(FIND(D40,A40),"Не найдено (учёт регистра)")</f>
        <v>Не найдено (учёт регистра)</v>
      </c>
      <c r="C40" s="4">
        <f t="shared" ref="C40:C43" si="9">SEARCH(D40,A40)</f>
        <v>1</v>
      </c>
      <c r="D40" s="9" t="s">
        <v>39</v>
      </c>
    </row>
    <row r="41" spans="1:5" x14ac:dyDescent="0.35">
      <c r="A41" s="2" t="s">
        <v>41</v>
      </c>
      <c r="B41" s="4" t="str">
        <f t="shared" si="8"/>
        <v>Не найдено (учёт регистра)</v>
      </c>
      <c r="C41" s="4">
        <f t="shared" si="9"/>
        <v>10</v>
      </c>
      <c r="D41" s="9" t="s">
        <v>42</v>
      </c>
    </row>
    <row r="42" spans="1:5" x14ac:dyDescent="0.35">
      <c r="A42" s="2" t="s">
        <v>43</v>
      </c>
      <c r="B42" s="4">
        <f t="shared" si="8"/>
        <v>8</v>
      </c>
      <c r="C42" s="4">
        <f t="shared" si="9"/>
        <v>8</v>
      </c>
      <c r="D42" s="9" t="s">
        <v>44</v>
      </c>
    </row>
    <row r="43" spans="1:5" x14ac:dyDescent="0.35">
      <c r="A43" s="2" t="s">
        <v>45</v>
      </c>
      <c r="B43" s="4" t="str">
        <f t="shared" si="8"/>
        <v>Не найдено (учёт регистра)</v>
      </c>
      <c r="C43" s="4">
        <f t="shared" si="9"/>
        <v>7</v>
      </c>
      <c r="D43" s="9" t="s">
        <v>46</v>
      </c>
    </row>
    <row r="46" spans="1:5" ht="16" thickBot="1" x14ac:dyDescent="0.4">
      <c r="A46" s="22" t="s">
        <v>47</v>
      </c>
      <c r="B46" s="22"/>
      <c r="C46" s="22"/>
      <c r="D46" s="22"/>
      <c r="E46" s="22"/>
    </row>
    <row r="47" spans="1:5" ht="16" thickBot="1" x14ac:dyDescent="0.4">
      <c r="A47" s="25" t="s">
        <v>62</v>
      </c>
      <c r="B47" s="26"/>
      <c r="C47" s="26"/>
      <c r="D47" s="26"/>
    </row>
    <row r="48" spans="1:5" x14ac:dyDescent="0.35">
      <c r="A48" s="1" t="s">
        <v>48</v>
      </c>
      <c r="B48" s="1" t="s">
        <v>49</v>
      </c>
      <c r="C48" s="1" t="s">
        <v>50</v>
      </c>
      <c r="D48" s="1" t="s">
        <v>51</v>
      </c>
    </row>
    <row r="49" spans="1:5" x14ac:dyDescent="0.35">
      <c r="A49" s="2" t="s">
        <v>52</v>
      </c>
      <c r="B49" s="2" t="s">
        <v>53</v>
      </c>
      <c r="C49" s="4" t="str">
        <f>_xlfn.CONCAT(A49," ",B49)</f>
        <v>Беляев Никита</v>
      </c>
      <c r="D49" s="4" t="str">
        <f>A49&amp;" "&amp;B49</f>
        <v>Беляев Никита</v>
      </c>
    </row>
    <row r="50" spans="1:5" x14ac:dyDescent="0.35">
      <c r="A50" s="2" t="s">
        <v>54</v>
      </c>
      <c r="B50" s="2" t="s">
        <v>55</v>
      </c>
      <c r="C50" s="4" t="str">
        <f t="shared" ref="C50:C53" si="10">_xlfn.CONCAT(A50," ",B50)</f>
        <v>Соколова Ирина</v>
      </c>
      <c r="D50" s="4" t="str">
        <f t="shared" ref="D50:D53" si="11">A50&amp;" "&amp;B50</f>
        <v>Соколова Ирина</v>
      </c>
    </row>
    <row r="51" spans="1:5" x14ac:dyDescent="0.35">
      <c r="A51" s="2" t="s">
        <v>56</v>
      </c>
      <c r="B51" s="2" t="s">
        <v>57</v>
      </c>
      <c r="C51" s="4" t="str">
        <f t="shared" si="10"/>
        <v>Ткачева Мария</v>
      </c>
      <c r="D51" s="4" t="str">
        <f t="shared" si="11"/>
        <v>Ткачева Мария</v>
      </c>
    </row>
    <row r="52" spans="1:5" x14ac:dyDescent="0.35">
      <c r="A52" s="2" t="s">
        <v>58</v>
      </c>
      <c r="B52" s="2" t="s">
        <v>59</v>
      </c>
      <c r="C52" s="4" t="str">
        <f t="shared" si="10"/>
        <v>Громов Павел</v>
      </c>
      <c r="D52" s="4" t="str">
        <f t="shared" si="11"/>
        <v>Громов Павел</v>
      </c>
    </row>
    <row r="53" spans="1:5" x14ac:dyDescent="0.35">
      <c r="A53" s="2" t="s">
        <v>60</v>
      </c>
      <c r="B53" s="2" t="s">
        <v>61</v>
      </c>
      <c r="C53" s="4" t="str">
        <f t="shared" si="10"/>
        <v>Назаров Роман</v>
      </c>
      <c r="D53" s="4" t="str">
        <f t="shared" si="11"/>
        <v>Назаров Роман</v>
      </c>
    </row>
    <row r="56" spans="1:5" x14ac:dyDescent="0.35">
      <c r="A56" s="22" t="s">
        <v>63</v>
      </c>
      <c r="B56" s="22"/>
      <c r="C56" s="22"/>
      <c r="D56" s="22"/>
      <c r="E56" s="22"/>
    </row>
    <row r="57" spans="1:5" x14ac:dyDescent="0.35">
      <c r="A57" s="22" t="s">
        <v>64</v>
      </c>
      <c r="B57" s="22"/>
      <c r="C57" s="22"/>
      <c r="D57" s="22"/>
      <c r="E57" s="22"/>
    </row>
    <row r="58" spans="1:5" x14ac:dyDescent="0.35">
      <c r="A58" s="1" t="s">
        <v>65</v>
      </c>
      <c r="B58" s="1" t="s">
        <v>66</v>
      </c>
      <c r="C58" s="1" t="s">
        <v>67</v>
      </c>
      <c r="D58" s="1" t="s">
        <v>73</v>
      </c>
    </row>
    <row r="59" spans="1:5" x14ac:dyDescent="0.35">
      <c r="A59" s="8" t="s">
        <v>72</v>
      </c>
      <c r="B59" s="3" t="str">
        <f>SUBSTITUTE(A59,"XR","ZK")</f>
        <v>ZK14580</v>
      </c>
      <c r="C59" s="3" t="str">
        <f>REPLACE(A59,1,2,"LM")</f>
        <v>LM14580</v>
      </c>
      <c r="D59" s="3" t="str">
        <f>REPLACE(A59,LEN(A59),1,"R")</f>
        <v>XR1458R</v>
      </c>
    </row>
    <row r="60" spans="1:5" x14ac:dyDescent="0.35">
      <c r="A60" s="8" t="s">
        <v>68</v>
      </c>
      <c r="B60" s="3" t="str">
        <f t="shared" ref="B60:B63" si="12">SUBSTITUTE(A60,"XR","ZK")</f>
        <v>ABZK772</v>
      </c>
      <c r="C60" s="3" t="str">
        <f t="shared" ref="C60:C63" si="13">REPLACE(A60,1,2,"LM")</f>
        <v>LMXR772</v>
      </c>
      <c r="D60" s="3" t="str">
        <f t="shared" ref="D60:D63" si="14">REPLACE(A60,LEN(A60),1,"R")</f>
        <v>ABXR77R</v>
      </c>
    </row>
    <row r="61" spans="1:5" x14ac:dyDescent="0.35">
      <c r="A61" s="8" t="s">
        <v>69</v>
      </c>
      <c r="B61" s="3" t="str">
        <f t="shared" si="12"/>
        <v>ZK99014</v>
      </c>
      <c r="C61" s="3" t="str">
        <f t="shared" si="13"/>
        <v>LM99014</v>
      </c>
      <c r="D61" s="3" t="str">
        <f t="shared" si="14"/>
        <v>XR9901R</v>
      </c>
    </row>
    <row r="62" spans="1:5" x14ac:dyDescent="0.35">
      <c r="A62" s="8" t="s">
        <v>70</v>
      </c>
      <c r="B62" s="3" t="str">
        <f t="shared" si="12"/>
        <v>TR53129</v>
      </c>
      <c r="C62" s="3" t="str">
        <f t="shared" si="13"/>
        <v>LM53129</v>
      </c>
      <c r="D62" s="3" t="str">
        <f t="shared" si="14"/>
        <v>TR5312R</v>
      </c>
    </row>
    <row r="63" spans="1:5" x14ac:dyDescent="0.35">
      <c r="A63" s="8" t="s">
        <v>71</v>
      </c>
      <c r="B63" s="3" t="str">
        <f t="shared" si="12"/>
        <v>QWZK448</v>
      </c>
      <c r="C63" s="3" t="str">
        <f t="shared" si="13"/>
        <v>LMXR448</v>
      </c>
      <c r="D63" s="3" t="str">
        <f t="shared" si="14"/>
        <v>QWXR44R</v>
      </c>
    </row>
  </sheetData>
  <mergeCells count="13">
    <mergeCell ref="A1:E1"/>
    <mergeCell ref="A13:E13"/>
    <mergeCell ref="A2:E2"/>
    <mergeCell ref="A14:E14"/>
    <mergeCell ref="A47:D47"/>
    <mergeCell ref="A56:E56"/>
    <mergeCell ref="A57:E57"/>
    <mergeCell ref="A24:E24"/>
    <mergeCell ref="A25:E25"/>
    <mergeCell ref="A26:D26"/>
    <mergeCell ref="A36:E36"/>
    <mergeCell ref="A37:E37"/>
    <mergeCell ref="A46:E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F74E-6BA9-8944-944B-E9794818B1BC}">
  <dimension ref="A1:J43"/>
  <sheetViews>
    <sheetView topLeftCell="A33" zoomScaleNormal="111" workbookViewId="0">
      <selection activeCell="D44" sqref="D44"/>
    </sheetView>
  </sheetViews>
  <sheetFormatPr defaultColWidth="10.6640625" defaultRowHeight="16" x14ac:dyDescent="0.4"/>
  <cols>
    <col min="1" max="1" width="23.6640625" customWidth="1"/>
    <col min="2" max="2" width="12.33203125" bestFit="1" customWidth="1"/>
    <col min="3" max="3" width="19.83203125" customWidth="1"/>
    <col min="4" max="4" width="22.83203125" customWidth="1"/>
  </cols>
  <sheetData>
    <row r="1" spans="1:10" x14ac:dyDescent="0.4">
      <c r="A1" s="22" t="s">
        <v>74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4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ht="16.5" thickBot="1" x14ac:dyDescent="0.45">
      <c r="A3" s="22" t="s">
        <v>109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ht="16.5" thickBot="1" x14ac:dyDescent="0.45">
      <c r="A4" s="23" t="s">
        <v>79</v>
      </c>
      <c r="B4" s="24"/>
      <c r="C4" s="24"/>
      <c r="D4" s="24"/>
    </row>
    <row r="5" spans="1:10" x14ac:dyDescent="0.4">
      <c r="A5" s="1" t="s">
        <v>75</v>
      </c>
      <c r="B5" s="1" t="s">
        <v>76</v>
      </c>
      <c r="C5" s="1" t="s">
        <v>77</v>
      </c>
      <c r="D5" s="1" t="s">
        <v>78</v>
      </c>
    </row>
    <row r="6" spans="1:10" x14ac:dyDescent="0.4">
      <c r="A6" s="8">
        <v>2027</v>
      </c>
      <c r="B6" s="8">
        <v>4</v>
      </c>
      <c r="C6" s="8">
        <v>18</v>
      </c>
      <c r="D6" s="15">
        <f>DATE(A6,B6,C6)</f>
        <v>46495</v>
      </c>
    </row>
    <row r="7" spans="1:10" x14ac:dyDescent="0.4">
      <c r="A7" s="8">
        <v>2028</v>
      </c>
      <c r="B7" s="8">
        <v>1</v>
      </c>
      <c r="C7" s="8">
        <v>9</v>
      </c>
      <c r="D7" s="15">
        <f t="shared" ref="D7:D10" si="0">DATE(A7,B7,C7)</f>
        <v>46761</v>
      </c>
    </row>
    <row r="8" spans="1:10" x14ac:dyDescent="0.4">
      <c r="A8" s="8">
        <v>2026</v>
      </c>
      <c r="B8" s="8">
        <v>11</v>
      </c>
      <c r="C8" s="8">
        <v>30</v>
      </c>
      <c r="D8" s="15">
        <f t="shared" si="0"/>
        <v>46356</v>
      </c>
    </row>
    <row r="9" spans="1:10" x14ac:dyDescent="0.4">
      <c r="A9" s="8">
        <v>2027</v>
      </c>
      <c r="B9" s="8">
        <v>8</v>
      </c>
      <c r="C9" s="8">
        <v>5</v>
      </c>
      <c r="D9" s="15">
        <f t="shared" si="0"/>
        <v>46604</v>
      </c>
    </row>
    <row r="10" spans="1:10" x14ac:dyDescent="0.4">
      <c r="A10" s="8">
        <v>2028</v>
      </c>
      <c r="B10" s="8">
        <v>2</v>
      </c>
      <c r="C10" s="8">
        <v>14</v>
      </c>
      <c r="D10" s="15">
        <f t="shared" si="0"/>
        <v>46797</v>
      </c>
    </row>
    <row r="11" spans="1:10" x14ac:dyDescent="0.4">
      <c r="A11" s="10"/>
      <c r="B11" s="10"/>
      <c r="C11" s="10"/>
      <c r="D11" s="16"/>
    </row>
    <row r="13" spans="1:10" ht="16.5" thickBot="1" x14ac:dyDescent="0.45">
      <c r="A13" s="22" t="s">
        <v>80</v>
      </c>
      <c r="B13" s="22"/>
      <c r="C13" s="22"/>
      <c r="D13" s="22"/>
      <c r="E13" s="22"/>
      <c r="F13" s="22"/>
      <c r="G13" s="22"/>
      <c r="H13" s="22"/>
      <c r="I13" s="22"/>
      <c r="J13" s="22"/>
    </row>
    <row r="14" spans="1:10" ht="16.5" thickBot="1" x14ac:dyDescent="0.45">
      <c r="A14" s="23" t="s">
        <v>82</v>
      </c>
      <c r="B14" s="24"/>
      <c r="C14" s="24"/>
      <c r="D14" s="24"/>
    </row>
    <row r="15" spans="1:10" x14ac:dyDescent="0.4">
      <c r="A15" s="1" t="s">
        <v>81</v>
      </c>
      <c r="B15" s="1" t="s">
        <v>75</v>
      </c>
      <c r="C15" s="1" t="s">
        <v>76</v>
      </c>
      <c r="D15" s="1" t="s">
        <v>77</v>
      </c>
    </row>
    <row r="16" spans="1:10" x14ac:dyDescent="0.4">
      <c r="A16" s="14">
        <v>46539</v>
      </c>
      <c r="B16" s="4">
        <f>YEAR(A16)</f>
        <v>2027</v>
      </c>
      <c r="C16" s="4">
        <f>MONTH(A16)</f>
        <v>6</v>
      </c>
      <c r="D16" s="4">
        <f>DAY(A16)</f>
        <v>1</v>
      </c>
    </row>
    <row r="17" spans="1:10" x14ac:dyDescent="0.4">
      <c r="A17" s="14">
        <v>46373</v>
      </c>
      <c r="B17" s="4">
        <f t="shared" ref="B17:B20" si="1">YEAR(A17)</f>
        <v>2026</v>
      </c>
      <c r="C17" s="4">
        <f t="shared" ref="C17:C20" si="2">MONTH(A17)</f>
        <v>12</v>
      </c>
      <c r="D17" s="4">
        <f t="shared" ref="D17:D20" si="3">DAY(A17)</f>
        <v>17</v>
      </c>
    </row>
    <row r="18" spans="1:10" x14ac:dyDescent="0.4">
      <c r="A18" s="14">
        <v>46834</v>
      </c>
      <c r="B18" s="4">
        <f t="shared" si="1"/>
        <v>2028</v>
      </c>
      <c r="C18" s="4">
        <f t="shared" si="2"/>
        <v>3</v>
      </c>
      <c r="D18" s="4">
        <f t="shared" si="3"/>
        <v>22</v>
      </c>
    </row>
    <row r="19" spans="1:10" x14ac:dyDescent="0.4">
      <c r="A19" s="14">
        <v>46637</v>
      </c>
      <c r="B19" s="4">
        <f t="shared" si="1"/>
        <v>2027</v>
      </c>
      <c r="C19" s="4">
        <f t="shared" si="2"/>
        <v>9</v>
      </c>
      <c r="D19" s="4">
        <f t="shared" si="3"/>
        <v>7</v>
      </c>
    </row>
    <row r="20" spans="1:10" x14ac:dyDescent="0.4">
      <c r="A20" s="14">
        <v>46171</v>
      </c>
      <c r="B20" s="4">
        <f t="shared" si="1"/>
        <v>2026</v>
      </c>
      <c r="C20" s="4">
        <f t="shared" si="2"/>
        <v>5</v>
      </c>
      <c r="D20" s="4">
        <f t="shared" si="3"/>
        <v>29</v>
      </c>
    </row>
    <row r="22" spans="1:10" ht="16.5" thickBot="1" x14ac:dyDescent="0.45">
      <c r="A22" s="22" t="s">
        <v>94</v>
      </c>
      <c r="B22" s="22"/>
      <c r="C22" s="22"/>
      <c r="D22" s="22"/>
      <c r="E22" s="22"/>
      <c r="F22" s="22"/>
      <c r="G22" s="22"/>
      <c r="H22" s="22"/>
      <c r="I22" s="22"/>
      <c r="J22" s="22"/>
    </row>
    <row r="23" spans="1:10" ht="16.5" thickBot="1" x14ac:dyDescent="0.45">
      <c r="A23" s="23" t="s">
        <v>93</v>
      </c>
      <c r="B23" s="24"/>
      <c r="C23" s="24"/>
      <c r="D23" s="24"/>
    </row>
    <row r="24" spans="1:10" x14ac:dyDescent="0.4">
      <c r="A24" s="1" t="s">
        <v>83</v>
      </c>
      <c r="B24" s="1" t="s">
        <v>84</v>
      </c>
      <c r="C24" s="1" t="s">
        <v>83</v>
      </c>
      <c r="D24" s="1" t="s">
        <v>84</v>
      </c>
    </row>
    <row r="25" spans="1:10" x14ac:dyDescent="0.4">
      <c r="A25" s="6" t="s">
        <v>85</v>
      </c>
      <c r="B25" s="15">
        <f ca="1">TODAY()</f>
        <v>46121</v>
      </c>
      <c r="C25" s="6" t="s">
        <v>86</v>
      </c>
      <c r="D25" s="4">
        <f ca="1">DAY(TODAY())</f>
        <v>9</v>
      </c>
    </row>
    <row r="26" spans="1:10" x14ac:dyDescent="0.4">
      <c r="A26" s="6" t="s">
        <v>87</v>
      </c>
      <c r="B26" s="21">
        <f ca="1">NOW()</f>
        <v>46121.933307870371</v>
      </c>
      <c r="C26" s="6" t="s">
        <v>88</v>
      </c>
      <c r="D26" s="4">
        <f ca="1">HOUR(NOW())</f>
        <v>22</v>
      </c>
    </row>
    <row r="27" spans="1:10" x14ac:dyDescent="0.4">
      <c r="A27" s="6" t="s">
        <v>89</v>
      </c>
      <c r="B27" s="4">
        <f ca="1">YEAR(TODAY())</f>
        <v>2026</v>
      </c>
      <c r="C27" s="6" t="s">
        <v>90</v>
      </c>
      <c r="D27" s="4">
        <f ca="1">MINUTE(NOW())</f>
        <v>23</v>
      </c>
    </row>
    <row r="28" spans="1:10" x14ac:dyDescent="0.4">
      <c r="A28" s="6" t="s">
        <v>91</v>
      </c>
      <c r="B28" s="4">
        <f ca="1">MONTH(TODAY())</f>
        <v>4</v>
      </c>
      <c r="C28" s="6" t="s">
        <v>92</v>
      </c>
      <c r="D28" s="4">
        <f ca="1">SECOND(NOW())</f>
        <v>58</v>
      </c>
    </row>
    <row r="31" spans="1:10" ht="16.5" thickBot="1" x14ac:dyDescent="0.45">
      <c r="A31" s="22" t="s">
        <v>95</v>
      </c>
      <c r="B31" s="22"/>
      <c r="C31" s="22"/>
      <c r="D31" s="22"/>
      <c r="E31" s="22"/>
      <c r="F31" s="22"/>
      <c r="G31" s="22"/>
      <c r="H31" s="22"/>
      <c r="I31" s="22"/>
      <c r="J31" s="22"/>
    </row>
    <row r="32" spans="1:10" ht="16.5" thickBot="1" x14ac:dyDescent="0.45">
      <c r="A32" s="25" t="s">
        <v>101</v>
      </c>
      <c r="B32" s="26"/>
      <c r="C32" s="26"/>
      <c r="D32" s="26"/>
    </row>
    <row r="33" spans="1:10" x14ac:dyDescent="0.4">
      <c r="A33" s="1" t="s">
        <v>83</v>
      </c>
      <c r="B33" s="1" t="s">
        <v>96</v>
      </c>
      <c r="C33" s="18"/>
    </row>
    <row r="34" spans="1:10" x14ac:dyDescent="0.4">
      <c r="A34" s="6" t="s">
        <v>97</v>
      </c>
      <c r="B34" s="18"/>
      <c r="C34" s="18"/>
    </row>
    <row r="35" spans="1:10" x14ac:dyDescent="0.4">
      <c r="A35" s="6" t="s">
        <v>98</v>
      </c>
      <c r="B35" s="19">
        <v>46741</v>
      </c>
    </row>
    <row r="36" spans="1:10" x14ac:dyDescent="0.4">
      <c r="A36" s="6" t="s">
        <v>99</v>
      </c>
      <c r="B36" s="4"/>
    </row>
    <row r="37" spans="1:10" x14ac:dyDescent="0.4">
      <c r="A37" s="6" t="s">
        <v>100</v>
      </c>
      <c r="B37" s="4"/>
    </row>
    <row r="39" spans="1:10" x14ac:dyDescent="0.4">
      <c r="A39" s="22" t="s">
        <v>102</v>
      </c>
      <c r="B39" s="22"/>
      <c r="C39" s="22"/>
      <c r="D39" s="22"/>
      <c r="E39" s="22"/>
      <c r="F39" s="22"/>
      <c r="G39" s="22"/>
      <c r="H39" s="22"/>
      <c r="I39" s="22"/>
      <c r="J39" s="22"/>
    </row>
    <row r="40" spans="1:10" x14ac:dyDescent="0.4">
      <c r="A40" s="1" t="s">
        <v>83</v>
      </c>
      <c r="B40" s="1" t="s">
        <v>96</v>
      </c>
      <c r="C40" s="1" t="s">
        <v>103</v>
      </c>
      <c r="D40" s="1" t="s">
        <v>104</v>
      </c>
    </row>
    <row r="41" spans="1:10" x14ac:dyDescent="0.4">
      <c r="A41" s="6" t="s">
        <v>97</v>
      </c>
      <c r="B41" s="12">
        <f ca="1">TODAY()</f>
        <v>46121</v>
      </c>
    </row>
    <row r="42" spans="1:10" x14ac:dyDescent="0.4">
      <c r="A42" s="6" t="s">
        <v>106</v>
      </c>
      <c r="B42" s="13">
        <v>47649</v>
      </c>
    </row>
    <row r="43" spans="1:10" x14ac:dyDescent="0.4">
      <c r="A43" s="20" t="s">
        <v>105</v>
      </c>
      <c r="C43" s="4">
        <f ca="1">DATEDIF(B41,B42,"m")</f>
        <v>50</v>
      </c>
      <c r="D43" s="4">
        <f ca="1">DATEDIF(B41,B42,"y")</f>
        <v>4</v>
      </c>
    </row>
  </sheetData>
  <mergeCells count="10">
    <mergeCell ref="A39:J39"/>
    <mergeCell ref="A1:J1"/>
    <mergeCell ref="A3:J3"/>
    <mergeCell ref="A4:D4"/>
    <mergeCell ref="A13:J13"/>
    <mergeCell ref="A14:D14"/>
    <mergeCell ref="A22:J22"/>
    <mergeCell ref="A23:D23"/>
    <mergeCell ref="A31:J31"/>
    <mergeCell ref="A32:D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Текстовые функции</vt:lpstr>
      <vt:lpstr>Функции даты и времени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2026-03-20T15:02:31Z</dcterms:created>
  <dcterms:modified xsi:type="dcterms:W3CDTF">2026-04-09T15:24:04Z</dcterms:modified>
</cp:coreProperties>
</file>